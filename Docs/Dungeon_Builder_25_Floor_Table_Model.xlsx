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dg34\OneDrive\Documents\Dungeon Builder\"/>
    </mc:Choice>
  </mc:AlternateContent>
  <xr:revisionPtr revIDLastSave="0" documentId="8_{0662F7CA-6235-4EF2-8C41-66DE4BB1D426}" xr6:coauthVersionLast="47" xr6:coauthVersionMax="47" xr10:uidLastSave="{00000000-0000-0000-0000-000000000000}"/>
  <bookViews>
    <workbookView xWindow="14295" yWindow="0" windowWidth="14610" windowHeight="15585" firstSheet="2" activeTab="3" xr2:uid="{00000000-000D-0000-FFFF-FFFF00000000}"/>
  </bookViews>
  <sheets>
    <sheet name="ReadMe" sheetId="1" r:id="rId1"/>
    <sheet name="Dungeon_Summary" sheetId="6" r:id="rId2"/>
    <sheet name="Constants" sheetId="2" r:id="rId3"/>
    <sheet name="Monster_Threat" sheetId="3" r:id="rId4"/>
    <sheet name="Loot_Model" sheetId="7" r:id="rId5"/>
    <sheet name="Floors_25" sheetId="5" r:id="rId6"/>
  </sheets>
  <definedNames>
    <definedName name="A_scale">Constants!$B$7</definedName>
    <definedName name="B_scale">Constants!$B$8</definedName>
    <definedName name="C_scale">Constants!$B$9</definedName>
    <definedName name="d_decay">Constants!$B$17</definedName>
    <definedName name="h_diplomacy">Constants!$B$16</definedName>
    <definedName name="h_lethal">Constants!$B$11</definedName>
    <definedName name="h_loot">Constants!$B$12</definedName>
    <definedName name="h_noble">Constants!$B$13</definedName>
    <definedName name="h_overflow">Constants!$B$14</definedName>
    <definedName name="h_training">Constants!$B$15</definedName>
    <definedName name="k_env">Constants!$B$6</definedName>
    <definedName name="k_monsters">Constants!$B$4</definedName>
    <definedName name="k_traps">Constants!$B$5</definedName>
    <definedName name="TargetDeathRate">Constants!$B$10</definedName>
    <definedName name="w_bronze">Constants!$B$18</definedName>
    <definedName name="w_diamond">Constants!$B$22</definedName>
    <definedName name="w_gold">Constants!$B$20</definedName>
    <definedName name="w_platinum">Constants!$B$21</definedName>
    <definedName name="w_silver">Constants!$B$19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6" i="7" l="1"/>
  <c r="D25" i="7"/>
  <c r="D24" i="7"/>
  <c r="H24" i="7" s="1"/>
  <c r="D23" i="7"/>
  <c r="K82" i="7"/>
  <c r="H82" i="7"/>
  <c r="I82" i="7" s="1"/>
  <c r="D82" i="7"/>
  <c r="K81" i="7"/>
  <c r="H81" i="7"/>
  <c r="I81" i="7" s="1"/>
  <c r="D81" i="7"/>
  <c r="K80" i="7"/>
  <c r="P80" i="7" s="1"/>
  <c r="H80" i="7"/>
  <c r="I80" i="7" s="1"/>
  <c r="D80" i="7"/>
  <c r="K79" i="7"/>
  <c r="H79" i="7"/>
  <c r="I79" i="7" s="1"/>
  <c r="D79" i="7"/>
  <c r="K78" i="7"/>
  <c r="H78" i="7"/>
  <c r="I78" i="7" s="1"/>
  <c r="D78" i="7"/>
  <c r="K77" i="7"/>
  <c r="H77" i="7"/>
  <c r="I77" i="7" s="1"/>
  <c r="D77" i="7"/>
  <c r="P76" i="7"/>
  <c r="K76" i="7"/>
  <c r="H76" i="7"/>
  <c r="I76" i="7" s="1"/>
  <c r="Q76" i="7" s="1"/>
  <c r="D76" i="7"/>
  <c r="K75" i="7"/>
  <c r="H75" i="7"/>
  <c r="I75" i="7" s="1"/>
  <c r="D75" i="7"/>
  <c r="K74" i="7"/>
  <c r="H74" i="7"/>
  <c r="I74" i="7" s="1"/>
  <c r="D74" i="7"/>
  <c r="K73" i="7"/>
  <c r="I73" i="7"/>
  <c r="H73" i="7"/>
  <c r="D73" i="7"/>
  <c r="P72" i="7"/>
  <c r="K72" i="7"/>
  <c r="H72" i="7"/>
  <c r="I72" i="7" s="1"/>
  <c r="D72" i="7"/>
  <c r="K71" i="7"/>
  <c r="P71" i="7" s="1"/>
  <c r="H71" i="7"/>
  <c r="I71" i="7" s="1"/>
  <c r="D71" i="7"/>
  <c r="K70" i="7"/>
  <c r="P70" i="7" s="1"/>
  <c r="H70" i="7"/>
  <c r="I70" i="7" s="1"/>
  <c r="D70" i="7"/>
  <c r="P69" i="7"/>
  <c r="K69" i="7"/>
  <c r="Q69" i="7" s="1"/>
  <c r="I69" i="7"/>
  <c r="H69" i="7"/>
  <c r="D69" i="7"/>
  <c r="K68" i="7"/>
  <c r="H68" i="7"/>
  <c r="I68" i="7" s="1"/>
  <c r="D68" i="7"/>
  <c r="K67" i="7"/>
  <c r="P67" i="7" s="1"/>
  <c r="H67" i="7"/>
  <c r="I67" i="7" s="1"/>
  <c r="D67" i="7"/>
  <c r="Q66" i="7"/>
  <c r="P66" i="7"/>
  <c r="K66" i="7"/>
  <c r="I66" i="7"/>
  <c r="H66" i="7"/>
  <c r="D66" i="7"/>
  <c r="K65" i="7"/>
  <c r="H65" i="7"/>
  <c r="I65" i="7" s="1"/>
  <c r="D65" i="7"/>
  <c r="K64" i="7"/>
  <c r="H64" i="7"/>
  <c r="I64" i="7" s="1"/>
  <c r="D64" i="7"/>
  <c r="K63" i="7"/>
  <c r="I63" i="7"/>
  <c r="H63" i="7"/>
  <c r="D63" i="7"/>
  <c r="P62" i="7"/>
  <c r="K62" i="7"/>
  <c r="H62" i="7"/>
  <c r="I62" i="7" s="1"/>
  <c r="D62" i="7"/>
  <c r="K61" i="7"/>
  <c r="H61" i="7"/>
  <c r="I61" i="7" s="1"/>
  <c r="D61" i="7"/>
  <c r="K60" i="7"/>
  <c r="H60" i="7"/>
  <c r="I60" i="7" s="1"/>
  <c r="D60" i="7"/>
  <c r="P59" i="7"/>
  <c r="K59" i="7"/>
  <c r="Q59" i="7" s="1"/>
  <c r="I59" i="7"/>
  <c r="H59" i="7"/>
  <c r="D59" i="7"/>
  <c r="K58" i="7"/>
  <c r="H58" i="7"/>
  <c r="I58" i="7" s="1"/>
  <c r="D58" i="7"/>
  <c r="K57" i="7"/>
  <c r="H57" i="7"/>
  <c r="I57" i="7" s="1"/>
  <c r="D57" i="7"/>
  <c r="Q56" i="7"/>
  <c r="P56" i="7"/>
  <c r="K56" i="7"/>
  <c r="I56" i="7"/>
  <c r="H56" i="7"/>
  <c r="D56" i="7"/>
  <c r="K55" i="7"/>
  <c r="H55" i="7"/>
  <c r="I55" i="7" s="1"/>
  <c r="D55" i="7"/>
  <c r="K54" i="7"/>
  <c r="H54" i="7"/>
  <c r="I54" i="7" s="1"/>
  <c r="D54" i="7"/>
  <c r="K53" i="7"/>
  <c r="P53" i="7" s="1"/>
  <c r="I53" i="7"/>
  <c r="H53" i="7"/>
  <c r="D53" i="7"/>
  <c r="P52" i="7"/>
  <c r="K52" i="7"/>
  <c r="H52" i="7"/>
  <c r="I52" i="7" s="1"/>
  <c r="D52" i="7"/>
  <c r="K51" i="7"/>
  <c r="P51" i="7" s="1"/>
  <c r="H51" i="7"/>
  <c r="I51" i="7" s="1"/>
  <c r="D51" i="7"/>
  <c r="K50" i="7"/>
  <c r="H50" i="7"/>
  <c r="I50" i="7" s="1"/>
  <c r="D50" i="7"/>
  <c r="P49" i="7"/>
  <c r="K49" i="7"/>
  <c r="Q49" i="7" s="1"/>
  <c r="I49" i="7"/>
  <c r="H49" i="7"/>
  <c r="D49" i="7"/>
  <c r="K48" i="7"/>
  <c r="P48" i="7" s="1"/>
  <c r="H48" i="7"/>
  <c r="I48" i="7" s="1"/>
  <c r="D48" i="7"/>
  <c r="K47" i="7"/>
  <c r="P47" i="7" s="1"/>
  <c r="H47" i="7"/>
  <c r="I47" i="7" s="1"/>
  <c r="D47" i="7"/>
  <c r="Q46" i="7"/>
  <c r="P46" i="7"/>
  <c r="K46" i="7"/>
  <c r="I46" i="7"/>
  <c r="H46" i="7"/>
  <c r="D46" i="7"/>
  <c r="K45" i="7"/>
  <c r="H45" i="7"/>
  <c r="I45" i="7" s="1"/>
  <c r="D45" i="7"/>
  <c r="K44" i="7"/>
  <c r="H44" i="7"/>
  <c r="I44" i="7" s="1"/>
  <c r="D44" i="7"/>
  <c r="K43" i="7"/>
  <c r="I43" i="7"/>
  <c r="H43" i="7"/>
  <c r="D43" i="7"/>
  <c r="P42" i="7"/>
  <c r="K42" i="7"/>
  <c r="Q42" i="7" s="1"/>
  <c r="H42" i="7"/>
  <c r="I42" i="7" s="1"/>
  <c r="D42" i="7"/>
  <c r="K41" i="7"/>
  <c r="P41" i="7" s="1"/>
  <c r="H41" i="7"/>
  <c r="I41" i="7" s="1"/>
  <c r="D41" i="7"/>
  <c r="K40" i="7"/>
  <c r="P40" i="7" s="1"/>
  <c r="H40" i="7"/>
  <c r="I40" i="7" s="1"/>
  <c r="D40" i="7"/>
  <c r="P39" i="7"/>
  <c r="K39" i="7"/>
  <c r="Q39" i="7" s="1"/>
  <c r="I39" i="7"/>
  <c r="H39" i="7"/>
  <c r="D39" i="7"/>
  <c r="K38" i="7"/>
  <c r="H38" i="7"/>
  <c r="I38" i="7" s="1"/>
  <c r="D38" i="7"/>
  <c r="K37" i="7"/>
  <c r="P37" i="7" s="1"/>
  <c r="H37" i="7"/>
  <c r="I37" i="7" s="1"/>
  <c r="D37" i="7"/>
  <c r="Q36" i="7"/>
  <c r="P36" i="7"/>
  <c r="K36" i="7"/>
  <c r="I36" i="7"/>
  <c r="H36" i="7"/>
  <c r="D36" i="7"/>
  <c r="K35" i="7"/>
  <c r="H35" i="7"/>
  <c r="I35" i="7" s="1"/>
  <c r="D35" i="7"/>
  <c r="K34" i="7"/>
  <c r="H34" i="7"/>
  <c r="I34" i="7" s="1"/>
  <c r="D34" i="7"/>
  <c r="K33" i="7"/>
  <c r="I33" i="7"/>
  <c r="H33" i="7"/>
  <c r="D33" i="7"/>
  <c r="P32" i="7"/>
  <c r="K32" i="7"/>
  <c r="H32" i="7"/>
  <c r="I32" i="7" s="1"/>
  <c r="D32" i="7"/>
  <c r="K31" i="7"/>
  <c r="P31" i="7" s="1"/>
  <c r="H31" i="7"/>
  <c r="I31" i="7" s="1"/>
  <c r="D31" i="7"/>
  <c r="K30" i="7"/>
  <c r="P30" i="7" s="1"/>
  <c r="H30" i="7"/>
  <c r="I30" i="7" s="1"/>
  <c r="D30" i="7"/>
  <c r="P29" i="7"/>
  <c r="K29" i="7"/>
  <c r="Q29" i="7" s="1"/>
  <c r="I29" i="7"/>
  <c r="H29" i="7"/>
  <c r="D29" i="7"/>
  <c r="K28" i="7"/>
  <c r="P28" i="7" s="1"/>
  <c r="H28" i="7"/>
  <c r="I28" i="7" s="1"/>
  <c r="D28" i="7"/>
  <c r="K27" i="7"/>
  <c r="H27" i="7"/>
  <c r="I27" i="7" s="1"/>
  <c r="D27" i="7"/>
  <c r="P26" i="7"/>
  <c r="K26" i="7"/>
  <c r="H26" i="7"/>
  <c r="I26" i="7" s="1"/>
  <c r="Q26" i="7" s="1"/>
  <c r="K25" i="7"/>
  <c r="H25" i="7"/>
  <c r="K24" i="7"/>
  <c r="K23" i="7"/>
  <c r="H23" i="7"/>
  <c r="N7" i="3"/>
  <c r="N8" i="3"/>
  <c r="N9" i="3"/>
  <c r="N10" i="3"/>
  <c r="N11" i="3"/>
  <c r="N6" i="3"/>
  <c r="H16" i="6"/>
  <c r="H15" i="6"/>
  <c r="H13" i="6"/>
  <c r="H11" i="6"/>
  <c r="B10" i="6"/>
  <c r="E7" i="6" s="1"/>
  <c r="H9" i="6"/>
  <c r="P33" i="5"/>
  <c r="O33" i="5"/>
  <c r="Q33" i="5" s="1"/>
  <c r="B9" i="6" s="1"/>
  <c r="H7" i="6" s="1"/>
  <c r="G33" i="5"/>
  <c r="B6" i="6" s="1"/>
  <c r="Q30" i="5"/>
  <c r="N30" i="5"/>
  <c r="M30" i="5"/>
  <c r="F30" i="5"/>
  <c r="Q29" i="5"/>
  <c r="N29" i="5"/>
  <c r="M29" i="5"/>
  <c r="F29" i="5"/>
  <c r="Q28" i="5"/>
  <c r="N28" i="5"/>
  <c r="M28" i="5"/>
  <c r="F28" i="5"/>
  <c r="Q27" i="5"/>
  <c r="N27" i="5"/>
  <c r="M27" i="5"/>
  <c r="F27" i="5"/>
  <c r="Q26" i="5"/>
  <c r="N26" i="5"/>
  <c r="M26" i="5"/>
  <c r="F26" i="5"/>
  <c r="Q25" i="5"/>
  <c r="N25" i="5"/>
  <c r="M25" i="5"/>
  <c r="F25" i="5"/>
  <c r="Q24" i="5"/>
  <c r="N24" i="5"/>
  <c r="M24" i="5"/>
  <c r="F24" i="5"/>
  <c r="Q23" i="5"/>
  <c r="N23" i="5"/>
  <c r="M23" i="5"/>
  <c r="F23" i="5"/>
  <c r="Q22" i="5"/>
  <c r="N22" i="5"/>
  <c r="M22" i="5"/>
  <c r="F22" i="5"/>
  <c r="Q21" i="5"/>
  <c r="N21" i="5"/>
  <c r="M21" i="5"/>
  <c r="F21" i="5"/>
  <c r="Q20" i="5"/>
  <c r="N20" i="5"/>
  <c r="M20" i="5"/>
  <c r="F20" i="5"/>
  <c r="Q19" i="5"/>
  <c r="N19" i="5"/>
  <c r="M19" i="5"/>
  <c r="F19" i="5"/>
  <c r="Q18" i="5"/>
  <c r="N18" i="5"/>
  <c r="M18" i="5"/>
  <c r="F18" i="5"/>
  <c r="Q17" i="5"/>
  <c r="N17" i="5"/>
  <c r="M17" i="5"/>
  <c r="F17" i="5"/>
  <c r="Q16" i="5"/>
  <c r="N16" i="5"/>
  <c r="M16" i="5"/>
  <c r="F16" i="5"/>
  <c r="Q15" i="5"/>
  <c r="N15" i="5"/>
  <c r="M15" i="5"/>
  <c r="F15" i="5"/>
  <c r="Q14" i="5"/>
  <c r="N14" i="5"/>
  <c r="M14" i="5"/>
  <c r="F14" i="5"/>
  <c r="Q13" i="5"/>
  <c r="N13" i="5"/>
  <c r="M13" i="5"/>
  <c r="F13" i="5"/>
  <c r="Q12" i="5"/>
  <c r="N12" i="5"/>
  <c r="M12" i="5"/>
  <c r="F12" i="5"/>
  <c r="Q11" i="5"/>
  <c r="N11" i="5"/>
  <c r="M11" i="5"/>
  <c r="F11" i="5"/>
  <c r="Q10" i="5"/>
  <c r="M10" i="5"/>
  <c r="N10" i="5" s="1"/>
  <c r="F10" i="5"/>
  <c r="Q9" i="5"/>
  <c r="M9" i="5"/>
  <c r="N9" i="5" s="1"/>
  <c r="F9" i="5"/>
  <c r="Q8" i="5"/>
  <c r="M8" i="5"/>
  <c r="N8" i="5" s="1"/>
  <c r="F8" i="5"/>
  <c r="Q7" i="5"/>
  <c r="M7" i="5"/>
  <c r="N7" i="5" s="1"/>
  <c r="F7" i="5"/>
  <c r="Q6" i="5"/>
  <c r="M6" i="5"/>
  <c r="F6" i="5"/>
  <c r="I25" i="7" l="1"/>
  <c r="I24" i="7"/>
  <c r="I23" i="7"/>
  <c r="D86" i="7" s="1"/>
  <c r="D85" i="7"/>
  <c r="Q44" i="7"/>
  <c r="Q24" i="7"/>
  <c r="Q34" i="7"/>
  <c r="Q79" i="7"/>
  <c r="Q63" i="7"/>
  <c r="Q74" i="7"/>
  <c r="Q27" i="7"/>
  <c r="Q45" i="7"/>
  <c r="Q52" i="7"/>
  <c r="Q25" i="7"/>
  <c r="Q81" i="7"/>
  <c r="Q62" i="7"/>
  <c r="Q64" i="7"/>
  <c r="Q75" i="7"/>
  <c r="Q54" i="7"/>
  <c r="Q35" i="7"/>
  <c r="Q32" i="7"/>
  <c r="Q38" i="7"/>
  <c r="Q72" i="7"/>
  <c r="Q82" i="7"/>
  <c r="P60" i="7"/>
  <c r="Q60" i="7" s="1"/>
  <c r="Q30" i="7"/>
  <c r="Q70" i="7"/>
  <c r="Q80" i="7"/>
  <c r="Q37" i="7"/>
  <c r="Q67" i="7"/>
  <c r="P24" i="7"/>
  <c r="P34" i="7"/>
  <c r="P44" i="7"/>
  <c r="P54" i="7"/>
  <c r="P64" i="7"/>
  <c r="P74" i="7"/>
  <c r="P33" i="7"/>
  <c r="Q33" i="7" s="1"/>
  <c r="P43" i="7"/>
  <c r="Q43" i="7" s="1"/>
  <c r="P63" i="7"/>
  <c r="P50" i="7"/>
  <c r="Q50" i="7" s="1"/>
  <c r="P27" i="7"/>
  <c r="P57" i="7"/>
  <c r="Q57" i="7" s="1"/>
  <c r="P61" i="7"/>
  <c r="Q61" i="7" s="1"/>
  <c r="Q31" i="7"/>
  <c r="Q71" i="7"/>
  <c r="P68" i="7"/>
  <c r="Q68" i="7" s="1"/>
  <c r="P78" i="7"/>
  <c r="Q78" i="7" s="1"/>
  <c r="P23" i="7"/>
  <c r="Q51" i="7"/>
  <c r="P38" i="7"/>
  <c r="P25" i="7"/>
  <c r="P35" i="7"/>
  <c r="P45" i="7"/>
  <c r="P55" i="7"/>
  <c r="Q55" i="7" s="1"/>
  <c r="P65" i="7"/>
  <c r="Q65" i="7" s="1"/>
  <c r="P75" i="7"/>
  <c r="P58" i="7"/>
  <c r="Q58" i="7" s="1"/>
  <c r="P73" i="7"/>
  <c r="Q73" i="7" s="1"/>
  <c r="M33" i="5"/>
  <c r="Q40" i="7"/>
  <c r="Q48" i="7"/>
  <c r="P82" i="7"/>
  <c r="F33" i="5"/>
  <c r="B5" i="6" s="1"/>
  <c r="E5" i="6" s="1"/>
  <c r="Q53" i="7"/>
  <c r="P77" i="7"/>
  <c r="Q77" i="7" s="1"/>
  <c r="Q47" i="7"/>
  <c r="Q41" i="7"/>
  <c r="Q28" i="7"/>
  <c r="P81" i="7"/>
  <c r="P79" i="7"/>
  <c r="N33" i="5"/>
  <c r="B8" i="6" s="1"/>
  <c r="B7" i="6"/>
  <c r="N6" i="5"/>
  <c r="Q23" i="7" l="1"/>
  <c r="D84" i="7" s="1"/>
  <c r="H6" i="6"/>
  <c r="H17" i="6" s="1"/>
  <c r="H18" i="6" s="1"/>
  <c r="E6" i="6"/>
  <c r="E8" i="6" s="1"/>
</calcChain>
</file>

<file path=xl/sharedStrings.xml><?xml version="1.0" encoding="utf-8"?>
<sst xmlns="http://schemas.openxmlformats.org/spreadsheetml/2006/main" count="263" uniqueCount="173">
  <si>
    <t>Dungeon Builder 25 Floor Table Model (ReadMe)</t>
  </si>
  <si>
    <t>What this file does</t>
  </si>
  <si>
    <t>This workbook models a dungeon with up to 25 floors using a single Floors table. It computes Challenge Rating and Heat deltas from per floor inputs.</t>
  </si>
  <si>
    <t>How to use</t>
  </si>
  <si>
    <t>1) Go to Floors_25 and edit only blue cells. Each row is one floor.</t>
  </si>
  <si>
    <t>2) Tune knobs on Constants. The summary updates automatically.</t>
  </si>
  <si>
    <t>3) Use Monster_Threat and Loot_Table as optional calculators, then paste totals into Floors_25.</t>
  </si>
  <si>
    <t>Why a table</t>
  </si>
  <si>
    <t>Tables scale better than having one sheet per floor. It also mirrors how you will store data in the game.</t>
  </si>
  <si>
    <t>Constants and Tuning Knobs</t>
  </si>
  <si>
    <t>Name</t>
  </si>
  <si>
    <t>Value</t>
  </si>
  <si>
    <t>Monster constant k_monsters</t>
  </si>
  <si>
    <t>Trap constant k_traps</t>
  </si>
  <si>
    <t>Environment constant k_env</t>
  </si>
  <si>
    <t>Challenge scale A</t>
  </si>
  <si>
    <t>Death scale B</t>
  </si>
  <si>
    <t>Floor scale C</t>
  </si>
  <si>
    <t>Target death rate per 100</t>
  </si>
  <si>
    <t>Heat lethality constant h_lethal</t>
  </si>
  <si>
    <t>Heat loot constant h_loot</t>
  </si>
  <si>
    <t>Heat noble constant h_noble</t>
  </si>
  <si>
    <t>Heat overflow constant h_overflow</t>
  </si>
  <si>
    <t>Heat training constant h_training (cooling)</t>
  </si>
  <si>
    <t>Heat diplomacy constant h_diplomacy (cooling)</t>
  </si>
  <si>
    <t>Heat decay factor d_decay</t>
  </si>
  <si>
    <t>Rank weight Bronze</t>
  </si>
  <si>
    <t>Rank weight Silver</t>
  </si>
  <si>
    <t>Rank weight Gold</t>
  </si>
  <si>
    <t>Rank weight Platinum</t>
  </si>
  <si>
    <t>Rank weight Diamond</t>
  </si>
  <si>
    <t>Monster Threat Calculator</t>
  </si>
  <si>
    <t>Optional: calculate Threat for a monster template at a summon level, then use it to estimate total monster threat on a floor.</t>
  </si>
  <si>
    <t>Monster</t>
  </si>
  <si>
    <t>Base Level</t>
  </si>
  <si>
    <t>Summon Level</t>
  </si>
  <si>
    <t>Base Health</t>
  </si>
  <si>
    <t>Base Attack</t>
  </si>
  <si>
    <t>Base Defense</t>
  </si>
  <si>
    <t>Growth Health</t>
  </si>
  <si>
    <t>Growth Attack</t>
  </si>
  <si>
    <t>Growth Defense</t>
  </si>
  <si>
    <t>Trait Multiplier</t>
  </si>
  <si>
    <t>Ability DPS</t>
  </si>
  <si>
    <t>k_health</t>
  </si>
  <si>
    <t>k_defense</t>
  </si>
  <si>
    <t>Threat</t>
  </si>
  <si>
    <t>Goblin</t>
  </si>
  <si>
    <t>Goblin Archer</t>
  </si>
  <si>
    <t>Goblin Shaman</t>
  </si>
  <si>
    <t>Skeleton</t>
  </si>
  <si>
    <t>Skeleton Archer</t>
  </si>
  <si>
    <t>Skeleton Mage</t>
  </si>
  <si>
    <t>Item</t>
  </si>
  <si>
    <t>Rarity</t>
  </si>
  <si>
    <t>Base Weight</t>
  </si>
  <si>
    <t>Floor Modifier</t>
  </si>
  <si>
    <t>Dungeon Modifier</t>
  </si>
  <si>
    <t>Event Modifier</t>
  </si>
  <si>
    <t>Final Weight</t>
  </si>
  <si>
    <t>Material Tier Value</t>
  </si>
  <si>
    <t>Item Type Factor</t>
  </si>
  <si>
    <t>Enchantment Score</t>
  </si>
  <si>
    <t>Enchant Factor</t>
  </si>
  <si>
    <t>Value Score</t>
  </si>
  <si>
    <t>Common</t>
  </si>
  <si>
    <t>Uncommon</t>
  </si>
  <si>
    <t>Rare</t>
  </si>
  <si>
    <t>Elite</t>
  </si>
  <si>
    <t>Epic</t>
  </si>
  <si>
    <t>Legendary</t>
  </si>
  <si>
    <t>Relic</t>
  </si>
  <si>
    <t>Iron Sword</t>
  </si>
  <si>
    <t>Silver Ring</t>
  </si>
  <si>
    <t>Health Potion</t>
  </si>
  <si>
    <t>Boss Set Helm (placeholder)</t>
  </si>
  <si>
    <t>Expected loot value per run</t>
  </si>
  <si>
    <t>Floors Table (25 Floors)</t>
  </si>
  <si>
    <t>Each row is one floor. Enter aggregated totals for Monster Threat, Trap Threat, and Environment Threat, plus visits, deaths, and loot fairness.</t>
  </si>
  <si>
    <t>Floor</t>
  </si>
  <si>
    <t>Enabled</t>
  </si>
  <si>
    <t>Total Monster Threat</t>
  </si>
  <si>
    <t>Total Trap Threat</t>
  </si>
  <si>
    <t>Total Env Threat</t>
  </si>
  <si>
    <t>Floor Danger</t>
  </si>
  <si>
    <t>Visits</t>
  </si>
  <si>
    <t>Deaths Bronze</t>
  </si>
  <si>
    <t>Deaths Silver</t>
  </si>
  <si>
    <t>Deaths Gold</t>
  </si>
  <si>
    <t>Deaths Platinum</t>
  </si>
  <si>
    <t>Deaths Diamond</t>
  </si>
  <si>
    <t>Weighted Deaths</t>
  </si>
  <si>
    <t>Death Rate per 100</t>
  </si>
  <si>
    <t>Expected Loot Value</t>
  </si>
  <si>
    <t>Actual Loot Value</t>
  </si>
  <si>
    <t>Loot Fairness Ratio</t>
  </si>
  <si>
    <t>Yes</t>
  </si>
  <si>
    <t>No</t>
  </si>
  <si>
    <t>Totals</t>
  </si>
  <si>
    <t>Dungeon Summary</t>
  </si>
  <si>
    <t>Pulls totals from Floors_25 and computes overall Challenge Rating and Heat change.</t>
  </si>
  <si>
    <t>Total danger</t>
  </si>
  <si>
    <t>Base CR</t>
  </si>
  <si>
    <t>Current heat</t>
  </si>
  <si>
    <t>Total visits</t>
  </si>
  <si>
    <t>Death CR</t>
  </si>
  <si>
    <t>Lethality heat</t>
  </si>
  <si>
    <t>Weighted deaths</t>
  </si>
  <si>
    <t>Floor CR</t>
  </si>
  <si>
    <t>Loot heat</t>
  </si>
  <si>
    <t>Death rate per 100</t>
  </si>
  <si>
    <t>Total challenge rating</t>
  </si>
  <si>
    <t>Noble deaths (dungeon)</t>
  </si>
  <si>
    <t>Loot fairness ratio</t>
  </si>
  <si>
    <t>Noble heat</t>
  </si>
  <si>
    <t>Enabled floors</t>
  </si>
  <si>
    <t>Overflow events (dungeon)</t>
  </si>
  <si>
    <t>Overflow heat</t>
  </si>
  <si>
    <t>Training events</t>
  </si>
  <si>
    <t>Training cooling</t>
  </si>
  <si>
    <t>Diplomacy actions</t>
  </si>
  <si>
    <t>Diplomacy cooling</t>
  </si>
  <si>
    <t>Natural decay</t>
  </si>
  <si>
    <t>Heat change</t>
  </si>
  <si>
    <t>New heat</t>
  </si>
  <si>
    <t>BaseWeight</t>
  </si>
  <si>
    <t>Loot Table Calculator (Option C Split Tables)</t>
  </si>
  <si>
    <t>Purpose</t>
  </si>
  <si>
    <t>Left table controls drop chance. Right table controls item value. Expected value ties them together. Edit only yellow cells.</t>
  </si>
  <si>
    <t>Legend</t>
  </si>
  <si>
    <t>Rarity Base Weights</t>
  </si>
  <si>
    <t>Default Ranges (Safe Starting Points)</t>
  </si>
  <si>
    <t>Yellow</t>
  </si>
  <si>
    <t>Editable input</t>
  </si>
  <si>
    <t>Field</t>
  </si>
  <si>
    <t>Suggested Range</t>
  </si>
  <si>
    <t>Notes</t>
  </si>
  <si>
    <t>Blue</t>
  </si>
  <si>
    <t>Chance section</t>
  </si>
  <si>
    <t>0.6 to 2.5</t>
  </si>
  <si>
    <t>Early floors lower, boss floors higher</t>
  </si>
  <si>
    <t>Green</t>
  </si>
  <si>
    <t>Value section</t>
  </si>
  <si>
    <t>0.8 to 1.6</t>
  </si>
  <si>
    <t>Stingy to generous dungeon mood</t>
  </si>
  <si>
    <t>Gray</t>
  </si>
  <si>
    <t>Calculated output</t>
  </si>
  <si>
    <t>0.5 to 2.0</t>
  </si>
  <si>
    <t>Temporary world event effects</t>
  </si>
  <si>
    <t>0 to 25</t>
  </si>
  <si>
    <t>Use tier list below</t>
  </si>
  <si>
    <t>0.6 to 1.8</t>
  </si>
  <si>
    <t>Consumable lower, jewelry higher</t>
  </si>
  <si>
    <t>0 to 15</t>
  </si>
  <si>
    <t>Complex effects score higher</t>
  </si>
  <si>
    <t>1.5 to 3.0</t>
  </si>
  <si>
    <t>Advanced enchantments scale harder</t>
  </si>
  <si>
    <t>Material Tier Values</t>
  </si>
  <si>
    <t>Material</t>
  </si>
  <si>
    <t>Copper</t>
  </si>
  <si>
    <t>Iron</t>
  </si>
  <si>
    <t>Steel</t>
  </si>
  <si>
    <t>Chance Table</t>
  </si>
  <si>
    <t>Value Table</t>
  </si>
  <si>
    <t>Row</t>
  </si>
  <si>
    <t>Floor Mod</t>
  </si>
  <si>
    <t>Dungeon Mod</t>
  </si>
  <si>
    <t>Event Mod</t>
  </si>
  <si>
    <t>Drop Prob</t>
  </si>
  <si>
    <t>Enchant Score</t>
  </si>
  <si>
    <t>Expected Value</t>
  </si>
  <si>
    <t>Total final weight (sanity check)</t>
  </si>
  <si>
    <t>Sum drop probability (should be 1.0 when at least one item exists)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</si>
</sst>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5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/>
      <bottom style="thin">
        <color rgb="FF9E9E9E"/>
      </bottom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2" fillId="0" borderId="0" xfId="0" applyFont="1"/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0" fillId="0" borderId="0" xfId="0" applyAlignment="1">
      <alignment horizontal="left" vertical="center" wrapText="1"/>
    </xf>
    <xf numFmtId="0" fontId="0" fillId="0" borderId="0" xfId="0"/>
    <xf numFmtId="0" fontId="0" fillId="2" borderId="1" xfId="0" applyFill="1" applyBorder="1"/>
    <xf numFmtId="0" fontId="2" fillId="0" borderId="0" xfId="0" applyFont="1"/>
    <xf numFmtId="0" fontId="0" fillId="6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/>
    <xf numFmtId="0" fontId="2" fillId="3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" fillId="0" borderId="3" xfId="0" applyFont="1" applyBorder="1"/>
    <xf numFmtId="0" fontId="0" fillId="0" borderId="4" xfId="0" applyBorder="1"/>
    <xf numFmtId="0" fontId="0" fillId="0" borderId="3" xfId="0" applyBorder="1"/>
    <xf numFmtId="0" fontId="2" fillId="4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2" fontId="0" fillId="5" borderId="1" xfId="0" applyNumberFormat="1" applyFill="1" applyBorder="1" applyAlignment="1">
      <alignment horizontal="center" vertical="center" wrapText="1"/>
    </xf>
    <xf numFmtId="0" fontId="2" fillId="0" borderId="1" xfId="0" applyFont="1" applyBorder="1"/>
    <xf numFmtId="2" fontId="0" fillId="5" borderId="1" xfId="0" applyNumberFormat="1" applyFill="1" applyBorder="1"/>
    <xf numFmtId="164" fontId="0" fillId="5" borderId="1" xfId="0" applyNumberFormat="1" applyFill="1" applyBorder="1"/>
  </cellXfs>
  <cellStyles count="1">
    <cellStyle name="Normal" xfId="0" builtinId="0"/>
  </cellStyles>
  <dxfs count="5"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showGridLines="0" workbookViewId="0">
      <selection sqref="A1:L1"/>
    </sheetView>
  </sheetViews>
  <sheetFormatPr defaultRowHeight="15" x14ac:dyDescent="0.25"/>
  <cols>
    <col min="1" max="1" width="115" customWidth="1"/>
  </cols>
  <sheetData>
    <row r="1" spans="1:12" ht="27.95" customHeight="1" x14ac:dyDescent="0.2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3" spans="1:12" x14ac:dyDescent="0.25">
      <c r="A3" s="1" t="s">
        <v>1</v>
      </c>
    </row>
    <row r="4" spans="1:12" ht="30" x14ac:dyDescent="0.25">
      <c r="A4" s="2" t="s">
        <v>2</v>
      </c>
    </row>
    <row r="5" spans="1:12" x14ac:dyDescent="0.25">
      <c r="A5" s="2"/>
    </row>
    <row r="6" spans="1:12" x14ac:dyDescent="0.25">
      <c r="A6" s="1" t="s">
        <v>3</v>
      </c>
    </row>
    <row r="7" spans="1:12" x14ac:dyDescent="0.25">
      <c r="A7" s="2" t="s">
        <v>4</v>
      </c>
    </row>
    <row r="8" spans="1:12" x14ac:dyDescent="0.25">
      <c r="A8" s="2" t="s">
        <v>5</v>
      </c>
    </row>
    <row r="9" spans="1:12" x14ac:dyDescent="0.25">
      <c r="A9" s="2" t="s">
        <v>6</v>
      </c>
    </row>
    <row r="10" spans="1:12" x14ac:dyDescent="0.25">
      <c r="A10" s="2"/>
    </row>
    <row r="11" spans="1:12" x14ac:dyDescent="0.25">
      <c r="A11" s="1" t="s">
        <v>7</v>
      </c>
    </row>
    <row r="12" spans="1:12" x14ac:dyDescent="0.25">
      <c r="A12" s="2" t="s">
        <v>8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8"/>
  <sheetViews>
    <sheetView showGridLines="0" workbookViewId="0">
      <selection sqref="A1:N1"/>
    </sheetView>
  </sheetViews>
  <sheetFormatPr defaultRowHeight="15" x14ac:dyDescent="0.25"/>
  <cols>
    <col min="1" max="1" width="18" customWidth="1"/>
    <col min="2" max="2" width="16" customWidth="1"/>
    <col min="4" max="5" width="18" customWidth="1"/>
    <col min="7" max="7" width="22" customWidth="1"/>
    <col min="8" max="8" width="16" customWidth="1"/>
  </cols>
  <sheetData>
    <row r="1" spans="1:14" ht="27.95" customHeight="1" x14ac:dyDescent="0.25">
      <c r="A1" s="13" t="s">
        <v>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3" spans="1:14" x14ac:dyDescent="0.25">
      <c r="A3" s="15" t="s">
        <v>100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5" spans="1:14" x14ac:dyDescent="0.25">
      <c r="A5" s="11" t="s">
        <v>101</v>
      </c>
      <c r="B5" s="8">
        <f>Floors_25!F33</f>
        <v>0</v>
      </c>
      <c r="D5" s="11" t="s">
        <v>102</v>
      </c>
      <c r="E5" s="8">
        <f>A_scale*LOG10(B5+1)</f>
        <v>0</v>
      </c>
      <c r="G5" s="11" t="s">
        <v>103</v>
      </c>
      <c r="H5" s="5">
        <v>30</v>
      </c>
    </row>
    <row r="6" spans="1:14" x14ac:dyDescent="0.25">
      <c r="A6" s="11" t="s">
        <v>104</v>
      </c>
      <c r="B6" s="8">
        <f>Floors_25!G33</f>
        <v>0</v>
      </c>
      <c r="D6" s="11" t="s">
        <v>105</v>
      </c>
      <c r="E6" s="8">
        <f>B_scale*LOG10(B8+1)</f>
        <v>0</v>
      </c>
      <c r="G6" s="11" t="s">
        <v>106</v>
      </c>
      <c r="H6" s="8">
        <f>h_lethal*MAX(0,B8-TargetDeathRate)</f>
        <v>0</v>
      </c>
    </row>
    <row r="7" spans="1:14" x14ac:dyDescent="0.25">
      <c r="A7" s="11" t="s">
        <v>107</v>
      </c>
      <c r="B7" s="8">
        <f>Floors_25!M33</f>
        <v>0</v>
      </c>
      <c r="D7" s="11" t="s">
        <v>108</v>
      </c>
      <c r="E7" s="8">
        <f>C_scale*SQRT(B10)</f>
        <v>22.360679774997898</v>
      </c>
      <c r="G7" s="11" t="s">
        <v>109</v>
      </c>
      <c r="H7" s="8">
        <f>h_loot*((1/(B9+0.0001))-1)</f>
        <v>49995</v>
      </c>
    </row>
    <row r="8" spans="1:14" ht="30" x14ac:dyDescent="0.25">
      <c r="A8" s="11" t="s">
        <v>110</v>
      </c>
      <c r="B8" s="6">
        <f>Floors_25!N33</f>
        <v>0</v>
      </c>
      <c r="D8" s="11" t="s">
        <v>111</v>
      </c>
      <c r="E8" s="12">
        <f>E5+E6+E7</f>
        <v>22.360679774997898</v>
      </c>
      <c r="G8" s="11" t="s">
        <v>112</v>
      </c>
      <c r="H8" s="5">
        <v>0</v>
      </c>
    </row>
    <row r="9" spans="1:14" x14ac:dyDescent="0.25">
      <c r="A9" s="11" t="s">
        <v>113</v>
      </c>
      <c r="B9" s="9">
        <f>Floors_25!Q33</f>
        <v>0</v>
      </c>
      <c r="G9" s="11" t="s">
        <v>114</v>
      </c>
      <c r="H9" s="8">
        <f>h_noble*H8</f>
        <v>0</v>
      </c>
    </row>
    <row r="10" spans="1:14" ht="30" x14ac:dyDescent="0.25">
      <c r="A10" s="11" t="s">
        <v>115</v>
      </c>
      <c r="B10" s="8">
        <f>COUNTIF(Floors_25!B6:'Floors_25'!B30,"Yes")</f>
        <v>5</v>
      </c>
      <c r="G10" s="11" t="s">
        <v>116</v>
      </c>
      <c r="H10" s="5">
        <v>0</v>
      </c>
    </row>
    <row r="11" spans="1:14" x14ac:dyDescent="0.25">
      <c r="G11" s="11" t="s">
        <v>117</v>
      </c>
      <c r="H11" s="8">
        <f>h_overflow*H10</f>
        <v>0</v>
      </c>
    </row>
    <row r="12" spans="1:14" x14ac:dyDescent="0.25">
      <c r="G12" s="11" t="s">
        <v>118</v>
      </c>
      <c r="H12" s="5">
        <v>0</v>
      </c>
    </row>
    <row r="13" spans="1:14" x14ac:dyDescent="0.25">
      <c r="G13" s="11" t="s">
        <v>119</v>
      </c>
      <c r="H13" s="8">
        <f>-h_training*H12</f>
        <v>0</v>
      </c>
    </row>
    <row r="14" spans="1:14" x14ac:dyDescent="0.25">
      <c r="G14" s="11" t="s">
        <v>120</v>
      </c>
      <c r="H14" s="5">
        <v>0</v>
      </c>
    </row>
    <row r="15" spans="1:14" x14ac:dyDescent="0.25">
      <c r="G15" s="11" t="s">
        <v>121</v>
      </c>
      <c r="H15" s="8">
        <f>-h_diplomacy*H14</f>
        <v>0</v>
      </c>
    </row>
    <row r="16" spans="1:14" x14ac:dyDescent="0.25">
      <c r="G16" s="11" t="s">
        <v>122</v>
      </c>
      <c r="H16" s="8">
        <f>-MAX(0,H5*d_decay)</f>
        <v>-3</v>
      </c>
    </row>
    <row r="17" spans="7:8" x14ac:dyDescent="0.25">
      <c r="G17" s="11" t="s">
        <v>123</v>
      </c>
      <c r="H17" s="8">
        <f>SUM(H6:H16)</f>
        <v>49992</v>
      </c>
    </row>
    <row r="18" spans="7:8" x14ac:dyDescent="0.25">
      <c r="G18" s="11" t="s">
        <v>124</v>
      </c>
      <c r="H18" s="8">
        <f>MAX(0,MIN(100,H5+H17))</f>
        <v>100</v>
      </c>
    </row>
  </sheetData>
  <mergeCells count="2">
    <mergeCell ref="A3:N3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showGridLines="0" workbookViewId="0">
      <selection sqref="A1:J1"/>
    </sheetView>
  </sheetViews>
  <sheetFormatPr defaultRowHeight="15" x14ac:dyDescent="0.25"/>
  <cols>
    <col min="1" max="1" width="42" customWidth="1"/>
    <col min="2" max="2" width="18" customWidth="1"/>
  </cols>
  <sheetData>
    <row r="1" spans="1:10" ht="27.95" customHeight="1" x14ac:dyDescent="0.25">
      <c r="A1" s="13" t="s">
        <v>9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x14ac:dyDescent="0.25">
      <c r="A3" s="3" t="s">
        <v>10</v>
      </c>
      <c r="B3" s="3" t="s">
        <v>11</v>
      </c>
    </row>
    <row r="4" spans="1:10" x14ac:dyDescent="0.25">
      <c r="A4" s="4" t="s">
        <v>12</v>
      </c>
      <c r="B4" s="5">
        <v>10</v>
      </c>
    </row>
    <row r="5" spans="1:10" x14ac:dyDescent="0.25">
      <c r="A5" s="4" t="s">
        <v>13</v>
      </c>
      <c r="B5" s="5">
        <v>5</v>
      </c>
    </row>
    <row r="6" spans="1:10" x14ac:dyDescent="0.25">
      <c r="A6" s="4" t="s">
        <v>14</v>
      </c>
      <c r="B6" s="5">
        <v>8</v>
      </c>
    </row>
    <row r="7" spans="1:10" x14ac:dyDescent="0.25">
      <c r="A7" s="4" t="s">
        <v>15</v>
      </c>
      <c r="B7" s="5">
        <v>100</v>
      </c>
    </row>
    <row r="8" spans="1:10" x14ac:dyDescent="0.25">
      <c r="A8" s="4" t="s">
        <v>16</v>
      </c>
      <c r="B8" s="5">
        <v>50</v>
      </c>
    </row>
    <row r="9" spans="1:10" x14ac:dyDescent="0.25">
      <c r="A9" s="4" t="s">
        <v>17</v>
      </c>
      <c r="B9" s="5">
        <v>10</v>
      </c>
    </row>
    <row r="10" spans="1:10" x14ac:dyDescent="0.25">
      <c r="A10" s="4" t="s">
        <v>18</v>
      </c>
      <c r="B10" s="5">
        <v>15</v>
      </c>
    </row>
    <row r="11" spans="1:10" x14ac:dyDescent="0.25">
      <c r="A11" s="4" t="s">
        <v>19</v>
      </c>
      <c r="B11" s="5">
        <v>0.5</v>
      </c>
    </row>
    <row r="12" spans="1:10" x14ac:dyDescent="0.25">
      <c r="A12" s="4" t="s">
        <v>20</v>
      </c>
      <c r="B12" s="5">
        <v>5</v>
      </c>
    </row>
    <row r="13" spans="1:10" x14ac:dyDescent="0.25">
      <c r="A13" s="4" t="s">
        <v>21</v>
      </c>
      <c r="B13" s="5">
        <v>20</v>
      </c>
    </row>
    <row r="14" spans="1:10" x14ac:dyDescent="0.25">
      <c r="A14" s="4" t="s">
        <v>22</v>
      </c>
      <c r="B14" s="5">
        <v>15</v>
      </c>
    </row>
    <row r="15" spans="1:10" x14ac:dyDescent="0.25">
      <c r="A15" s="4" t="s">
        <v>23</v>
      </c>
      <c r="B15" s="5">
        <v>5</v>
      </c>
    </row>
    <row r="16" spans="1:10" ht="30" x14ac:dyDescent="0.25">
      <c r="A16" s="4" t="s">
        <v>24</v>
      </c>
      <c r="B16" s="5">
        <v>5</v>
      </c>
    </row>
    <row r="17" spans="1:2" x14ac:dyDescent="0.25">
      <c r="A17" s="4" t="s">
        <v>25</v>
      </c>
      <c r="B17" s="5">
        <v>0.1</v>
      </c>
    </row>
    <row r="18" spans="1:2" x14ac:dyDescent="0.25">
      <c r="A18" s="4" t="s">
        <v>26</v>
      </c>
      <c r="B18" s="5">
        <v>1</v>
      </c>
    </row>
    <row r="19" spans="1:2" x14ac:dyDescent="0.25">
      <c r="A19" s="4" t="s">
        <v>27</v>
      </c>
      <c r="B19" s="5">
        <v>2</v>
      </c>
    </row>
    <row r="20" spans="1:2" x14ac:dyDescent="0.25">
      <c r="A20" s="4" t="s">
        <v>28</v>
      </c>
      <c r="B20" s="5">
        <v>4</v>
      </c>
    </row>
    <row r="21" spans="1:2" x14ac:dyDescent="0.25">
      <c r="A21" s="4" t="s">
        <v>29</v>
      </c>
      <c r="B21" s="5">
        <v>8</v>
      </c>
    </row>
    <row r="22" spans="1:2" x14ac:dyDescent="0.25">
      <c r="A22" s="4" t="s">
        <v>30</v>
      </c>
      <c r="B22" s="5">
        <v>16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"/>
  <sheetViews>
    <sheetView showGridLines="0" tabSelected="1" workbookViewId="0">
      <pane ySplit="5" topLeftCell="A6" activePane="bottomLeft" state="frozen"/>
      <selection pane="bottomLeft" activeCell="N6" sqref="N6:N11"/>
    </sheetView>
  </sheetViews>
  <sheetFormatPr defaultRowHeight="15" x14ac:dyDescent="0.25"/>
  <cols>
    <col min="1" max="1" width="22" customWidth="1"/>
    <col min="2" max="2" width="10" customWidth="1"/>
    <col min="3" max="9" width="12" customWidth="1"/>
    <col min="10" max="10" width="14" customWidth="1"/>
    <col min="11" max="11" width="10" customWidth="1"/>
    <col min="12" max="13" width="8" customWidth="1"/>
    <col min="14" max="14" width="12" customWidth="1"/>
  </cols>
  <sheetData>
    <row r="1" spans="1:14" ht="27.95" customHeight="1" x14ac:dyDescent="0.25">
      <c r="A1" s="13" t="s">
        <v>31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3" spans="1:14" x14ac:dyDescent="0.25">
      <c r="A3" s="15" t="s">
        <v>32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5" spans="1:14" ht="30" x14ac:dyDescent="0.25">
      <c r="A5" s="3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43</v>
      </c>
      <c r="L5" s="3" t="s">
        <v>44</v>
      </c>
      <c r="M5" s="3" t="s">
        <v>45</v>
      </c>
      <c r="N5" s="3" t="s">
        <v>46</v>
      </c>
    </row>
    <row r="6" spans="1:14" x14ac:dyDescent="0.25">
      <c r="A6" s="5" t="s">
        <v>47</v>
      </c>
      <c r="B6" s="5">
        <v>1</v>
      </c>
      <c r="C6" s="5">
        <v>5</v>
      </c>
      <c r="D6" s="5">
        <v>50</v>
      </c>
      <c r="E6" s="5">
        <v>8</v>
      </c>
      <c r="F6" s="5">
        <v>2</v>
      </c>
      <c r="G6" s="5">
        <v>0.06</v>
      </c>
      <c r="H6" s="5">
        <v>0.05</v>
      </c>
      <c r="I6" s="5">
        <v>0.03</v>
      </c>
      <c r="J6" s="5">
        <v>1.1000000000000001</v>
      </c>
      <c r="K6" s="5">
        <v>2</v>
      </c>
      <c r="L6" s="5">
        <v>0.2</v>
      </c>
      <c r="M6" s="5">
        <v>1</v>
      </c>
      <c r="N6" s="6">
        <f>IF(A6="",
0,
(
 (E6*(1+H6*MAX(0,C6-B6))) + K6
 + (D6*(1+G6*MAX(0,C6-B6))*L6)
 + (F6*(1+I6*MAX(0,C6-62))*M6)
)
*J6
)</f>
        <v>28.6</v>
      </c>
    </row>
    <row r="7" spans="1:14" x14ac:dyDescent="0.25">
      <c r="A7" s="5" t="s">
        <v>48</v>
      </c>
      <c r="B7" s="5">
        <v>2</v>
      </c>
      <c r="C7" s="5">
        <v>5</v>
      </c>
      <c r="D7" s="5">
        <v>40</v>
      </c>
      <c r="E7" s="5">
        <v>10</v>
      </c>
      <c r="F7" s="5">
        <v>1</v>
      </c>
      <c r="G7" s="5">
        <v>0.05</v>
      </c>
      <c r="H7" s="5">
        <v>0.06</v>
      </c>
      <c r="I7" s="5">
        <v>0.02</v>
      </c>
      <c r="J7" s="5">
        <v>1.1000000000000001</v>
      </c>
      <c r="K7" s="5">
        <v>3</v>
      </c>
      <c r="L7" s="5">
        <v>0.2</v>
      </c>
      <c r="M7" s="5">
        <v>1</v>
      </c>
      <c r="N7" s="6">
        <f t="shared" ref="N7:N11" si="0">IF(A7="",
0,
(
 (E7*(1+H7*MAX(0,C7-B7))) + K7
 + (D7*(1+G7*MAX(0,C7-B7))*L7)
 + (F7*(1+I7*MAX(0,C7-62))*M7)
)
*J7
)</f>
        <v>27.500000000000004</v>
      </c>
    </row>
    <row r="8" spans="1:14" x14ac:dyDescent="0.25">
      <c r="A8" s="5" t="s">
        <v>49</v>
      </c>
      <c r="B8" s="5">
        <v>4</v>
      </c>
      <c r="C8" s="5">
        <v>5</v>
      </c>
      <c r="D8" s="5">
        <v>55</v>
      </c>
      <c r="E8" s="5">
        <v>6</v>
      </c>
      <c r="F8" s="5">
        <v>2</v>
      </c>
      <c r="G8" s="5">
        <v>0.06</v>
      </c>
      <c r="H8" s="5">
        <v>0.04</v>
      </c>
      <c r="I8" s="5">
        <v>0.03</v>
      </c>
      <c r="J8" s="5">
        <v>1.25</v>
      </c>
      <c r="K8" s="5">
        <v>6</v>
      </c>
      <c r="L8" s="5">
        <v>0.2</v>
      </c>
      <c r="M8" s="5">
        <v>1</v>
      </c>
      <c r="N8" s="6">
        <f t="shared" si="0"/>
        <v>32.375</v>
      </c>
    </row>
    <row r="9" spans="1:14" x14ac:dyDescent="0.25">
      <c r="A9" s="5" t="s">
        <v>50</v>
      </c>
      <c r="B9" s="5">
        <v>1</v>
      </c>
      <c r="C9" s="5">
        <v>5</v>
      </c>
      <c r="D9" s="5">
        <v>55</v>
      </c>
      <c r="E9" s="5">
        <v>7</v>
      </c>
      <c r="F9" s="5">
        <v>3</v>
      </c>
      <c r="G9" s="5">
        <v>0.06</v>
      </c>
      <c r="H9" s="5">
        <v>0.05</v>
      </c>
      <c r="I9" s="5">
        <v>0.03</v>
      </c>
      <c r="J9" s="5">
        <v>1.1000000000000001</v>
      </c>
      <c r="K9" s="5">
        <v>2</v>
      </c>
      <c r="L9" s="5">
        <v>0.2</v>
      </c>
      <c r="M9" s="5">
        <v>1</v>
      </c>
      <c r="N9" s="6">
        <f t="shared" si="0"/>
        <v>29.744</v>
      </c>
    </row>
    <row r="10" spans="1:14" x14ac:dyDescent="0.25">
      <c r="A10" s="5" t="s">
        <v>51</v>
      </c>
      <c r="B10" s="5">
        <v>2</v>
      </c>
      <c r="C10" s="5">
        <v>5</v>
      </c>
      <c r="D10" s="5">
        <v>45</v>
      </c>
      <c r="E10" s="5">
        <v>9</v>
      </c>
      <c r="F10" s="5">
        <v>2</v>
      </c>
      <c r="G10" s="5">
        <v>0.05</v>
      </c>
      <c r="H10" s="5">
        <v>0.06</v>
      </c>
      <c r="I10" s="5">
        <v>0.03</v>
      </c>
      <c r="J10" s="5">
        <v>1.1000000000000001</v>
      </c>
      <c r="K10" s="5">
        <v>3</v>
      </c>
      <c r="L10" s="5">
        <v>0.2</v>
      </c>
      <c r="M10" s="5">
        <v>1</v>
      </c>
      <c r="N10" s="6">
        <f t="shared" si="0"/>
        <v>28.567</v>
      </c>
    </row>
    <row r="11" spans="1:14" x14ac:dyDescent="0.25">
      <c r="A11" s="5" t="s">
        <v>52</v>
      </c>
      <c r="B11" s="5">
        <v>4</v>
      </c>
      <c r="C11" s="5">
        <v>5</v>
      </c>
      <c r="D11" s="5">
        <v>50</v>
      </c>
      <c r="E11" s="5">
        <v>6</v>
      </c>
      <c r="F11" s="5">
        <v>2</v>
      </c>
      <c r="G11" s="5">
        <v>0.06</v>
      </c>
      <c r="H11" s="5">
        <v>0.04</v>
      </c>
      <c r="I11" s="5">
        <v>0.03</v>
      </c>
      <c r="J11" s="5">
        <v>1.25</v>
      </c>
      <c r="K11" s="5">
        <v>6</v>
      </c>
      <c r="L11" s="5">
        <v>0.2</v>
      </c>
      <c r="M11" s="5">
        <v>1</v>
      </c>
      <c r="N11" s="6">
        <f t="shared" si="0"/>
        <v>31.050000000000004</v>
      </c>
    </row>
  </sheetData>
  <mergeCells count="2">
    <mergeCell ref="A3:N3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5B08B-BEEE-4F6C-B79E-169C63C02F87}">
  <dimension ref="A1:Q86"/>
  <sheetViews>
    <sheetView showGridLines="0" workbookViewId="0">
      <pane ySplit="22" topLeftCell="A23" activePane="bottomLeft" state="frozen"/>
      <selection pane="bottomLeft" activeCell="E26" sqref="E26"/>
    </sheetView>
  </sheetViews>
  <sheetFormatPr defaultRowHeight="15" x14ac:dyDescent="0.25"/>
  <cols>
    <col min="1" max="1" width="6.85546875" customWidth="1"/>
    <col min="2" max="2" width="22" customWidth="1"/>
    <col min="3" max="8" width="12" customWidth="1"/>
    <col min="9" max="9" width="10" customWidth="1"/>
    <col min="10" max="10" width="5" customWidth="1"/>
    <col min="11" max="11" width="22" customWidth="1"/>
    <col min="12" max="12" width="16" customWidth="1"/>
    <col min="13" max="13" width="14" customWidth="1"/>
    <col min="14" max="16" width="12" customWidth="1"/>
    <col min="17" max="17" width="14" customWidth="1"/>
  </cols>
  <sheetData>
    <row r="1" spans="1:17" ht="27.95" customHeight="1" x14ac:dyDescent="0.25">
      <c r="A1" s="13" t="s">
        <v>126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3" spans="1:17" x14ac:dyDescent="0.25">
      <c r="A3" s="7" t="s">
        <v>127</v>
      </c>
    </row>
    <row r="4" spans="1:17" x14ac:dyDescent="0.25">
      <c r="A4" s="15" t="s">
        <v>128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6" spans="1:17" x14ac:dyDescent="0.25">
      <c r="A6" s="18" t="s">
        <v>129</v>
      </c>
      <c r="B6" s="16"/>
      <c r="C6" s="16"/>
      <c r="E6" s="18" t="s">
        <v>130</v>
      </c>
      <c r="F6" s="16"/>
      <c r="G6" s="16"/>
      <c r="H6" s="18" t="s">
        <v>131</v>
      </c>
      <c r="I6" s="16"/>
      <c r="J6" s="16"/>
      <c r="K6" s="16"/>
      <c r="L6" s="16"/>
      <c r="M6" s="16"/>
      <c r="N6" s="16"/>
      <c r="O6" s="16"/>
      <c r="P6" s="16"/>
      <c r="Q6" s="16"/>
    </row>
    <row r="7" spans="1:17" ht="16.5" customHeight="1" x14ac:dyDescent="0.25">
      <c r="A7" s="19" t="s">
        <v>132</v>
      </c>
      <c r="B7" s="20" t="s">
        <v>133</v>
      </c>
      <c r="C7" s="21"/>
      <c r="E7" s="3" t="s">
        <v>54</v>
      </c>
      <c r="F7" s="3" t="s">
        <v>125</v>
      </c>
      <c r="H7" s="22" t="s">
        <v>134</v>
      </c>
      <c r="I7" s="16"/>
      <c r="J7" s="16"/>
      <c r="K7" s="22" t="s">
        <v>135</v>
      </c>
      <c r="L7" s="16"/>
      <c r="M7" s="16"/>
      <c r="N7" s="22" t="s">
        <v>136</v>
      </c>
      <c r="O7" s="16"/>
      <c r="P7" s="16"/>
      <c r="Q7" s="16"/>
    </row>
    <row r="8" spans="1:17" x14ac:dyDescent="0.25">
      <c r="A8" s="5" t="s">
        <v>137</v>
      </c>
      <c r="B8" s="20" t="s">
        <v>138</v>
      </c>
      <c r="C8" s="21"/>
      <c r="E8" s="8" t="s">
        <v>65</v>
      </c>
      <c r="F8" s="8">
        <v>100</v>
      </c>
      <c r="H8" s="20" t="s">
        <v>56</v>
      </c>
      <c r="I8" s="16"/>
      <c r="J8" s="16"/>
      <c r="K8" s="20" t="s">
        <v>139</v>
      </c>
      <c r="L8" s="16"/>
      <c r="M8" s="16"/>
      <c r="N8" s="20" t="s">
        <v>140</v>
      </c>
      <c r="O8" s="16"/>
      <c r="P8" s="16"/>
      <c r="Q8" s="16"/>
    </row>
    <row r="9" spans="1:17" x14ac:dyDescent="0.25">
      <c r="A9" s="23" t="s">
        <v>141</v>
      </c>
      <c r="B9" s="20" t="s">
        <v>142</v>
      </c>
      <c r="C9" s="21"/>
      <c r="E9" s="8" t="s">
        <v>66</v>
      </c>
      <c r="F9" s="8">
        <v>30</v>
      </c>
      <c r="H9" s="20" t="s">
        <v>57</v>
      </c>
      <c r="I9" s="16"/>
      <c r="J9" s="16"/>
      <c r="K9" s="20" t="s">
        <v>143</v>
      </c>
      <c r="L9" s="16"/>
      <c r="M9" s="16"/>
      <c r="N9" s="20" t="s">
        <v>144</v>
      </c>
      <c r="O9" s="16"/>
      <c r="P9" s="16"/>
      <c r="Q9" s="16"/>
    </row>
    <row r="10" spans="1:17" x14ac:dyDescent="0.25">
      <c r="A10" s="24" t="s">
        <v>145</v>
      </c>
      <c r="B10" s="20" t="s">
        <v>146</v>
      </c>
      <c r="C10" s="21"/>
      <c r="E10" s="8" t="s">
        <v>67</v>
      </c>
      <c r="F10" s="8">
        <v>10</v>
      </c>
      <c r="H10" s="20" t="s">
        <v>58</v>
      </c>
      <c r="I10" s="16"/>
      <c r="J10" s="16"/>
      <c r="K10" s="20" t="s">
        <v>147</v>
      </c>
      <c r="L10" s="16"/>
      <c r="M10" s="16"/>
      <c r="N10" s="20" t="s">
        <v>148</v>
      </c>
      <c r="O10" s="16"/>
      <c r="P10" s="16"/>
      <c r="Q10" s="16"/>
    </row>
    <row r="11" spans="1:17" x14ac:dyDescent="0.25">
      <c r="E11" s="8" t="s">
        <v>68</v>
      </c>
      <c r="F11" s="8">
        <v>3</v>
      </c>
      <c r="H11" s="20" t="s">
        <v>60</v>
      </c>
      <c r="I11" s="16"/>
      <c r="J11" s="16"/>
      <c r="K11" s="20" t="s">
        <v>149</v>
      </c>
      <c r="L11" s="16"/>
      <c r="M11" s="16"/>
      <c r="N11" s="20" t="s">
        <v>150</v>
      </c>
      <c r="O11" s="16"/>
      <c r="P11" s="16"/>
      <c r="Q11" s="16"/>
    </row>
    <row r="12" spans="1:17" x14ac:dyDescent="0.25">
      <c r="E12" s="8" t="s">
        <v>69</v>
      </c>
      <c r="F12" s="8">
        <v>1</v>
      </c>
      <c r="H12" s="20" t="s">
        <v>61</v>
      </c>
      <c r="I12" s="16"/>
      <c r="J12" s="16"/>
      <c r="K12" s="20" t="s">
        <v>151</v>
      </c>
      <c r="L12" s="16"/>
      <c r="M12" s="16"/>
      <c r="N12" s="20" t="s">
        <v>152</v>
      </c>
      <c r="O12" s="16"/>
      <c r="P12" s="16"/>
      <c r="Q12" s="16"/>
    </row>
    <row r="13" spans="1:17" x14ac:dyDescent="0.25">
      <c r="E13" s="8" t="s">
        <v>70</v>
      </c>
      <c r="F13" s="8">
        <v>0.3</v>
      </c>
      <c r="H13" s="20" t="s">
        <v>62</v>
      </c>
      <c r="I13" s="16"/>
      <c r="J13" s="16"/>
      <c r="K13" s="20" t="s">
        <v>153</v>
      </c>
      <c r="L13" s="16"/>
      <c r="M13" s="16"/>
      <c r="N13" s="20" t="s">
        <v>154</v>
      </c>
      <c r="O13" s="16"/>
      <c r="P13" s="16"/>
      <c r="Q13" s="16"/>
    </row>
    <row r="14" spans="1:17" x14ac:dyDescent="0.25">
      <c r="E14" s="8" t="s">
        <v>71</v>
      </c>
      <c r="F14" s="8">
        <v>0.1</v>
      </c>
      <c r="H14" s="20" t="s">
        <v>63</v>
      </c>
      <c r="I14" s="16"/>
      <c r="J14" s="16"/>
      <c r="K14" s="20" t="s">
        <v>155</v>
      </c>
      <c r="L14" s="16"/>
      <c r="M14" s="16"/>
      <c r="N14" s="20" t="s">
        <v>156</v>
      </c>
      <c r="O14" s="16"/>
      <c r="P14" s="16"/>
      <c r="Q14" s="16"/>
    </row>
    <row r="16" spans="1:17" x14ac:dyDescent="0.25">
      <c r="H16" s="18" t="s">
        <v>157</v>
      </c>
      <c r="I16" s="16"/>
      <c r="J16" s="16"/>
      <c r="K16" s="16"/>
    </row>
    <row r="17" spans="1:17" x14ac:dyDescent="0.25">
      <c r="H17" s="3" t="s">
        <v>158</v>
      </c>
      <c r="I17" s="3" t="s">
        <v>11</v>
      </c>
    </row>
    <row r="18" spans="1:17" x14ac:dyDescent="0.25">
      <c r="H18" s="8" t="s">
        <v>159</v>
      </c>
      <c r="I18" s="8">
        <v>1</v>
      </c>
    </row>
    <row r="19" spans="1:17" x14ac:dyDescent="0.25">
      <c r="H19" s="8" t="s">
        <v>160</v>
      </c>
      <c r="I19" s="8">
        <v>2</v>
      </c>
    </row>
    <row r="20" spans="1:17" x14ac:dyDescent="0.25">
      <c r="H20" s="8" t="s">
        <v>161</v>
      </c>
      <c r="I20" s="8">
        <v>3</v>
      </c>
    </row>
    <row r="21" spans="1:17" x14ac:dyDescent="0.25">
      <c r="A21" s="25" t="s">
        <v>162</v>
      </c>
      <c r="B21" s="26"/>
      <c r="C21" s="26"/>
      <c r="D21" s="26"/>
      <c r="E21" s="26"/>
      <c r="F21" s="26"/>
      <c r="G21" s="26"/>
      <c r="H21" s="27"/>
      <c r="I21" s="8">
        <v>5</v>
      </c>
      <c r="J21" s="18" t="s">
        <v>163</v>
      </c>
      <c r="K21" s="16"/>
      <c r="L21" s="16"/>
      <c r="M21" s="16"/>
      <c r="N21" s="16"/>
      <c r="O21" s="16"/>
      <c r="P21" s="16"/>
      <c r="Q21" s="16"/>
    </row>
    <row r="22" spans="1:17" ht="30" x14ac:dyDescent="0.25">
      <c r="A22" s="28" t="s">
        <v>164</v>
      </c>
      <c r="B22" s="28" t="s">
        <v>53</v>
      </c>
      <c r="C22" s="28" t="s">
        <v>54</v>
      </c>
      <c r="D22" s="28" t="s">
        <v>55</v>
      </c>
      <c r="E22" s="28" t="s">
        <v>165</v>
      </c>
      <c r="F22" s="28" t="s">
        <v>166</v>
      </c>
      <c r="G22" s="28" t="s">
        <v>167</v>
      </c>
      <c r="H22" s="28" t="s">
        <v>59</v>
      </c>
      <c r="I22" s="28" t="s">
        <v>168</v>
      </c>
      <c r="J22" s="29" t="s">
        <v>164</v>
      </c>
      <c r="K22" s="29" t="s">
        <v>53</v>
      </c>
      <c r="L22" s="29" t="s">
        <v>60</v>
      </c>
      <c r="M22" s="29" t="s">
        <v>61</v>
      </c>
      <c r="N22" s="29" t="s">
        <v>169</v>
      </c>
      <c r="O22" s="29" t="s">
        <v>63</v>
      </c>
      <c r="P22" s="29" t="s">
        <v>64</v>
      </c>
      <c r="Q22" s="29" t="s">
        <v>170</v>
      </c>
    </row>
    <row r="23" spans="1:17" x14ac:dyDescent="0.25">
      <c r="A23" s="5">
        <v>1</v>
      </c>
      <c r="B23" s="19" t="s">
        <v>72</v>
      </c>
      <c r="C23" s="19" t="s">
        <v>66</v>
      </c>
      <c r="D23" s="24">
        <f>_xlfn.SINGLE(IF(B23="",0,_xlfn.XLOOKUP(C23,$E$8:$E$14,$F$8:$F$14,0)))</f>
        <v>30</v>
      </c>
      <c r="E23" s="19">
        <v>1</v>
      </c>
      <c r="F23" s="19">
        <v>1</v>
      </c>
      <c r="G23" s="19">
        <v>1</v>
      </c>
      <c r="H23" s="24">
        <f t="shared" ref="H23:H82" si="0">IF(B23="",0,D23*E23*F23*G23)</f>
        <v>30</v>
      </c>
      <c r="I23" s="30">
        <f t="shared" ref="I23:I82" si="1">IF(H23=0,0,H23/SUM($H$23:$H$82))</f>
        <v>0.21246458923512748</v>
      </c>
      <c r="J23" s="23">
        <v>1</v>
      </c>
      <c r="K23" s="23" t="str">
        <f t="shared" ref="K23:K82" si="2">B23</f>
        <v>Iron Sword</v>
      </c>
      <c r="L23" s="19">
        <v>2</v>
      </c>
      <c r="M23" s="19">
        <v>1.4</v>
      </c>
      <c r="N23" s="19">
        <v>0</v>
      </c>
      <c r="O23" s="19">
        <v>2</v>
      </c>
      <c r="P23" s="24">
        <f t="shared" ref="P23:P82" si="3">IF(K23="",0,(L23*M23)+(N23*O23))</f>
        <v>2.8</v>
      </c>
      <c r="Q23" s="30">
        <f t="shared" ref="Q23:Q82" si="4">IF(K23="",0,(P23*I23))</f>
        <v>0.59490084985835689</v>
      </c>
    </row>
    <row r="24" spans="1:17" x14ac:dyDescent="0.25">
      <c r="A24" s="5">
        <v>2</v>
      </c>
      <c r="B24" s="19" t="s">
        <v>73</v>
      </c>
      <c r="C24" s="19" t="s">
        <v>67</v>
      </c>
      <c r="D24" s="24">
        <f>_xlfn.SINGLE(IF(B24="",0,_xlfn.XLOOKUP(C24,$E$8:$E$14,$F$8:$F$14,0)))</f>
        <v>10</v>
      </c>
      <c r="E24" s="19">
        <v>1</v>
      </c>
      <c r="F24" s="19">
        <v>1</v>
      </c>
      <c r="G24" s="19">
        <v>1</v>
      </c>
      <c r="H24" s="24">
        <f t="shared" si="0"/>
        <v>10</v>
      </c>
      <c r="I24" s="30">
        <f t="shared" si="1"/>
        <v>7.0821529745042494E-2</v>
      </c>
      <c r="J24" s="23">
        <v>2</v>
      </c>
      <c r="K24" s="23" t="str">
        <f t="shared" si="2"/>
        <v>Silver Ring</v>
      </c>
      <c r="L24" s="19">
        <v>5</v>
      </c>
      <c r="M24" s="19">
        <v>1.1000000000000001</v>
      </c>
      <c r="N24" s="19">
        <v>2</v>
      </c>
      <c r="O24" s="19">
        <v>2</v>
      </c>
      <c r="P24" s="24">
        <f t="shared" si="3"/>
        <v>9.5</v>
      </c>
      <c r="Q24" s="30">
        <f t="shared" si="4"/>
        <v>0.67280453257790374</v>
      </c>
    </row>
    <row r="25" spans="1:17" x14ac:dyDescent="0.25">
      <c r="A25" s="5">
        <v>3</v>
      </c>
      <c r="B25" s="19" t="s">
        <v>74</v>
      </c>
      <c r="C25" s="19" t="s">
        <v>65</v>
      </c>
      <c r="D25" s="24">
        <f>_xlfn.SINGLE(IF(B25="",0,_xlfn.XLOOKUP(C25,$E$8:$E$14,$F$8:$F$14,0)))</f>
        <v>100</v>
      </c>
      <c r="E25" s="19">
        <v>1</v>
      </c>
      <c r="F25" s="19">
        <v>1</v>
      </c>
      <c r="G25" s="19">
        <v>1</v>
      </c>
      <c r="H25" s="24">
        <f t="shared" si="0"/>
        <v>100</v>
      </c>
      <c r="I25" s="30">
        <f t="shared" si="1"/>
        <v>0.708215297450425</v>
      </c>
      <c r="J25" s="23">
        <v>3</v>
      </c>
      <c r="K25" s="23" t="str">
        <f t="shared" si="2"/>
        <v>Health Potion</v>
      </c>
      <c r="L25" s="19">
        <v>2</v>
      </c>
      <c r="M25" s="19">
        <v>0.8</v>
      </c>
      <c r="N25" s="19">
        <v>0</v>
      </c>
      <c r="O25" s="19">
        <v>2</v>
      </c>
      <c r="P25" s="24">
        <f t="shared" si="3"/>
        <v>1.6</v>
      </c>
      <c r="Q25" s="30">
        <f t="shared" si="4"/>
        <v>1.1331444759206801</v>
      </c>
    </row>
    <row r="26" spans="1:17" ht="30" x14ac:dyDescent="0.25">
      <c r="A26" s="5">
        <v>4</v>
      </c>
      <c r="B26" s="19" t="s">
        <v>75</v>
      </c>
      <c r="C26" s="19" t="s">
        <v>69</v>
      </c>
      <c r="D26" s="24">
        <f>_xlfn.SINGLE(IF(B26="",0,_xlfn.XLOOKUP(C26,$E$8:$E$14,$F$8:$F$14,0)))</f>
        <v>1</v>
      </c>
      <c r="E26" s="19">
        <v>1.2</v>
      </c>
      <c r="F26" s="19">
        <v>1</v>
      </c>
      <c r="G26" s="19">
        <v>1</v>
      </c>
      <c r="H26" s="24">
        <f t="shared" si="0"/>
        <v>1.2</v>
      </c>
      <c r="I26" s="30">
        <f t="shared" si="1"/>
        <v>8.4985835694051E-3</v>
      </c>
      <c r="J26" s="23">
        <v>4</v>
      </c>
      <c r="K26" s="23" t="str">
        <f t="shared" si="2"/>
        <v>Boss Set Helm (placeholder)</v>
      </c>
      <c r="L26" s="19">
        <v>12</v>
      </c>
      <c r="M26" s="19">
        <v>1.8</v>
      </c>
      <c r="N26" s="19">
        <v>3</v>
      </c>
      <c r="O26" s="19">
        <v>2</v>
      </c>
      <c r="P26" s="24">
        <f t="shared" si="3"/>
        <v>27.6</v>
      </c>
      <c r="Q26" s="30">
        <f t="shared" si="4"/>
        <v>0.23456090651558076</v>
      </c>
    </row>
    <row r="27" spans="1:17" x14ac:dyDescent="0.25">
      <c r="A27" s="5">
        <v>5</v>
      </c>
      <c r="B27" s="19"/>
      <c r="C27" s="19" t="s">
        <v>65</v>
      </c>
      <c r="D27" s="24">
        <f>IF(B27="",0,_xludf.XLOOKUP(C27,$E$8:$E$14,$F$8:$F$14,0))</f>
        <v>0</v>
      </c>
      <c r="E27" s="19">
        <v>1</v>
      </c>
      <c r="F27" s="19">
        <v>1</v>
      </c>
      <c r="G27" s="19">
        <v>1</v>
      </c>
      <c r="H27" s="24">
        <f t="shared" si="0"/>
        <v>0</v>
      </c>
      <c r="I27" s="30">
        <f t="shared" si="1"/>
        <v>0</v>
      </c>
      <c r="J27" s="23">
        <v>5</v>
      </c>
      <c r="K27" s="23">
        <f t="shared" si="2"/>
        <v>0</v>
      </c>
      <c r="L27" s="19">
        <v>0</v>
      </c>
      <c r="M27" s="19">
        <v>1</v>
      </c>
      <c r="N27" s="19">
        <v>0</v>
      </c>
      <c r="O27" s="19">
        <v>2</v>
      </c>
      <c r="P27" s="24">
        <f t="shared" si="3"/>
        <v>0</v>
      </c>
      <c r="Q27" s="30">
        <f t="shared" si="4"/>
        <v>0</v>
      </c>
    </row>
    <row r="28" spans="1:17" x14ac:dyDescent="0.25">
      <c r="A28" s="5">
        <v>6</v>
      </c>
      <c r="B28" s="19"/>
      <c r="C28" s="19" t="s">
        <v>65</v>
      </c>
      <c r="D28" s="24">
        <f>IF(B28="",0,_xludf.XLOOKUP(C28,$E$8:$E$14,$F$8:$F$14,0))</f>
        <v>0</v>
      </c>
      <c r="E28" s="19">
        <v>1</v>
      </c>
      <c r="F28" s="19">
        <v>1</v>
      </c>
      <c r="G28" s="19">
        <v>1</v>
      </c>
      <c r="H28" s="24">
        <f t="shared" si="0"/>
        <v>0</v>
      </c>
      <c r="I28" s="30">
        <f t="shared" si="1"/>
        <v>0</v>
      </c>
      <c r="J28" s="23">
        <v>6</v>
      </c>
      <c r="K28" s="23">
        <f t="shared" si="2"/>
        <v>0</v>
      </c>
      <c r="L28" s="19">
        <v>0</v>
      </c>
      <c r="M28" s="19">
        <v>1</v>
      </c>
      <c r="N28" s="19">
        <v>0</v>
      </c>
      <c r="O28" s="19">
        <v>2</v>
      </c>
      <c r="P28" s="24">
        <f t="shared" si="3"/>
        <v>0</v>
      </c>
      <c r="Q28" s="30">
        <f t="shared" si="4"/>
        <v>0</v>
      </c>
    </row>
    <row r="29" spans="1:17" x14ac:dyDescent="0.25">
      <c r="A29" s="5">
        <v>7</v>
      </c>
      <c r="B29" s="19"/>
      <c r="C29" s="19" t="s">
        <v>65</v>
      </c>
      <c r="D29" s="24">
        <f>IF(B29="",0,_xludf.XLOOKUP(C29,$E$8:$E$14,$F$8:$F$14,0))</f>
        <v>0</v>
      </c>
      <c r="E29" s="19">
        <v>1</v>
      </c>
      <c r="F29" s="19">
        <v>1</v>
      </c>
      <c r="G29" s="19">
        <v>1</v>
      </c>
      <c r="H29" s="24">
        <f t="shared" si="0"/>
        <v>0</v>
      </c>
      <c r="I29" s="30">
        <f t="shared" si="1"/>
        <v>0</v>
      </c>
      <c r="J29" s="23">
        <v>7</v>
      </c>
      <c r="K29" s="23">
        <f t="shared" si="2"/>
        <v>0</v>
      </c>
      <c r="L29" s="19">
        <v>0</v>
      </c>
      <c r="M29" s="19">
        <v>1</v>
      </c>
      <c r="N29" s="19">
        <v>0</v>
      </c>
      <c r="O29" s="19">
        <v>2</v>
      </c>
      <c r="P29" s="24">
        <f t="shared" si="3"/>
        <v>0</v>
      </c>
      <c r="Q29" s="30">
        <f t="shared" si="4"/>
        <v>0</v>
      </c>
    </row>
    <row r="30" spans="1:17" x14ac:dyDescent="0.25">
      <c r="A30" s="5">
        <v>8</v>
      </c>
      <c r="B30" s="19"/>
      <c r="C30" s="19" t="s">
        <v>65</v>
      </c>
      <c r="D30" s="24">
        <f>IF(B30="",0,_xludf.XLOOKUP(C30,$E$8:$E$14,$F$8:$F$14,0))</f>
        <v>0</v>
      </c>
      <c r="E30" s="19">
        <v>1</v>
      </c>
      <c r="F30" s="19">
        <v>1</v>
      </c>
      <c r="G30" s="19">
        <v>1</v>
      </c>
      <c r="H30" s="24">
        <f t="shared" si="0"/>
        <v>0</v>
      </c>
      <c r="I30" s="30">
        <f t="shared" si="1"/>
        <v>0</v>
      </c>
      <c r="J30" s="23">
        <v>8</v>
      </c>
      <c r="K30" s="23">
        <f t="shared" si="2"/>
        <v>0</v>
      </c>
      <c r="L30" s="19">
        <v>0</v>
      </c>
      <c r="M30" s="19">
        <v>1</v>
      </c>
      <c r="N30" s="19">
        <v>0</v>
      </c>
      <c r="O30" s="19">
        <v>2</v>
      </c>
      <c r="P30" s="24">
        <f t="shared" si="3"/>
        <v>0</v>
      </c>
      <c r="Q30" s="30">
        <f t="shared" si="4"/>
        <v>0</v>
      </c>
    </row>
    <row r="31" spans="1:17" x14ac:dyDescent="0.25">
      <c r="A31" s="5">
        <v>9</v>
      </c>
      <c r="B31" s="19"/>
      <c r="C31" s="19" t="s">
        <v>65</v>
      </c>
      <c r="D31" s="24">
        <f>IF(B31="",0,_xludf.XLOOKUP(C31,$E$8:$E$14,$F$8:$F$14,0))</f>
        <v>0</v>
      </c>
      <c r="E31" s="19">
        <v>1</v>
      </c>
      <c r="F31" s="19">
        <v>1</v>
      </c>
      <c r="G31" s="19">
        <v>1</v>
      </c>
      <c r="H31" s="24">
        <f t="shared" si="0"/>
        <v>0</v>
      </c>
      <c r="I31" s="30">
        <f t="shared" si="1"/>
        <v>0</v>
      </c>
      <c r="J31" s="23">
        <v>9</v>
      </c>
      <c r="K31" s="23">
        <f t="shared" si="2"/>
        <v>0</v>
      </c>
      <c r="L31" s="19">
        <v>0</v>
      </c>
      <c r="M31" s="19">
        <v>1</v>
      </c>
      <c r="N31" s="19">
        <v>0</v>
      </c>
      <c r="O31" s="19">
        <v>2</v>
      </c>
      <c r="P31" s="24">
        <f t="shared" si="3"/>
        <v>0</v>
      </c>
      <c r="Q31" s="30">
        <f t="shared" si="4"/>
        <v>0</v>
      </c>
    </row>
    <row r="32" spans="1:17" x14ac:dyDescent="0.25">
      <c r="A32" s="5">
        <v>10</v>
      </c>
      <c r="B32" s="19"/>
      <c r="C32" s="19" t="s">
        <v>65</v>
      </c>
      <c r="D32" s="24">
        <f>IF(B32="",0,_xludf.XLOOKUP(C32,$E$8:$E$14,$F$8:$F$14,0))</f>
        <v>0</v>
      </c>
      <c r="E32" s="19">
        <v>1</v>
      </c>
      <c r="F32" s="19">
        <v>1</v>
      </c>
      <c r="G32" s="19">
        <v>1</v>
      </c>
      <c r="H32" s="24">
        <f t="shared" si="0"/>
        <v>0</v>
      </c>
      <c r="I32" s="30">
        <f t="shared" si="1"/>
        <v>0</v>
      </c>
      <c r="J32" s="23">
        <v>10</v>
      </c>
      <c r="K32" s="23">
        <f t="shared" si="2"/>
        <v>0</v>
      </c>
      <c r="L32" s="19">
        <v>0</v>
      </c>
      <c r="M32" s="19">
        <v>1</v>
      </c>
      <c r="N32" s="19">
        <v>0</v>
      </c>
      <c r="O32" s="19">
        <v>2</v>
      </c>
      <c r="P32" s="24">
        <f t="shared" si="3"/>
        <v>0</v>
      </c>
      <c r="Q32" s="30">
        <f t="shared" si="4"/>
        <v>0</v>
      </c>
    </row>
    <row r="33" spans="1:17" x14ac:dyDescent="0.25">
      <c r="A33" s="5">
        <v>11</v>
      </c>
      <c r="B33" s="19"/>
      <c r="C33" s="19" t="s">
        <v>65</v>
      </c>
      <c r="D33" s="24">
        <f>IF(B33="",0,_xludf.XLOOKUP(C33,$E$8:$E$14,$F$8:$F$14,0))</f>
        <v>0</v>
      </c>
      <c r="E33" s="19">
        <v>1</v>
      </c>
      <c r="F33" s="19">
        <v>1</v>
      </c>
      <c r="G33" s="19">
        <v>1</v>
      </c>
      <c r="H33" s="24">
        <f t="shared" si="0"/>
        <v>0</v>
      </c>
      <c r="I33" s="30">
        <f t="shared" si="1"/>
        <v>0</v>
      </c>
      <c r="J33" s="23">
        <v>11</v>
      </c>
      <c r="K33" s="23">
        <f t="shared" si="2"/>
        <v>0</v>
      </c>
      <c r="L33" s="19">
        <v>0</v>
      </c>
      <c r="M33" s="19">
        <v>1</v>
      </c>
      <c r="N33" s="19">
        <v>0</v>
      </c>
      <c r="O33" s="19">
        <v>2</v>
      </c>
      <c r="P33" s="24">
        <f t="shared" si="3"/>
        <v>0</v>
      </c>
      <c r="Q33" s="30">
        <f t="shared" si="4"/>
        <v>0</v>
      </c>
    </row>
    <row r="34" spans="1:17" x14ac:dyDescent="0.25">
      <c r="A34" s="5">
        <v>12</v>
      </c>
      <c r="B34" s="19"/>
      <c r="C34" s="19" t="s">
        <v>65</v>
      </c>
      <c r="D34" s="24">
        <f>IF(B34="",0,_xludf.XLOOKUP(C34,$E$8:$E$14,$F$8:$F$14,0))</f>
        <v>0</v>
      </c>
      <c r="E34" s="19">
        <v>1</v>
      </c>
      <c r="F34" s="19">
        <v>1</v>
      </c>
      <c r="G34" s="19">
        <v>1</v>
      </c>
      <c r="H34" s="24">
        <f t="shared" si="0"/>
        <v>0</v>
      </c>
      <c r="I34" s="30">
        <f t="shared" si="1"/>
        <v>0</v>
      </c>
      <c r="J34" s="23">
        <v>12</v>
      </c>
      <c r="K34" s="23">
        <f t="shared" si="2"/>
        <v>0</v>
      </c>
      <c r="L34" s="19">
        <v>0</v>
      </c>
      <c r="M34" s="19">
        <v>1</v>
      </c>
      <c r="N34" s="19">
        <v>0</v>
      </c>
      <c r="O34" s="19">
        <v>2</v>
      </c>
      <c r="P34" s="24">
        <f t="shared" si="3"/>
        <v>0</v>
      </c>
      <c r="Q34" s="30">
        <f t="shared" si="4"/>
        <v>0</v>
      </c>
    </row>
    <row r="35" spans="1:17" x14ac:dyDescent="0.25">
      <c r="A35" s="5">
        <v>13</v>
      </c>
      <c r="B35" s="19"/>
      <c r="C35" s="19" t="s">
        <v>65</v>
      </c>
      <c r="D35" s="24">
        <f>IF(B35="",0,_xludf.XLOOKUP(C35,$E$8:$E$14,$F$8:$F$14,0))</f>
        <v>0</v>
      </c>
      <c r="E35" s="19">
        <v>1</v>
      </c>
      <c r="F35" s="19">
        <v>1</v>
      </c>
      <c r="G35" s="19">
        <v>1</v>
      </c>
      <c r="H35" s="24">
        <f t="shared" si="0"/>
        <v>0</v>
      </c>
      <c r="I35" s="30">
        <f t="shared" si="1"/>
        <v>0</v>
      </c>
      <c r="J35" s="23">
        <v>13</v>
      </c>
      <c r="K35" s="23">
        <f t="shared" si="2"/>
        <v>0</v>
      </c>
      <c r="L35" s="19">
        <v>0</v>
      </c>
      <c r="M35" s="19">
        <v>1</v>
      </c>
      <c r="N35" s="19">
        <v>0</v>
      </c>
      <c r="O35" s="19">
        <v>2</v>
      </c>
      <c r="P35" s="24">
        <f t="shared" si="3"/>
        <v>0</v>
      </c>
      <c r="Q35" s="30">
        <f t="shared" si="4"/>
        <v>0</v>
      </c>
    </row>
    <row r="36" spans="1:17" x14ac:dyDescent="0.25">
      <c r="A36" s="5">
        <v>14</v>
      </c>
      <c r="B36" s="19"/>
      <c r="C36" s="19" t="s">
        <v>65</v>
      </c>
      <c r="D36" s="24">
        <f>IF(B36="",0,_xludf.XLOOKUP(C36,$E$8:$E$14,$F$8:$F$14,0))</f>
        <v>0</v>
      </c>
      <c r="E36" s="19">
        <v>1</v>
      </c>
      <c r="F36" s="19">
        <v>1</v>
      </c>
      <c r="G36" s="19">
        <v>1</v>
      </c>
      <c r="H36" s="24">
        <f t="shared" si="0"/>
        <v>0</v>
      </c>
      <c r="I36" s="30">
        <f t="shared" si="1"/>
        <v>0</v>
      </c>
      <c r="J36" s="23">
        <v>14</v>
      </c>
      <c r="K36" s="23">
        <f t="shared" si="2"/>
        <v>0</v>
      </c>
      <c r="L36" s="19">
        <v>0</v>
      </c>
      <c r="M36" s="19">
        <v>1</v>
      </c>
      <c r="N36" s="19">
        <v>0</v>
      </c>
      <c r="O36" s="19">
        <v>2</v>
      </c>
      <c r="P36" s="24">
        <f t="shared" si="3"/>
        <v>0</v>
      </c>
      <c r="Q36" s="30">
        <f t="shared" si="4"/>
        <v>0</v>
      </c>
    </row>
    <row r="37" spans="1:17" x14ac:dyDescent="0.25">
      <c r="A37" s="5">
        <v>15</v>
      </c>
      <c r="B37" s="19"/>
      <c r="C37" s="19" t="s">
        <v>65</v>
      </c>
      <c r="D37" s="24">
        <f>IF(B37="",0,_xludf.XLOOKUP(C37,$E$8:$E$14,$F$8:$F$14,0))</f>
        <v>0</v>
      </c>
      <c r="E37" s="19">
        <v>1</v>
      </c>
      <c r="F37" s="19">
        <v>1</v>
      </c>
      <c r="G37" s="19">
        <v>1</v>
      </c>
      <c r="H37" s="24">
        <f t="shared" si="0"/>
        <v>0</v>
      </c>
      <c r="I37" s="30">
        <f t="shared" si="1"/>
        <v>0</v>
      </c>
      <c r="J37" s="23">
        <v>15</v>
      </c>
      <c r="K37" s="23">
        <f t="shared" si="2"/>
        <v>0</v>
      </c>
      <c r="L37" s="19">
        <v>0</v>
      </c>
      <c r="M37" s="19">
        <v>1</v>
      </c>
      <c r="N37" s="19">
        <v>0</v>
      </c>
      <c r="O37" s="19">
        <v>2</v>
      </c>
      <c r="P37" s="24">
        <f t="shared" si="3"/>
        <v>0</v>
      </c>
      <c r="Q37" s="30">
        <f t="shared" si="4"/>
        <v>0</v>
      </c>
    </row>
    <row r="38" spans="1:17" x14ac:dyDescent="0.25">
      <c r="A38" s="5">
        <v>16</v>
      </c>
      <c r="B38" s="19"/>
      <c r="C38" s="19" t="s">
        <v>65</v>
      </c>
      <c r="D38" s="24">
        <f>IF(B38="",0,_xludf.XLOOKUP(C38,$E$8:$E$14,$F$8:$F$14,0))</f>
        <v>0</v>
      </c>
      <c r="E38" s="19">
        <v>1</v>
      </c>
      <c r="F38" s="19">
        <v>1</v>
      </c>
      <c r="G38" s="19">
        <v>1</v>
      </c>
      <c r="H38" s="24">
        <f t="shared" si="0"/>
        <v>0</v>
      </c>
      <c r="I38" s="30">
        <f t="shared" si="1"/>
        <v>0</v>
      </c>
      <c r="J38" s="23">
        <v>16</v>
      </c>
      <c r="K38" s="23">
        <f t="shared" si="2"/>
        <v>0</v>
      </c>
      <c r="L38" s="19">
        <v>0</v>
      </c>
      <c r="M38" s="19">
        <v>1</v>
      </c>
      <c r="N38" s="19">
        <v>0</v>
      </c>
      <c r="O38" s="19">
        <v>2</v>
      </c>
      <c r="P38" s="24">
        <f t="shared" si="3"/>
        <v>0</v>
      </c>
      <c r="Q38" s="30">
        <f t="shared" si="4"/>
        <v>0</v>
      </c>
    </row>
    <row r="39" spans="1:17" x14ac:dyDescent="0.25">
      <c r="A39" s="5">
        <v>17</v>
      </c>
      <c r="B39" s="19"/>
      <c r="C39" s="19" t="s">
        <v>65</v>
      </c>
      <c r="D39" s="24">
        <f>IF(B39="",0,_xludf.XLOOKUP(C39,$E$8:$E$14,$F$8:$F$14,0))</f>
        <v>0</v>
      </c>
      <c r="E39" s="19">
        <v>1</v>
      </c>
      <c r="F39" s="19">
        <v>1</v>
      </c>
      <c r="G39" s="19">
        <v>1</v>
      </c>
      <c r="H39" s="24">
        <f t="shared" si="0"/>
        <v>0</v>
      </c>
      <c r="I39" s="30">
        <f t="shared" si="1"/>
        <v>0</v>
      </c>
      <c r="J39" s="23">
        <v>17</v>
      </c>
      <c r="K39" s="23">
        <f t="shared" si="2"/>
        <v>0</v>
      </c>
      <c r="L39" s="19">
        <v>0</v>
      </c>
      <c r="M39" s="19">
        <v>1</v>
      </c>
      <c r="N39" s="19">
        <v>0</v>
      </c>
      <c r="O39" s="19">
        <v>2</v>
      </c>
      <c r="P39" s="24">
        <f t="shared" si="3"/>
        <v>0</v>
      </c>
      <c r="Q39" s="30">
        <f t="shared" si="4"/>
        <v>0</v>
      </c>
    </row>
    <row r="40" spans="1:17" x14ac:dyDescent="0.25">
      <c r="A40" s="5">
        <v>18</v>
      </c>
      <c r="B40" s="19"/>
      <c r="C40" s="19" t="s">
        <v>65</v>
      </c>
      <c r="D40" s="24">
        <f>IF(B40="",0,_xludf.XLOOKUP(C40,$E$8:$E$14,$F$8:$F$14,0))</f>
        <v>0</v>
      </c>
      <c r="E40" s="19">
        <v>1</v>
      </c>
      <c r="F40" s="19">
        <v>1</v>
      </c>
      <c r="G40" s="19">
        <v>1</v>
      </c>
      <c r="H40" s="24">
        <f t="shared" si="0"/>
        <v>0</v>
      </c>
      <c r="I40" s="30">
        <f t="shared" si="1"/>
        <v>0</v>
      </c>
      <c r="J40" s="23">
        <v>18</v>
      </c>
      <c r="K40" s="23">
        <f t="shared" si="2"/>
        <v>0</v>
      </c>
      <c r="L40" s="19">
        <v>0</v>
      </c>
      <c r="M40" s="19">
        <v>1</v>
      </c>
      <c r="N40" s="19">
        <v>0</v>
      </c>
      <c r="O40" s="19">
        <v>2</v>
      </c>
      <c r="P40" s="24">
        <f t="shared" si="3"/>
        <v>0</v>
      </c>
      <c r="Q40" s="30">
        <f t="shared" si="4"/>
        <v>0</v>
      </c>
    </row>
    <row r="41" spans="1:17" x14ac:dyDescent="0.25">
      <c r="A41" s="5">
        <v>19</v>
      </c>
      <c r="B41" s="19"/>
      <c r="C41" s="19" t="s">
        <v>65</v>
      </c>
      <c r="D41" s="24">
        <f>IF(B41="",0,_xludf.XLOOKUP(C41,$E$8:$E$14,$F$8:$F$14,0))</f>
        <v>0</v>
      </c>
      <c r="E41" s="19">
        <v>1</v>
      </c>
      <c r="F41" s="19">
        <v>1</v>
      </c>
      <c r="G41" s="19">
        <v>1</v>
      </c>
      <c r="H41" s="24">
        <f t="shared" si="0"/>
        <v>0</v>
      </c>
      <c r="I41" s="30">
        <f t="shared" si="1"/>
        <v>0</v>
      </c>
      <c r="J41" s="23">
        <v>19</v>
      </c>
      <c r="K41" s="23">
        <f t="shared" si="2"/>
        <v>0</v>
      </c>
      <c r="L41" s="19">
        <v>0</v>
      </c>
      <c r="M41" s="19">
        <v>1</v>
      </c>
      <c r="N41" s="19">
        <v>0</v>
      </c>
      <c r="O41" s="19">
        <v>2</v>
      </c>
      <c r="P41" s="24">
        <f t="shared" si="3"/>
        <v>0</v>
      </c>
      <c r="Q41" s="30">
        <f t="shared" si="4"/>
        <v>0</v>
      </c>
    </row>
    <row r="42" spans="1:17" x14ac:dyDescent="0.25">
      <c r="A42" s="5">
        <v>20</v>
      </c>
      <c r="B42" s="19"/>
      <c r="C42" s="19" t="s">
        <v>65</v>
      </c>
      <c r="D42" s="24">
        <f>IF(B42="",0,_xludf.XLOOKUP(C42,$E$8:$E$14,$F$8:$F$14,0))</f>
        <v>0</v>
      </c>
      <c r="E42" s="19">
        <v>1</v>
      </c>
      <c r="F42" s="19">
        <v>1</v>
      </c>
      <c r="G42" s="19">
        <v>1</v>
      </c>
      <c r="H42" s="24">
        <f t="shared" si="0"/>
        <v>0</v>
      </c>
      <c r="I42" s="30">
        <f t="shared" si="1"/>
        <v>0</v>
      </c>
      <c r="J42" s="23">
        <v>20</v>
      </c>
      <c r="K42" s="23">
        <f t="shared" si="2"/>
        <v>0</v>
      </c>
      <c r="L42" s="19">
        <v>0</v>
      </c>
      <c r="M42" s="19">
        <v>1</v>
      </c>
      <c r="N42" s="19">
        <v>0</v>
      </c>
      <c r="O42" s="19">
        <v>2</v>
      </c>
      <c r="P42" s="24">
        <f t="shared" si="3"/>
        <v>0</v>
      </c>
      <c r="Q42" s="30">
        <f t="shared" si="4"/>
        <v>0</v>
      </c>
    </row>
    <row r="43" spans="1:17" x14ac:dyDescent="0.25">
      <c r="A43" s="5">
        <v>21</v>
      </c>
      <c r="B43" s="19"/>
      <c r="C43" s="19" t="s">
        <v>65</v>
      </c>
      <c r="D43" s="24">
        <f>IF(B43="",0,_xludf.XLOOKUP(C43,$E$8:$E$14,$F$8:$F$14,0))</f>
        <v>0</v>
      </c>
      <c r="E43" s="19">
        <v>1</v>
      </c>
      <c r="F43" s="19">
        <v>1</v>
      </c>
      <c r="G43" s="19">
        <v>1</v>
      </c>
      <c r="H43" s="24">
        <f t="shared" si="0"/>
        <v>0</v>
      </c>
      <c r="I43" s="30">
        <f t="shared" si="1"/>
        <v>0</v>
      </c>
      <c r="J43" s="23">
        <v>21</v>
      </c>
      <c r="K43" s="23">
        <f t="shared" si="2"/>
        <v>0</v>
      </c>
      <c r="L43" s="19">
        <v>0</v>
      </c>
      <c r="M43" s="19">
        <v>1</v>
      </c>
      <c r="N43" s="19">
        <v>0</v>
      </c>
      <c r="O43" s="19">
        <v>2</v>
      </c>
      <c r="P43" s="24">
        <f t="shared" si="3"/>
        <v>0</v>
      </c>
      <c r="Q43" s="30">
        <f t="shared" si="4"/>
        <v>0</v>
      </c>
    </row>
    <row r="44" spans="1:17" x14ac:dyDescent="0.25">
      <c r="A44" s="5">
        <v>22</v>
      </c>
      <c r="B44" s="19"/>
      <c r="C44" s="19" t="s">
        <v>65</v>
      </c>
      <c r="D44" s="24">
        <f>IF(B44="",0,_xludf.XLOOKUP(C44,$E$8:$E$14,$F$8:$F$14,0))</f>
        <v>0</v>
      </c>
      <c r="E44" s="19">
        <v>1</v>
      </c>
      <c r="F44" s="19">
        <v>1</v>
      </c>
      <c r="G44" s="19">
        <v>1</v>
      </c>
      <c r="H44" s="24">
        <f t="shared" si="0"/>
        <v>0</v>
      </c>
      <c r="I44" s="30">
        <f t="shared" si="1"/>
        <v>0</v>
      </c>
      <c r="J44" s="23">
        <v>22</v>
      </c>
      <c r="K44" s="23">
        <f t="shared" si="2"/>
        <v>0</v>
      </c>
      <c r="L44" s="19">
        <v>0</v>
      </c>
      <c r="M44" s="19">
        <v>1</v>
      </c>
      <c r="N44" s="19">
        <v>0</v>
      </c>
      <c r="O44" s="19">
        <v>2</v>
      </c>
      <c r="P44" s="24">
        <f t="shared" si="3"/>
        <v>0</v>
      </c>
      <c r="Q44" s="30">
        <f t="shared" si="4"/>
        <v>0</v>
      </c>
    </row>
    <row r="45" spans="1:17" x14ac:dyDescent="0.25">
      <c r="A45" s="5">
        <v>23</v>
      </c>
      <c r="B45" s="19"/>
      <c r="C45" s="19" t="s">
        <v>65</v>
      </c>
      <c r="D45" s="24">
        <f>IF(B45="",0,_xludf.XLOOKUP(C45,$E$8:$E$14,$F$8:$F$14,0))</f>
        <v>0</v>
      </c>
      <c r="E45" s="19">
        <v>1</v>
      </c>
      <c r="F45" s="19">
        <v>1</v>
      </c>
      <c r="G45" s="19">
        <v>1</v>
      </c>
      <c r="H45" s="24">
        <f t="shared" si="0"/>
        <v>0</v>
      </c>
      <c r="I45" s="30">
        <f t="shared" si="1"/>
        <v>0</v>
      </c>
      <c r="J45" s="23">
        <v>23</v>
      </c>
      <c r="K45" s="23">
        <f t="shared" si="2"/>
        <v>0</v>
      </c>
      <c r="L45" s="19">
        <v>0</v>
      </c>
      <c r="M45" s="19">
        <v>1</v>
      </c>
      <c r="N45" s="19">
        <v>0</v>
      </c>
      <c r="O45" s="19">
        <v>2</v>
      </c>
      <c r="P45" s="24">
        <f t="shared" si="3"/>
        <v>0</v>
      </c>
      <c r="Q45" s="30">
        <f t="shared" si="4"/>
        <v>0</v>
      </c>
    </row>
    <row r="46" spans="1:17" x14ac:dyDescent="0.25">
      <c r="A46" s="5">
        <v>24</v>
      </c>
      <c r="B46" s="19"/>
      <c r="C46" s="19" t="s">
        <v>65</v>
      </c>
      <c r="D46" s="24">
        <f>IF(B46="",0,_xludf.XLOOKUP(C46,$E$8:$E$14,$F$8:$F$14,0))</f>
        <v>0</v>
      </c>
      <c r="E46" s="19">
        <v>1</v>
      </c>
      <c r="F46" s="19">
        <v>1</v>
      </c>
      <c r="G46" s="19">
        <v>1</v>
      </c>
      <c r="H46" s="24">
        <f t="shared" si="0"/>
        <v>0</v>
      </c>
      <c r="I46" s="30">
        <f t="shared" si="1"/>
        <v>0</v>
      </c>
      <c r="J46" s="23">
        <v>24</v>
      </c>
      <c r="K46" s="23">
        <f t="shared" si="2"/>
        <v>0</v>
      </c>
      <c r="L46" s="19">
        <v>0</v>
      </c>
      <c r="M46" s="19">
        <v>1</v>
      </c>
      <c r="N46" s="19">
        <v>0</v>
      </c>
      <c r="O46" s="19">
        <v>2</v>
      </c>
      <c r="P46" s="24">
        <f t="shared" si="3"/>
        <v>0</v>
      </c>
      <c r="Q46" s="30">
        <f t="shared" si="4"/>
        <v>0</v>
      </c>
    </row>
    <row r="47" spans="1:17" x14ac:dyDescent="0.25">
      <c r="A47" s="5">
        <v>25</v>
      </c>
      <c r="B47" s="19"/>
      <c r="C47" s="19" t="s">
        <v>65</v>
      </c>
      <c r="D47" s="24">
        <f>IF(B47="",0,_xludf.XLOOKUP(C47,$E$8:$E$14,$F$8:$F$14,0))</f>
        <v>0</v>
      </c>
      <c r="E47" s="19">
        <v>1</v>
      </c>
      <c r="F47" s="19">
        <v>1</v>
      </c>
      <c r="G47" s="19">
        <v>1</v>
      </c>
      <c r="H47" s="24">
        <f t="shared" si="0"/>
        <v>0</v>
      </c>
      <c r="I47" s="30">
        <f t="shared" si="1"/>
        <v>0</v>
      </c>
      <c r="J47" s="23">
        <v>25</v>
      </c>
      <c r="K47" s="23">
        <f t="shared" si="2"/>
        <v>0</v>
      </c>
      <c r="L47" s="19">
        <v>0</v>
      </c>
      <c r="M47" s="19">
        <v>1</v>
      </c>
      <c r="N47" s="19">
        <v>0</v>
      </c>
      <c r="O47" s="19">
        <v>2</v>
      </c>
      <c r="P47" s="24">
        <f t="shared" si="3"/>
        <v>0</v>
      </c>
      <c r="Q47" s="30">
        <f t="shared" si="4"/>
        <v>0</v>
      </c>
    </row>
    <row r="48" spans="1:17" x14ac:dyDescent="0.25">
      <c r="A48" s="5">
        <v>26</v>
      </c>
      <c r="B48" s="19"/>
      <c r="C48" s="19" t="s">
        <v>65</v>
      </c>
      <c r="D48" s="24">
        <f>IF(B48="",0,_xludf.XLOOKUP(C48,$E$8:$E$14,$F$8:$F$14,0))</f>
        <v>0</v>
      </c>
      <c r="E48" s="19">
        <v>1</v>
      </c>
      <c r="F48" s="19">
        <v>1</v>
      </c>
      <c r="G48" s="19">
        <v>1</v>
      </c>
      <c r="H48" s="24">
        <f t="shared" si="0"/>
        <v>0</v>
      </c>
      <c r="I48" s="30">
        <f t="shared" si="1"/>
        <v>0</v>
      </c>
      <c r="J48" s="23">
        <v>26</v>
      </c>
      <c r="K48" s="23">
        <f t="shared" si="2"/>
        <v>0</v>
      </c>
      <c r="L48" s="19">
        <v>0</v>
      </c>
      <c r="M48" s="19">
        <v>1</v>
      </c>
      <c r="N48" s="19">
        <v>0</v>
      </c>
      <c r="O48" s="19">
        <v>2</v>
      </c>
      <c r="P48" s="24">
        <f t="shared" si="3"/>
        <v>0</v>
      </c>
      <c r="Q48" s="30">
        <f t="shared" si="4"/>
        <v>0</v>
      </c>
    </row>
    <row r="49" spans="1:17" x14ac:dyDescent="0.25">
      <c r="A49" s="5">
        <v>27</v>
      </c>
      <c r="B49" s="19"/>
      <c r="C49" s="19" t="s">
        <v>65</v>
      </c>
      <c r="D49" s="24">
        <f>IF(B49="",0,_xludf.XLOOKUP(C49,$E$8:$E$14,$F$8:$F$14,0))</f>
        <v>0</v>
      </c>
      <c r="E49" s="19">
        <v>1</v>
      </c>
      <c r="F49" s="19">
        <v>1</v>
      </c>
      <c r="G49" s="19">
        <v>1</v>
      </c>
      <c r="H49" s="24">
        <f t="shared" si="0"/>
        <v>0</v>
      </c>
      <c r="I49" s="30">
        <f t="shared" si="1"/>
        <v>0</v>
      </c>
      <c r="J49" s="23">
        <v>27</v>
      </c>
      <c r="K49" s="23">
        <f t="shared" si="2"/>
        <v>0</v>
      </c>
      <c r="L49" s="19">
        <v>0</v>
      </c>
      <c r="M49" s="19">
        <v>1</v>
      </c>
      <c r="N49" s="19">
        <v>0</v>
      </c>
      <c r="O49" s="19">
        <v>2</v>
      </c>
      <c r="P49" s="24">
        <f t="shared" si="3"/>
        <v>0</v>
      </c>
      <c r="Q49" s="30">
        <f t="shared" si="4"/>
        <v>0</v>
      </c>
    </row>
    <row r="50" spans="1:17" x14ac:dyDescent="0.25">
      <c r="A50" s="5">
        <v>28</v>
      </c>
      <c r="B50" s="19"/>
      <c r="C50" s="19" t="s">
        <v>65</v>
      </c>
      <c r="D50" s="24">
        <f>IF(B50="",0,_xludf.XLOOKUP(C50,$E$8:$E$14,$F$8:$F$14,0))</f>
        <v>0</v>
      </c>
      <c r="E50" s="19">
        <v>1</v>
      </c>
      <c r="F50" s="19">
        <v>1</v>
      </c>
      <c r="G50" s="19">
        <v>1</v>
      </c>
      <c r="H50" s="24">
        <f t="shared" si="0"/>
        <v>0</v>
      </c>
      <c r="I50" s="30">
        <f t="shared" si="1"/>
        <v>0</v>
      </c>
      <c r="J50" s="23">
        <v>28</v>
      </c>
      <c r="K50" s="23">
        <f t="shared" si="2"/>
        <v>0</v>
      </c>
      <c r="L50" s="19">
        <v>0</v>
      </c>
      <c r="M50" s="19">
        <v>1</v>
      </c>
      <c r="N50" s="19">
        <v>0</v>
      </c>
      <c r="O50" s="19">
        <v>2</v>
      </c>
      <c r="P50" s="24">
        <f t="shared" si="3"/>
        <v>0</v>
      </c>
      <c r="Q50" s="30">
        <f t="shared" si="4"/>
        <v>0</v>
      </c>
    </row>
    <row r="51" spans="1:17" x14ac:dyDescent="0.25">
      <c r="A51" s="5">
        <v>29</v>
      </c>
      <c r="B51" s="19"/>
      <c r="C51" s="19" t="s">
        <v>65</v>
      </c>
      <c r="D51" s="24">
        <f>IF(B51="",0,_xludf.XLOOKUP(C51,$E$8:$E$14,$F$8:$F$14,0))</f>
        <v>0</v>
      </c>
      <c r="E51" s="19">
        <v>1</v>
      </c>
      <c r="F51" s="19">
        <v>1</v>
      </c>
      <c r="G51" s="19">
        <v>1</v>
      </c>
      <c r="H51" s="24">
        <f t="shared" si="0"/>
        <v>0</v>
      </c>
      <c r="I51" s="30">
        <f t="shared" si="1"/>
        <v>0</v>
      </c>
      <c r="J51" s="23">
        <v>29</v>
      </c>
      <c r="K51" s="23">
        <f t="shared" si="2"/>
        <v>0</v>
      </c>
      <c r="L51" s="19">
        <v>0</v>
      </c>
      <c r="M51" s="19">
        <v>1</v>
      </c>
      <c r="N51" s="19">
        <v>0</v>
      </c>
      <c r="O51" s="19">
        <v>2</v>
      </c>
      <c r="P51" s="24">
        <f t="shared" si="3"/>
        <v>0</v>
      </c>
      <c r="Q51" s="30">
        <f t="shared" si="4"/>
        <v>0</v>
      </c>
    </row>
    <row r="52" spans="1:17" x14ac:dyDescent="0.25">
      <c r="A52" s="5">
        <v>30</v>
      </c>
      <c r="B52" s="19"/>
      <c r="C52" s="19" t="s">
        <v>65</v>
      </c>
      <c r="D52" s="24">
        <f>IF(B52="",0,_xludf.XLOOKUP(C52,$E$8:$E$14,$F$8:$F$14,0))</f>
        <v>0</v>
      </c>
      <c r="E52" s="19">
        <v>1</v>
      </c>
      <c r="F52" s="19">
        <v>1</v>
      </c>
      <c r="G52" s="19">
        <v>1</v>
      </c>
      <c r="H52" s="24">
        <f t="shared" si="0"/>
        <v>0</v>
      </c>
      <c r="I52" s="30">
        <f t="shared" si="1"/>
        <v>0</v>
      </c>
      <c r="J52" s="23">
        <v>30</v>
      </c>
      <c r="K52" s="23">
        <f t="shared" si="2"/>
        <v>0</v>
      </c>
      <c r="L52" s="19">
        <v>0</v>
      </c>
      <c r="M52" s="19">
        <v>1</v>
      </c>
      <c r="N52" s="19">
        <v>0</v>
      </c>
      <c r="O52" s="19">
        <v>2</v>
      </c>
      <c r="P52" s="24">
        <f t="shared" si="3"/>
        <v>0</v>
      </c>
      <c r="Q52" s="30">
        <f t="shared" si="4"/>
        <v>0</v>
      </c>
    </row>
    <row r="53" spans="1:17" x14ac:dyDescent="0.25">
      <c r="A53" s="5">
        <v>31</v>
      </c>
      <c r="B53" s="19"/>
      <c r="C53" s="19" t="s">
        <v>65</v>
      </c>
      <c r="D53" s="24">
        <f>IF(B53="",0,_xludf.XLOOKUP(C53,$E$8:$E$14,$F$8:$F$14,0))</f>
        <v>0</v>
      </c>
      <c r="E53" s="19">
        <v>1</v>
      </c>
      <c r="F53" s="19">
        <v>1</v>
      </c>
      <c r="G53" s="19">
        <v>1</v>
      </c>
      <c r="H53" s="24">
        <f t="shared" si="0"/>
        <v>0</v>
      </c>
      <c r="I53" s="30">
        <f t="shared" si="1"/>
        <v>0</v>
      </c>
      <c r="J53" s="23">
        <v>31</v>
      </c>
      <c r="K53" s="23">
        <f t="shared" si="2"/>
        <v>0</v>
      </c>
      <c r="L53" s="19">
        <v>0</v>
      </c>
      <c r="M53" s="19">
        <v>1</v>
      </c>
      <c r="N53" s="19">
        <v>0</v>
      </c>
      <c r="O53" s="19">
        <v>2</v>
      </c>
      <c r="P53" s="24">
        <f t="shared" si="3"/>
        <v>0</v>
      </c>
      <c r="Q53" s="30">
        <f t="shared" si="4"/>
        <v>0</v>
      </c>
    </row>
    <row r="54" spans="1:17" x14ac:dyDescent="0.25">
      <c r="A54" s="5">
        <v>32</v>
      </c>
      <c r="B54" s="19"/>
      <c r="C54" s="19" t="s">
        <v>65</v>
      </c>
      <c r="D54" s="24">
        <f>IF(B54="",0,_xludf.XLOOKUP(C54,$E$8:$E$14,$F$8:$F$14,0))</f>
        <v>0</v>
      </c>
      <c r="E54" s="19">
        <v>1</v>
      </c>
      <c r="F54" s="19">
        <v>1</v>
      </c>
      <c r="G54" s="19">
        <v>1</v>
      </c>
      <c r="H54" s="24">
        <f t="shared" si="0"/>
        <v>0</v>
      </c>
      <c r="I54" s="30">
        <f t="shared" si="1"/>
        <v>0</v>
      </c>
      <c r="J54" s="23">
        <v>32</v>
      </c>
      <c r="K54" s="23">
        <f t="shared" si="2"/>
        <v>0</v>
      </c>
      <c r="L54" s="19">
        <v>0</v>
      </c>
      <c r="M54" s="19">
        <v>1</v>
      </c>
      <c r="N54" s="19">
        <v>0</v>
      </c>
      <c r="O54" s="19">
        <v>2</v>
      </c>
      <c r="P54" s="24">
        <f t="shared" si="3"/>
        <v>0</v>
      </c>
      <c r="Q54" s="30">
        <f t="shared" si="4"/>
        <v>0</v>
      </c>
    </row>
    <row r="55" spans="1:17" x14ac:dyDescent="0.25">
      <c r="A55" s="5">
        <v>33</v>
      </c>
      <c r="B55" s="19"/>
      <c r="C55" s="19" t="s">
        <v>65</v>
      </c>
      <c r="D55" s="24">
        <f>IF(B55="",0,_xludf.XLOOKUP(C55,$E$8:$E$14,$F$8:$F$14,0))</f>
        <v>0</v>
      </c>
      <c r="E55" s="19">
        <v>1</v>
      </c>
      <c r="F55" s="19">
        <v>1</v>
      </c>
      <c r="G55" s="19">
        <v>1</v>
      </c>
      <c r="H55" s="24">
        <f t="shared" si="0"/>
        <v>0</v>
      </c>
      <c r="I55" s="30">
        <f t="shared" si="1"/>
        <v>0</v>
      </c>
      <c r="J55" s="23">
        <v>33</v>
      </c>
      <c r="K55" s="23">
        <f t="shared" si="2"/>
        <v>0</v>
      </c>
      <c r="L55" s="19">
        <v>0</v>
      </c>
      <c r="M55" s="19">
        <v>1</v>
      </c>
      <c r="N55" s="19">
        <v>0</v>
      </c>
      <c r="O55" s="19">
        <v>2</v>
      </c>
      <c r="P55" s="24">
        <f t="shared" si="3"/>
        <v>0</v>
      </c>
      <c r="Q55" s="30">
        <f t="shared" si="4"/>
        <v>0</v>
      </c>
    </row>
    <row r="56" spans="1:17" x14ac:dyDescent="0.25">
      <c r="A56" s="5">
        <v>34</v>
      </c>
      <c r="B56" s="19"/>
      <c r="C56" s="19" t="s">
        <v>65</v>
      </c>
      <c r="D56" s="24">
        <f>IF(B56="",0,_xludf.XLOOKUP(C56,$E$8:$E$14,$F$8:$F$14,0))</f>
        <v>0</v>
      </c>
      <c r="E56" s="19">
        <v>1</v>
      </c>
      <c r="F56" s="19">
        <v>1</v>
      </c>
      <c r="G56" s="19">
        <v>1</v>
      </c>
      <c r="H56" s="24">
        <f t="shared" si="0"/>
        <v>0</v>
      </c>
      <c r="I56" s="30">
        <f t="shared" si="1"/>
        <v>0</v>
      </c>
      <c r="J56" s="23">
        <v>34</v>
      </c>
      <c r="K56" s="23">
        <f t="shared" si="2"/>
        <v>0</v>
      </c>
      <c r="L56" s="19">
        <v>0</v>
      </c>
      <c r="M56" s="19">
        <v>1</v>
      </c>
      <c r="N56" s="19">
        <v>0</v>
      </c>
      <c r="O56" s="19">
        <v>2</v>
      </c>
      <c r="P56" s="24">
        <f t="shared" si="3"/>
        <v>0</v>
      </c>
      <c r="Q56" s="30">
        <f t="shared" si="4"/>
        <v>0</v>
      </c>
    </row>
    <row r="57" spans="1:17" x14ac:dyDescent="0.25">
      <c r="A57" s="5">
        <v>35</v>
      </c>
      <c r="B57" s="19"/>
      <c r="C57" s="19" t="s">
        <v>65</v>
      </c>
      <c r="D57" s="24">
        <f>IF(B57="",0,_xludf.XLOOKUP(C57,$E$8:$E$14,$F$8:$F$14,0))</f>
        <v>0</v>
      </c>
      <c r="E57" s="19">
        <v>1</v>
      </c>
      <c r="F57" s="19">
        <v>1</v>
      </c>
      <c r="G57" s="19">
        <v>1</v>
      </c>
      <c r="H57" s="24">
        <f t="shared" si="0"/>
        <v>0</v>
      </c>
      <c r="I57" s="30">
        <f t="shared" si="1"/>
        <v>0</v>
      </c>
      <c r="J57" s="23">
        <v>35</v>
      </c>
      <c r="K57" s="23">
        <f t="shared" si="2"/>
        <v>0</v>
      </c>
      <c r="L57" s="19">
        <v>0</v>
      </c>
      <c r="M57" s="19">
        <v>1</v>
      </c>
      <c r="N57" s="19">
        <v>0</v>
      </c>
      <c r="O57" s="19">
        <v>2</v>
      </c>
      <c r="P57" s="24">
        <f t="shared" si="3"/>
        <v>0</v>
      </c>
      <c r="Q57" s="30">
        <f t="shared" si="4"/>
        <v>0</v>
      </c>
    </row>
    <row r="58" spans="1:17" x14ac:dyDescent="0.25">
      <c r="A58" s="5">
        <v>36</v>
      </c>
      <c r="B58" s="19"/>
      <c r="C58" s="19" t="s">
        <v>65</v>
      </c>
      <c r="D58" s="24">
        <f>IF(B58="",0,_xludf.XLOOKUP(C58,$E$8:$E$14,$F$8:$F$14,0))</f>
        <v>0</v>
      </c>
      <c r="E58" s="19">
        <v>1</v>
      </c>
      <c r="F58" s="19">
        <v>1</v>
      </c>
      <c r="G58" s="19">
        <v>1</v>
      </c>
      <c r="H58" s="24">
        <f t="shared" si="0"/>
        <v>0</v>
      </c>
      <c r="I58" s="30">
        <f t="shared" si="1"/>
        <v>0</v>
      </c>
      <c r="J58" s="23">
        <v>36</v>
      </c>
      <c r="K58" s="23">
        <f t="shared" si="2"/>
        <v>0</v>
      </c>
      <c r="L58" s="19">
        <v>0</v>
      </c>
      <c r="M58" s="19">
        <v>1</v>
      </c>
      <c r="N58" s="19">
        <v>0</v>
      </c>
      <c r="O58" s="19">
        <v>2</v>
      </c>
      <c r="P58" s="24">
        <f t="shared" si="3"/>
        <v>0</v>
      </c>
      <c r="Q58" s="30">
        <f t="shared" si="4"/>
        <v>0</v>
      </c>
    </row>
    <row r="59" spans="1:17" x14ac:dyDescent="0.25">
      <c r="A59" s="5">
        <v>37</v>
      </c>
      <c r="B59" s="19"/>
      <c r="C59" s="19" t="s">
        <v>65</v>
      </c>
      <c r="D59" s="24">
        <f>IF(B59="",0,_xludf.XLOOKUP(C59,$E$8:$E$14,$F$8:$F$14,0))</f>
        <v>0</v>
      </c>
      <c r="E59" s="19">
        <v>1</v>
      </c>
      <c r="F59" s="19">
        <v>1</v>
      </c>
      <c r="G59" s="19">
        <v>1</v>
      </c>
      <c r="H59" s="24">
        <f t="shared" si="0"/>
        <v>0</v>
      </c>
      <c r="I59" s="30">
        <f t="shared" si="1"/>
        <v>0</v>
      </c>
      <c r="J59" s="23">
        <v>37</v>
      </c>
      <c r="K59" s="23">
        <f t="shared" si="2"/>
        <v>0</v>
      </c>
      <c r="L59" s="19">
        <v>0</v>
      </c>
      <c r="M59" s="19">
        <v>1</v>
      </c>
      <c r="N59" s="19">
        <v>0</v>
      </c>
      <c r="O59" s="19">
        <v>2</v>
      </c>
      <c r="P59" s="24">
        <f t="shared" si="3"/>
        <v>0</v>
      </c>
      <c r="Q59" s="30">
        <f t="shared" si="4"/>
        <v>0</v>
      </c>
    </row>
    <row r="60" spans="1:17" x14ac:dyDescent="0.25">
      <c r="A60" s="5">
        <v>38</v>
      </c>
      <c r="B60" s="19"/>
      <c r="C60" s="19" t="s">
        <v>65</v>
      </c>
      <c r="D60" s="24">
        <f>IF(B60="",0,_xludf.XLOOKUP(C60,$E$8:$E$14,$F$8:$F$14,0))</f>
        <v>0</v>
      </c>
      <c r="E60" s="19">
        <v>1</v>
      </c>
      <c r="F60" s="19">
        <v>1</v>
      </c>
      <c r="G60" s="19">
        <v>1</v>
      </c>
      <c r="H60" s="24">
        <f t="shared" si="0"/>
        <v>0</v>
      </c>
      <c r="I60" s="30">
        <f t="shared" si="1"/>
        <v>0</v>
      </c>
      <c r="J60" s="23">
        <v>38</v>
      </c>
      <c r="K60" s="23">
        <f t="shared" si="2"/>
        <v>0</v>
      </c>
      <c r="L60" s="19">
        <v>0</v>
      </c>
      <c r="M60" s="19">
        <v>1</v>
      </c>
      <c r="N60" s="19">
        <v>0</v>
      </c>
      <c r="O60" s="19">
        <v>2</v>
      </c>
      <c r="P60" s="24">
        <f t="shared" si="3"/>
        <v>0</v>
      </c>
      <c r="Q60" s="30">
        <f t="shared" si="4"/>
        <v>0</v>
      </c>
    </row>
    <row r="61" spans="1:17" x14ac:dyDescent="0.25">
      <c r="A61" s="5">
        <v>39</v>
      </c>
      <c r="B61" s="19"/>
      <c r="C61" s="19" t="s">
        <v>65</v>
      </c>
      <c r="D61" s="24">
        <f>IF(B61="",0,_xludf.XLOOKUP(C61,$E$8:$E$14,$F$8:$F$14,0))</f>
        <v>0</v>
      </c>
      <c r="E61" s="19">
        <v>1</v>
      </c>
      <c r="F61" s="19">
        <v>1</v>
      </c>
      <c r="G61" s="19">
        <v>1</v>
      </c>
      <c r="H61" s="24">
        <f t="shared" si="0"/>
        <v>0</v>
      </c>
      <c r="I61" s="30">
        <f t="shared" si="1"/>
        <v>0</v>
      </c>
      <c r="J61" s="23">
        <v>39</v>
      </c>
      <c r="K61" s="23">
        <f t="shared" si="2"/>
        <v>0</v>
      </c>
      <c r="L61" s="19">
        <v>0</v>
      </c>
      <c r="M61" s="19">
        <v>1</v>
      </c>
      <c r="N61" s="19">
        <v>0</v>
      </c>
      <c r="O61" s="19">
        <v>2</v>
      </c>
      <c r="P61" s="24">
        <f t="shared" si="3"/>
        <v>0</v>
      </c>
      <c r="Q61" s="30">
        <f t="shared" si="4"/>
        <v>0</v>
      </c>
    </row>
    <row r="62" spans="1:17" x14ac:dyDescent="0.25">
      <c r="A62" s="5">
        <v>40</v>
      </c>
      <c r="B62" s="19"/>
      <c r="C62" s="19" t="s">
        <v>65</v>
      </c>
      <c r="D62" s="24">
        <f>IF(B62="",0,_xludf.XLOOKUP(C62,$E$8:$E$14,$F$8:$F$14,0))</f>
        <v>0</v>
      </c>
      <c r="E62" s="19">
        <v>1</v>
      </c>
      <c r="F62" s="19">
        <v>1</v>
      </c>
      <c r="G62" s="19">
        <v>1</v>
      </c>
      <c r="H62" s="24">
        <f t="shared" si="0"/>
        <v>0</v>
      </c>
      <c r="I62" s="30">
        <f t="shared" si="1"/>
        <v>0</v>
      </c>
      <c r="J62" s="23">
        <v>40</v>
      </c>
      <c r="K62" s="23">
        <f t="shared" si="2"/>
        <v>0</v>
      </c>
      <c r="L62" s="19">
        <v>0</v>
      </c>
      <c r="M62" s="19">
        <v>1</v>
      </c>
      <c r="N62" s="19">
        <v>0</v>
      </c>
      <c r="O62" s="19">
        <v>2</v>
      </c>
      <c r="P62" s="24">
        <f t="shared" si="3"/>
        <v>0</v>
      </c>
      <c r="Q62" s="30">
        <f t="shared" si="4"/>
        <v>0</v>
      </c>
    </row>
    <row r="63" spans="1:17" x14ac:dyDescent="0.25">
      <c r="A63" s="5">
        <v>41</v>
      </c>
      <c r="B63" s="19"/>
      <c r="C63" s="19" t="s">
        <v>65</v>
      </c>
      <c r="D63" s="24">
        <f>IF(B63="",0,_xludf.XLOOKUP(C63,$E$8:$E$14,$F$8:$F$14,0))</f>
        <v>0</v>
      </c>
      <c r="E63" s="19">
        <v>1</v>
      </c>
      <c r="F63" s="19">
        <v>1</v>
      </c>
      <c r="G63" s="19">
        <v>1</v>
      </c>
      <c r="H63" s="24">
        <f t="shared" si="0"/>
        <v>0</v>
      </c>
      <c r="I63" s="30">
        <f t="shared" si="1"/>
        <v>0</v>
      </c>
      <c r="J63" s="23">
        <v>41</v>
      </c>
      <c r="K63" s="23">
        <f t="shared" si="2"/>
        <v>0</v>
      </c>
      <c r="L63" s="19">
        <v>0</v>
      </c>
      <c r="M63" s="19">
        <v>1</v>
      </c>
      <c r="N63" s="19">
        <v>0</v>
      </c>
      <c r="O63" s="19">
        <v>2</v>
      </c>
      <c r="P63" s="24">
        <f t="shared" si="3"/>
        <v>0</v>
      </c>
      <c r="Q63" s="30">
        <f t="shared" si="4"/>
        <v>0</v>
      </c>
    </row>
    <row r="64" spans="1:17" x14ac:dyDescent="0.25">
      <c r="A64" s="5">
        <v>42</v>
      </c>
      <c r="B64" s="19"/>
      <c r="C64" s="19" t="s">
        <v>65</v>
      </c>
      <c r="D64" s="24">
        <f>IF(B64="",0,_xludf.XLOOKUP(C64,$E$8:$E$14,$F$8:$F$14,0))</f>
        <v>0</v>
      </c>
      <c r="E64" s="19">
        <v>1</v>
      </c>
      <c r="F64" s="19">
        <v>1</v>
      </c>
      <c r="G64" s="19">
        <v>1</v>
      </c>
      <c r="H64" s="24">
        <f t="shared" si="0"/>
        <v>0</v>
      </c>
      <c r="I64" s="30">
        <f t="shared" si="1"/>
        <v>0</v>
      </c>
      <c r="J64" s="23">
        <v>42</v>
      </c>
      <c r="K64" s="23">
        <f t="shared" si="2"/>
        <v>0</v>
      </c>
      <c r="L64" s="19">
        <v>0</v>
      </c>
      <c r="M64" s="19">
        <v>1</v>
      </c>
      <c r="N64" s="19">
        <v>0</v>
      </c>
      <c r="O64" s="19">
        <v>2</v>
      </c>
      <c r="P64" s="24">
        <f t="shared" si="3"/>
        <v>0</v>
      </c>
      <c r="Q64" s="30">
        <f t="shared" si="4"/>
        <v>0</v>
      </c>
    </row>
    <row r="65" spans="1:17" x14ac:dyDescent="0.25">
      <c r="A65" s="5">
        <v>43</v>
      </c>
      <c r="B65" s="19"/>
      <c r="C65" s="19" t="s">
        <v>65</v>
      </c>
      <c r="D65" s="24">
        <f>IF(B65="",0,_xludf.XLOOKUP(C65,$E$8:$E$14,$F$8:$F$14,0))</f>
        <v>0</v>
      </c>
      <c r="E65" s="19">
        <v>1</v>
      </c>
      <c r="F65" s="19">
        <v>1</v>
      </c>
      <c r="G65" s="19">
        <v>1</v>
      </c>
      <c r="H65" s="24">
        <f t="shared" si="0"/>
        <v>0</v>
      </c>
      <c r="I65" s="30">
        <f t="shared" si="1"/>
        <v>0</v>
      </c>
      <c r="J65" s="23">
        <v>43</v>
      </c>
      <c r="K65" s="23">
        <f t="shared" si="2"/>
        <v>0</v>
      </c>
      <c r="L65" s="19">
        <v>0</v>
      </c>
      <c r="M65" s="19">
        <v>1</v>
      </c>
      <c r="N65" s="19">
        <v>0</v>
      </c>
      <c r="O65" s="19">
        <v>2</v>
      </c>
      <c r="P65" s="24">
        <f t="shared" si="3"/>
        <v>0</v>
      </c>
      <c r="Q65" s="30">
        <f t="shared" si="4"/>
        <v>0</v>
      </c>
    </row>
    <row r="66" spans="1:17" x14ac:dyDescent="0.25">
      <c r="A66" s="5">
        <v>44</v>
      </c>
      <c r="B66" s="19"/>
      <c r="C66" s="19" t="s">
        <v>65</v>
      </c>
      <c r="D66" s="24">
        <f>IF(B66="",0,_xludf.XLOOKUP(C66,$E$8:$E$14,$F$8:$F$14,0))</f>
        <v>0</v>
      </c>
      <c r="E66" s="19">
        <v>1</v>
      </c>
      <c r="F66" s="19">
        <v>1</v>
      </c>
      <c r="G66" s="19">
        <v>1</v>
      </c>
      <c r="H66" s="24">
        <f t="shared" si="0"/>
        <v>0</v>
      </c>
      <c r="I66" s="30">
        <f t="shared" si="1"/>
        <v>0</v>
      </c>
      <c r="J66" s="23">
        <v>44</v>
      </c>
      <c r="K66" s="23">
        <f t="shared" si="2"/>
        <v>0</v>
      </c>
      <c r="L66" s="19">
        <v>0</v>
      </c>
      <c r="M66" s="19">
        <v>1</v>
      </c>
      <c r="N66" s="19">
        <v>0</v>
      </c>
      <c r="O66" s="19">
        <v>2</v>
      </c>
      <c r="P66" s="24">
        <f t="shared" si="3"/>
        <v>0</v>
      </c>
      <c r="Q66" s="30">
        <f t="shared" si="4"/>
        <v>0</v>
      </c>
    </row>
    <row r="67" spans="1:17" x14ac:dyDescent="0.25">
      <c r="A67" s="5">
        <v>45</v>
      </c>
      <c r="B67" s="19"/>
      <c r="C67" s="19" t="s">
        <v>65</v>
      </c>
      <c r="D67" s="24">
        <f>IF(B67="",0,_xludf.XLOOKUP(C67,$E$8:$E$14,$F$8:$F$14,0))</f>
        <v>0</v>
      </c>
      <c r="E67" s="19">
        <v>1</v>
      </c>
      <c r="F67" s="19">
        <v>1</v>
      </c>
      <c r="G67" s="19">
        <v>1</v>
      </c>
      <c r="H67" s="24">
        <f t="shared" si="0"/>
        <v>0</v>
      </c>
      <c r="I67" s="30">
        <f t="shared" si="1"/>
        <v>0</v>
      </c>
      <c r="J67" s="23">
        <v>45</v>
      </c>
      <c r="K67" s="23">
        <f t="shared" si="2"/>
        <v>0</v>
      </c>
      <c r="L67" s="19">
        <v>0</v>
      </c>
      <c r="M67" s="19">
        <v>1</v>
      </c>
      <c r="N67" s="19">
        <v>0</v>
      </c>
      <c r="O67" s="19">
        <v>2</v>
      </c>
      <c r="P67" s="24">
        <f t="shared" si="3"/>
        <v>0</v>
      </c>
      <c r="Q67" s="30">
        <f t="shared" si="4"/>
        <v>0</v>
      </c>
    </row>
    <row r="68" spans="1:17" x14ac:dyDescent="0.25">
      <c r="A68" s="5">
        <v>46</v>
      </c>
      <c r="B68" s="19"/>
      <c r="C68" s="19" t="s">
        <v>65</v>
      </c>
      <c r="D68" s="24">
        <f>IF(B68="",0,_xludf.XLOOKUP(C68,$E$8:$E$14,$F$8:$F$14,0))</f>
        <v>0</v>
      </c>
      <c r="E68" s="19">
        <v>1</v>
      </c>
      <c r="F68" s="19">
        <v>1</v>
      </c>
      <c r="G68" s="19">
        <v>1</v>
      </c>
      <c r="H68" s="24">
        <f t="shared" si="0"/>
        <v>0</v>
      </c>
      <c r="I68" s="30">
        <f t="shared" si="1"/>
        <v>0</v>
      </c>
      <c r="J68" s="23">
        <v>46</v>
      </c>
      <c r="K68" s="23">
        <f t="shared" si="2"/>
        <v>0</v>
      </c>
      <c r="L68" s="19">
        <v>0</v>
      </c>
      <c r="M68" s="19">
        <v>1</v>
      </c>
      <c r="N68" s="19">
        <v>0</v>
      </c>
      <c r="O68" s="19">
        <v>2</v>
      </c>
      <c r="P68" s="24">
        <f t="shared" si="3"/>
        <v>0</v>
      </c>
      <c r="Q68" s="30">
        <f t="shared" si="4"/>
        <v>0</v>
      </c>
    </row>
    <row r="69" spans="1:17" x14ac:dyDescent="0.25">
      <c r="A69" s="5">
        <v>47</v>
      </c>
      <c r="B69" s="19"/>
      <c r="C69" s="19" t="s">
        <v>65</v>
      </c>
      <c r="D69" s="24">
        <f>IF(B69="",0,_xludf.XLOOKUP(C69,$E$8:$E$14,$F$8:$F$14,0))</f>
        <v>0</v>
      </c>
      <c r="E69" s="19">
        <v>1</v>
      </c>
      <c r="F69" s="19">
        <v>1</v>
      </c>
      <c r="G69" s="19">
        <v>1</v>
      </c>
      <c r="H69" s="24">
        <f t="shared" si="0"/>
        <v>0</v>
      </c>
      <c r="I69" s="30">
        <f t="shared" si="1"/>
        <v>0</v>
      </c>
      <c r="J69" s="23">
        <v>47</v>
      </c>
      <c r="K69" s="23">
        <f t="shared" si="2"/>
        <v>0</v>
      </c>
      <c r="L69" s="19">
        <v>0</v>
      </c>
      <c r="M69" s="19">
        <v>1</v>
      </c>
      <c r="N69" s="19">
        <v>0</v>
      </c>
      <c r="O69" s="19">
        <v>2</v>
      </c>
      <c r="P69" s="24">
        <f t="shared" si="3"/>
        <v>0</v>
      </c>
      <c r="Q69" s="30">
        <f t="shared" si="4"/>
        <v>0</v>
      </c>
    </row>
    <row r="70" spans="1:17" x14ac:dyDescent="0.25">
      <c r="A70" s="5">
        <v>48</v>
      </c>
      <c r="B70" s="19"/>
      <c r="C70" s="19" t="s">
        <v>65</v>
      </c>
      <c r="D70" s="24">
        <f>IF(B70="",0,_xludf.XLOOKUP(C70,$E$8:$E$14,$F$8:$F$14,0))</f>
        <v>0</v>
      </c>
      <c r="E70" s="19">
        <v>1</v>
      </c>
      <c r="F70" s="19">
        <v>1</v>
      </c>
      <c r="G70" s="19">
        <v>1</v>
      </c>
      <c r="H70" s="24">
        <f t="shared" si="0"/>
        <v>0</v>
      </c>
      <c r="I70" s="30">
        <f t="shared" si="1"/>
        <v>0</v>
      </c>
      <c r="J70" s="23">
        <v>48</v>
      </c>
      <c r="K70" s="23">
        <f t="shared" si="2"/>
        <v>0</v>
      </c>
      <c r="L70" s="19">
        <v>0</v>
      </c>
      <c r="M70" s="19">
        <v>1</v>
      </c>
      <c r="N70" s="19">
        <v>0</v>
      </c>
      <c r="O70" s="19">
        <v>2</v>
      </c>
      <c r="P70" s="24">
        <f t="shared" si="3"/>
        <v>0</v>
      </c>
      <c r="Q70" s="30">
        <f t="shared" si="4"/>
        <v>0</v>
      </c>
    </row>
    <row r="71" spans="1:17" x14ac:dyDescent="0.25">
      <c r="A71" s="5">
        <v>49</v>
      </c>
      <c r="B71" s="19"/>
      <c r="C71" s="19" t="s">
        <v>65</v>
      </c>
      <c r="D71" s="24">
        <f>IF(B71="",0,_xludf.XLOOKUP(C71,$E$8:$E$14,$F$8:$F$14,0))</f>
        <v>0</v>
      </c>
      <c r="E71" s="19">
        <v>1</v>
      </c>
      <c r="F71" s="19">
        <v>1</v>
      </c>
      <c r="G71" s="19">
        <v>1</v>
      </c>
      <c r="H71" s="24">
        <f t="shared" si="0"/>
        <v>0</v>
      </c>
      <c r="I71" s="30">
        <f t="shared" si="1"/>
        <v>0</v>
      </c>
      <c r="J71" s="23">
        <v>49</v>
      </c>
      <c r="K71" s="23">
        <f t="shared" si="2"/>
        <v>0</v>
      </c>
      <c r="L71" s="19">
        <v>0</v>
      </c>
      <c r="M71" s="19">
        <v>1</v>
      </c>
      <c r="N71" s="19">
        <v>0</v>
      </c>
      <c r="O71" s="19">
        <v>2</v>
      </c>
      <c r="P71" s="24">
        <f t="shared" si="3"/>
        <v>0</v>
      </c>
      <c r="Q71" s="30">
        <f t="shared" si="4"/>
        <v>0</v>
      </c>
    </row>
    <row r="72" spans="1:17" x14ac:dyDescent="0.25">
      <c r="A72" s="5">
        <v>50</v>
      </c>
      <c r="B72" s="19"/>
      <c r="C72" s="19" t="s">
        <v>65</v>
      </c>
      <c r="D72" s="24">
        <f>IF(B72="",0,_xludf.XLOOKUP(C72,$E$8:$E$14,$F$8:$F$14,0))</f>
        <v>0</v>
      </c>
      <c r="E72" s="19">
        <v>1</v>
      </c>
      <c r="F72" s="19">
        <v>1</v>
      </c>
      <c r="G72" s="19">
        <v>1</v>
      </c>
      <c r="H72" s="24">
        <f t="shared" si="0"/>
        <v>0</v>
      </c>
      <c r="I72" s="30">
        <f t="shared" si="1"/>
        <v>0</v>
      </c>
      <c r="J72" s="23">
        <v>50</v>
      </c>
      <c r="K72" s="23">
        <f t="shared" si="2"/>
        <v>0</v>
      </c>
      <c r="L72" s="19">
        <v>0</v>
      </c>
      <c r="M72" s="19">
        <v>1</v>
      </c>
      <c r="N72" s="19">
        <v>0</v>
      </c>
      <c r="O72" s="19">
        <v>2</v>
      </c>
      <c r="P72" s="24">
        <f t="shared" si="3"/>
        <v>0</v>
      </c>
      <c r="Q72" s="30">
        <f t="shared" si="4"/>
        <v>0</v>
      </c>
    </row>
    <row r="73" spans="1:17" x14ac:dyDescent="0.25">
      <c r="A73" s="5">
        <v>51</v>
      </c>
      <c r="B73" s="19"/>
      <c r="C73" s="19" t="s">
        <v>65</v>
      </c>
      <c r="D73" s="24">
        <f>IF(B73="",0,_xludf.XLOOKUP(C73,$E$8:$E$14,$F$8:$F$14,0))</f>
        <v>0</v>
      </c>
      <c r="E73" s="19">
        <v>1</v>
      </c>
      <c r="F73" s="19">
        <v>1</v>
      </c>
      <c r="G73" s="19">
        <v>1</v>
      </c>
      <c r="H73" s="24">
        <f t="shared" si="0"/>
        <v>0</v>
      </c>
      <c r="I73" s="30">
        <f t="shared" si="1"/>
        <v>0</v>
      </c>
      <c r="J73" s="23">
        <v>51</v>
      </c>
      <c r="K73" s="23">
        <f t="shared" si="2"/>
        <v>0</v>
      </c>
      <c r="L73" s="19">
        <v>0</v>
      </c>
      <c r="M73" s="19">
        <v>1</v>
      </c>
      <c r="N73" s="19">
        <v>0</v>
      </c>
      <c r="O73" s="19">
        <v>2</v>
      </c>
      <c r="P73" s="24">
        <f t="shared" si="3"/>
        <v>0</v>
      </c>
      <c r="Q73" s="30">
        <f t="shared" si="4"/>
        <v>0</v>
      </c>
    </row>
    <row r="74" spans="1:17" x14ac:dyDescent="0.25">
      <c r="A74" s="5">
        <v>52</v>
      </c>
      <c r="B74" s="19"/>
      <c r="C74" s="19" t="s">
        <v>65</v>
      </c>
      <c r="D74" s="24">
        <f>IF(B74="",0,_xludf.XLOOKUP(C74,$E$8:$E$14,$F$8:$F$14,0))</f>
        <v>0</v>
      </c>
      <c r="E74" s="19">
        <v>1</v>
      </c>
      <c r="F74" s="19">
        <v>1</v>
      </c>
      <c r="G74" s="19">
        <v>1</v>
      </c>
      <c r="H74" s="24">
        <f t="shared" si="0"/>
        <v>0</v>
      </c>
      <c r="I74" s="30">
        <f t="shared" si="1"/>
        <v>0</v>
      </c>
      <c r="J74" s="23">
        <v>52</v>
      </c>
      <c r="K74" s="23">
        <f t="shared" si="2"/>
        <v>0</v>
      </c>
      <c r="L74" s="19">
        <v>0</v>
      </c>
      <c r="M74" s="19">
        <v>1</v>
      </c>
      <c r="N74" s="19">
        <v>0</v>
      </c>
      <c r="O74" s="19">
        <v>2</v>
      </c>
      <c r="P74" s="24">
        <f t="shared" si="3"/>
        <v>0</v>
      </c>
      <c r="Q74" s="30">
        <f t="shared" si="4"/>
        <v>0</v>
      </c>
    </row>
    <row r="75" spans="1:17" x14ac:dyDescent="0.25">
      <c r="A75" s="5">
        <v>53</v>
      </c>
      <c r="B75" s="19"/>
      <c r="C75" s="19" t="s">
        <v>65</v>
      </c>
      <c r="D75" s="24">
        <f>IF(B75="",0,_xludf.XLOOKUP(C75,$E$8:$E$14,$F$8:$F$14,0))</f>
        <v>0</v>
      </c>
      <c r="E75" s="19">
        <v>1</v>
      </c>
      <c r="F75" s="19">
        <v>1</v>
      </c>
      <c r="G75" s="19">
        <v>1</v>
      </c>
      <c r="H75" s="24">
        <f t="shared" si="0"/>
        <v>0</v>
      </c>
      <c r="I75" s="30">
        <f t="shared" si="1"/>
        <v>0</v>
      </c>
      <c r="J75" s="23">
        <v>53</v>
      </c>
      <c r="K75" s="23">
        <f t="shared" si="2"/>
        <v>0</v>
      </c>
      <c r="L75" s="19">
        <v>0</v>
      </c>
      <c r="M75" s="19">
        <v>1</v>
      </c>
      <c r="N75" s="19">
        <v>0</v>
      </c>
      <c r="O75" s="19">
        <v>2</v>
      </c>
      <c r="P75" s="24">
        <f t="shared" si="3"/>
        <v>0</v>
      </c>
      <c r="Q75" s="30">
        <f t="shared" si="4"/>
        <v>0</v>
      </c>
    </row>
    <row r="76" spans="1:17" x14ac:dyDescent="0.25">
      <c r="A76" s="5">
        <v>54</v>
      </c>
      <c r="B76" s="19"/>
      <c r="C76" s="19" t="s">
        <v>65</v>
      </c>
      <c r="D76" s="24">
        <f>IF(B76="",0,_xludf.XLOOKUP(C76,$E$8:$E$14,$F$8:$F$14,0))</f>
        <v>0</v>
      </c>
      <c r="E76" s="19">
        <v>1</v>
      </c>
      <c r="F76" s="19">
        <v>1</v>
      </c>
      <c r="G76" s="19">
        <v>1</v>
      </c>
      <c r="H76" s="24">
        <f t="shared" si="0"/>
        <v>0</v>
      </c>
      <c r="I76" s="30">
        <f t="shared" si="1"/>
        <v>0</v>
      </c>
      <c r="J76" s="23">
        <v>54</v>
      </c>
      <c r="K76" s="23">
        <f t="shared" si="2"/>
        <v>0</v>
      </c>
      <c r="L76" s="19">
        <v>0</v>
      </c>
      <c r="M76" s="19">
        <v>1</v>
      </c>
      <c r="N76" s="19">
        <v>0</v>
      </c>
      <c r="O76" s="19">
        <v>2</v>
      </c>
      <c r="P76" s="24">
        <f t="shared" si="3"/>
        <v>0</v>
      </c>
      <c r="Q76" s="30">
        <f t="shared" si="4"/>
        <v>0</v>
      </c>
    </row>
    <row r="77" spans="1:17" x14ac:dyDescent="0.25">
      <c r="A77" s="5">
        <v>55</v>
      </c>
      <c r="B77" s="19"/>
      <c r="C77" s="19" t="s">
        <v>65</v>
      </c>
      <c r="D77" s="24">
        <f>IF(B77="",0,_xludf.XLOOKUP(C77,$E$8:$E$14,$F$8:$F$14,0))</f>
        <v>0</v>
      </c>
      <c r="E77" s="19">
        <v>1</v>
      </c>
      <c r="F77" s="19">
        <v>1</v>
      </c>
      <c r="G77" s="19">
        <v>1</v>
      </c>
      <c r="H77" s="24">
        <f t="shared" si="0"/>
        <v>0</v>
      </c>
      <c r="I77" s="30">
        <f t="shared" si="1"/>
        <v>0</v>
      </c>
      <c r="J77" s="23">
        <v>55</v>
      </c>
      <c r="K77" s="23">
        <f t="shared" si="2"/>
        <v>0</v>
      </c>
      <c r="L77" s="19">
        <v>0</v>
      </c>
      <c r="M77" s="19">
        <v>1</v>
      </c>
      <c r="N77" s="19">
        <v>0</v>
      </c>
      <c r="O77" s="19">
        <v>2</v>
      </c>
      <c r="P77" s="24">
        <f t="shared" si="3"/>
        <v>0</v>
      </c>
      <c r="Q77" s="30">
        <f t="shared" si="4"/>
        <v>0</v>
      </c>
    </row>
    <row r="78" spans="1:17" x14ac:dyDescent="0.25">
      <c r="A78" s="5">
        <v>56</v>
      </c>
      <c r="B78" s="19"/>
      <c r="C78" s="19" t="s">
        <v>65</v>
      </c>
      <c r="D78" s="24">
        <f>IF(B78="",0,_xludf.XLOOKUP(C78,$E$8:$E$14,$F$8:$F$14,0))</f>
        <v>0</v>
      </c>
      <c r="E78" s="19">
        <v>1</v>
      </c>
      <c r="F78" s="19">
        <v>1</v>
      </c>
      <c r="G78" s="19">
        <v>1</v>
      </c>
      <c r="H78" s="24">
        <f t="shared" si="0"/>
        <v>0</v>
      </c>
      <c r="I78" s="30">
        <f t="shared" si="1"/>
        <v>0</v>
      </c>
      <c r="J78" s="23">
        <v>56</v>
      </c>
      <c r="K78" s="23">
        <f t="shared" si="2"/>
        <v>0</v>
      </c>
      <c r="L78" s="19">
        <v>0</v>
      </c>
      <c r="M78" s="19">
        <v>1</v>
      </c>
      <c r="N78" s="19">
        <v>0</v>
      </c>
      <c r="O78" s="19">
        <v>2</v>
      </c>
      <c r="P78" s="24">
        <f t="shared" si="3"/>
        <v>0</v>
      </c>
      <c r="Q78" s="30">
        <f t="shared" si="4"/>
        <v>0</v>
      </c>
    </row>
    <row r="79" spans="1:17" x14ac:dyDescent="0.25">
      <c r="A79" s="5">
        <v>57</v>
      </c>
      <c r="B79" s="19"/>
      <c r="C79" s="19" t="s">
        <v>65</v>
      </c>
      <c r="D79" s="24">
        <f>IF(B79="",0,_xludf.XLOOKUP(C79,$E$8:$E$14,$F$8:$F$14,0))</f>
        <v>0</v>
      </c>
      <c r="E79" s="19">
        <v>1</v>
      </c>
      <c r="F79" s="19">
        <v>1</v>
      </c>
      <c r="G79" s="19">
        <v>1</v>
      </c>
      <c r="H79" s="24">
        <f t="shared" si="0"/>
        <v>0</v>
      </c>
      <c r="I79" s="30">
        <f t="shared" si="1"/>
        <v>0</v>
      </c>
      <c r="J79" s="23">
        <v>57</v>
      </c>
      <c r="K79" s="23">
        <f t="shared" si="2"/>
        <v>0</v>
      </c>
      <c r="L79" s="19">
        <v>0</v>
      </c>
      <c r="M79" s="19">
        <v>1</v>
      </c>
      <c r="N79" s="19">
        <v>0</v>
      </c>
      <c r="O79" s="19">
        <v>2</v>
      </c>
      <c r="P79" s="24">
        <f t="shared" si="3"/>
        <v>0</v>
      </c>
      <c r="Q79" s="30">
        <f t="shared" si="4"/>
        <v>0</v>
      </c>
    </row>
    <row r="80" spans="1:17" x14ac:dyDescent="0.25">
      <c r="A80" s="5">
        <v>58</v>
      </c>
      <c r="B80" s="19"/>
      <c r="C80" s="19" t="s">
        <v>65</v>
      </c>
      <c r="D80" s="24">
        <f>IF(B80="",0,_xludf.XLOOKUP(C80,$E$8:$E$14,$F$8:$F$14,0))</f>
        <v>0</v>
      </c>
      <c r="E80" s="19">
        <v>1</v>
      </c>
      <c r="F80" s="19">
        <v>1</v>
      </c>
      <c r="G80" s="19">
        <v>1</v>
      </c>
      <c r="H80" s="24">
        <f t="shared" si="0"/>
        <v>0</v>
      </c>
      <c r="I80" s="30">
        <f t="shared" si="1"/>
        <v>0</v>
      </c>
      <c r="J80" s="23">
        <v>58</v>
      </c>
      <c r="K80" s="23">
        <f t="shared" si="2"/>
        <v>0</v>
      </c>
      <c r="L80" s="19">
        <v>0</v>
      </c>
      <c r="M80" s="19">
        <v>1</v>
      </c>
      <c r="N80" s="19">
        <v>0</v>
      </c>
      <c r="O80" s="19">
        <v>2</v>
      </c>
      <c r="P80" s="24">
        <f t="shared" si="3"/>
        <v>0</v>
      </c>
      <c r="Q80" s="30">
        <f t="shared" si="4"/>
        <v>0</v>
      </c>
    </row>
    <row r="81" spans="1:17" x14ac:dyDescent="0.25">
      <c r="A81" s="5">
        <v>59</v>
      </c>
      <c r="B81" s="19"/>
      <c r="C81" s="19" t="s">
        <v>65</v>
      </c>
      <c r="D81" s="24">
        <f>IF(B81="",0,_xludf.XLOOKUP(C81,$E$8:$E$14,$F$8:$F$14,0))</f>
        <v>0</v>
      </c>
      <c r="E81" s="19">
        <v>1</v>
      </c>
      <c r="F81" s="19">
        <v>1</v>
      </c>
      <c r="G81" s="19">
        <v>1</v>
      </c>
      <c r="H81" s="24">
        <f t="shared" si="0"/>
        <v>0</v>
      </c>
      <c r="I81" s="30">
        <f t="shared" si="1"/>
        <v>0</v>
      </c>
      <c r="J81" s="23">
        <v>59</v>
      </c>
      <c r="K81" s="23">
        <f t="shared" si="2"/>
        <v>0</v>
      </c>
      <c r="L81" s="19">
        <v>0</v>
      </c>
      <c r="M81" s="19">
        <v>1</v>
      </c>
      <c r="N81" s="19">
        <v>0</v>
      </c>
      <c r="O81" s="19">
        <v>2</v>
      </c>
      <c r="P81" s="24">
        <f t="shared" si="3"/>
        <v>0</v>
      </c>
      <c r="Q81" s="30">
        <f t="shared" si="4"/>
        <v>0</v>
      </c>
    </row>
    <row r="82" spans="1:17" x14ac:dyDescent="0.25">
      <c r="A82" s="5">
        <v>60</v>
      </c>
      <c r="B82" s="19"/>
      <c r="C82" s="19" t="s">
        <v>65</v>
      </c>
      <c r="D82" s="24">
        <f>IF(B82="",0,_xludf.XLOOKUP(C82,$E$8:$E$14,$F$8:$F$14,0))</f>
        <v>0</v>
      </c>
      <c r="E82" s="19">
        <v>1</v>
      </c>
      <c r="F82" s="19">
        <v>1</v>
      </c>
      <c r="G82" s="19">
        <v>1</v>
      </c>
      <c r="H82" s="24">
        <f t="shared" si="0"/>
        <v>0</v>
      </c>
      <c r="I82" s="30">
        <f t="shared" si="1"/>
        <v>0</v>
      </c>
      <c r="J82" s="23">
        <v>60</v>
      </c>
      <c r="K82" s="23">
        <f t="shared" si="2"/>
        <v>0</v>
      </c>
      <c r="L82" s="19">
        <v>0</v>
      </c>
      <c r="M82" s="19">
        <v>1</v>
      </c>
      <c r="N82" s="19">
        <v>0</v>
      </c>
      <c r="O82" s="19">
        <v>2</v>
      </c>
      <c r="P82" s="24">
        <f t="shared" si="3"/>
        <v>0</v>
      </c>
      <c r="Q82" s="30">
        <f t="shared" si="4"/>
        <v>0</v>
      </c>
    </row>
    <row r="84" spans="1:17" x14ac:dyDescent="0.25">
      <c r="A84" s="31" t="s">
        <v>76</v>
      </c>
      <c r="B84" s="14"/>
      <c r="C84" s="14"/>
      <c r="D84" s="32">
        <f>SUM($Q$23:$Q$82)</f>
        <v>2.635410764872522</v>
      </c>
    </row>
    <row r="85" spans="1:17" x14ac:dyDescent="0.25">
      <c r="A85" s="33" t="s">
        <v>171</v>
      </c>
      <c r="B85" s="14"/>
      <c r="C85" s="14"/>
      <c r="D85" s="34">
        <f>SUM($H$23:$H$82)</f>
        <v>141.19999999999999</v>
      </c>
    </row>
    <row r="86" spans="1:17" x14ac:dyDescent="0.25">
      <c r="A86" s="33" t="s">
        <v>172</v>
      </c>
      <c r="B86" s="14"/>
      <c r="C86" s="14"/>
      <c r="D86" s="35">
        <f>SUM($I$23:$I$82)</f>
        <v>1</v>
      </c>
    </row>
  </sheetData>
  <mergeCells count="39">
    <mergeCell ref="A84:C84"/>
    <mergeCell ref="A85:C85"/>
    <mergeCell ref="A86:C86"/>
    <mergeCell ref="H14:J14"/>
    <mergeCell ref="K14:M14"/>
    <mergeCell ref="N14:Q14"/>
    <mergeCell ref="H16:K16"/>
    <mergeCell ref="A21:H21"/>
    <mergeCell ref="J21:Q21"/>
    <mergeCell ref="H12:J12"/>
    <mergeCell ref="K12:M12"/>
    <mergeCell ref="N12:Q12"/>
    <mergeCell ref="H13:J13"/>
    <mergeCell ref="K13:M13"/>
    <mergeCell ref="N13:Q13"/>
    <mergeCell ref="B10:C10"/>
    <mergeCell ref="H10:J10"/>
    <mergeCell ref="K10:M10"/>
    <mergeCell ref="N10:Q10"/>
    <mergeCell ref="H11:J11"/>
    <mergeCell ref="K11:M11"/>
    <mergeCell ref="N11:Q11"/>
    <mergeCell ref="B8:C8"/>
    <mergeCell ref="H8:J8"/>
    <mergeCell ref="K8:M8"/>
    <mergeCell ref="N8:Q8"/>
    <mergeCell ref="B9:C9"/>
    <mergeCell ref="H9:J9"/>
    <mergeCell ref="K9:M9"/>
    <mergeCell ref="N9:Q9"/>
    <mergeCell ref="A1:Q1"/>
    <mergeCell ref="A4:Q4"/>
    <mergeCell ref="A6:C6"/>
    <mergeCell ref="E6:G6"/>
    <mergeCell ref="H6:Q6"/>
    <mergeCell ref="B7:C7"/>
    <mergeCell ref="H7:J7"/>
    <mergeCell ref="K7:M7"/>
    <mergeCell ref="N7:Q7"/>
  </mergeCells>
  <conditionalFormatting sqref="E23:E82">
    <cfRule type="cellIs" dxfId="4" priority="1" operator="notBetween">
      <formula>0.6</formula>
      <formula>2.5</formula>
    </cfRule>
  </conditionalFormatting>
  <conditionalFormatting sqref="F23:F82">
    <cfRule type="cellIs" dxfId="3" priority="2" operator="notBetween">
      <formula>0.8</formula>
      <formula>1.6</formula>
    </cfRule>
  </conditionalFormatting>
  <conditionalFormatting sqref="G23:G82">
    <cfRule type="cellIs" dxfId="2" priority="3" operator="notBetween">
      <formula>0.5</formula>
      <formula>2</formula>
    </cfRule>
  </conditionalFormatting>
  <conditionalFormatting sqref="M23:M82">
    <cfRule type="cellIs" dxfId="1" priority="4" operator="notBetween">
      <formula>0.6</formula>
      <formula>1.8</formula>
    </cfRule>
  </conditionalFormatting>
  <conditionalFormatting sqref="O23:O82">
    <cfRule type="cellIs" dxfId="0" priority="5" operator="notBetween">
      <formula>1.5</formula>
      <formula>3</formula>
    </cfRule>
  </conditionalFormatting>
  <dataValidations count="1">
    <dataValidation type="list" allowBlank="1" sqref="C23:C82" xr:uid="{ED15DEF2-BD7A-44A3-8A1F-C8D32CFFC2A3}">
      <formula1>"Common,Uncommon,Rare,Elite,Epic,Legendary,Relic"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3"/>
  <sheetViews>
    <sheetView showGridLines="0" workbookViewId="0">
      <pane ySplit="5" topLeftCell="A6" activePane="bottomLeft" state="frozen"/>
      <selection pane="bottomLeft" sqref="A1:R1"/>
    </sheetView>
  </sheetViews>
  <sheetFormatPr defaultRowHeight="15" x14ac:dyDescent="0.25"/>
  <cols>
    <col min="1" max="1" width="8" customWidth="1"/>
    <col min="2" max="2" width="10" customWidth="1"/>
    <col min="3" max="3" width="18" customWidth="1"/>
    <col min="4" max="5" width="16" customWidth="1"/>
    <col min="6" max="6" width="14" customWidth="1"/>
    <col min="7" max="7" width="10" customWidth="1"/>
    <col min="8" max="10" width="12" customWidth="1"/>
    <col min="11" max="13" width="14" customWidth="1"/>
    <col min="14" max="14" width="16" customWidth="1"/>
    <col min="15" max="17" width="18" customWidth="1"/>
  </cols>
  <sheetData>
    <row r="1" spans="1:18" ht="27.95" customHeight="1" x14ac:dyDescent="0.25">
      <c r="A1" s="13" t="s">
        <v>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3" spans="1:18" x14ac:dyDescent="0.25">
      <c r="A3" s="15" t="s">
        <v>78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5" spans="1:18" ht="30" x14ac:dyDescent="0.25">
      <c r="A5" s="3" t="s">
        <v>79</v>
      </c>
      <c r="B5" s="3" t="s">
        <v>80</v>
      </c>
      <c r="C5" s="3" t="s">
        <v>81</v>
      </c>
      <c r="D5" s="3" t="s">
        <v>82</v>
      </c>
      <c r="E5" s="3" t="s">
        <v>83</v>
      </c>
      <c r="F5" s="3" t="s">
        <v>84</v>
      </c>
      <c r="G5" s="3" t="s">
        <v>85</v>
      </c>
      <c r="H5" s="3" t="s">
        <v>86</v>
      </c>
      <c r="I5" s="3" t="s">
        <v>87</v>
      </c>
      <c r="J5" s="3" t="s">
        <v>88</v>
      </c>
      <c r="K5" s="3" t="s">
        <v>89</v>
      </c>
      <c r="L5" s="3" t="s">
        <v>90</v>
      </c>
      <c r="M5" s="3" t="s">
        <v>91</v>
      </c>
      <c r="N5" s="3" t="s">
        <v>92</v>
      </c>
      <c r="O5" s="3" t="s">
        <v>93</v>
      </c>
      <c r="P5" s="3" t="s">
        <v>94</v>
      </c>
      <c r="Q5" s="3" t="s">
        <v>95</v>
      </c>
    </row>
    <row r="6" spans="1:18" x14ac:dyDescent="0.25">
      <c r="A6" s="8">
        <v>1</v>
      </c>
      <c r="B6" s="5" t="s">
        <v>96</v>
      </c>
      <c r="C6" s="5">
        <v>0</v>
      </c>
      <c r="D6" s="5">
        <v>0</v>
      </c>
      <c r="E6" s="5">
        <v>0</v>
      </c>
      <c r="F6" s="8">
        <f t="shared" ref="F6:F30" si="0">IF(B6="Yes",k_monsters*C6 + k_traps*D6 + k_env*E6,0)</f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8">
        <f t="shared" ref="M6:M30" si="1">IF(B6="Yes",H6*w_bronze + I6*w_silver + J6*w_gold + K6*w_platinum + L6*w_diamond,0)</f>
        <v>0</v>
      </c>
      <c r="N6" s="6">
        <f t="shared" ref="N6:N30" si="2">IF(B6="Yes",(M6*100)/(G6+1),0)</f>
        <v>0</v>
      </c>
      <c r="O6" s="5">
        <v>0</v>
      </c>
      <c r="P6" s="5">
        <v>0</v>
      </c>
      <c r="Q6" s="9">
        <f t="shared" ref="Q6:Q30" si="3">IF(B6="Yes",IF(O6=0,0,P6/(O6+0.0001)),0)</f>
        <v>0</v>
      </c>
    </row>
    <row r="7" spans="1:18" x14ac:dyDescent="0.25">
      <c r="A7" s="8">
        <v>2</v>
      </c>
      <c r="B7" s="5" t="s">
        <v>96</v>
      </c>
      <c r="C7" s="5">
        <v>0</v>
      </c>
      <c r="D7" s="5">
        <v>0</v>
      </c>
      <c r="E7" s="5">
        <v>0</v>
      </c>
      <c r="F7" s="8">
        <f t="shared" si="0"/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8">
        <f t="shared" si="1"/>
        <v>0</v>
      </c>
      <c r="N7" s="6">
        <f t="shared" si="2"/>
        <v>0</v>
      </c>
      <c r="O7" s="5">
        <v>0</v>
      </c>
      <c r="P7" s="5">
        <v>0</v>
      </c>
      <c r="Q7" s="9">
        <f t="shared" si="3"/>
        <v>0</v>
      </c>
    </row>
    <row r="8" spans="1:18" x14ac:dyDescent="0.25">
      <c r="A8" s="8">
        <v>3</v>
      </c>
      <c r="B8" s="5" t="s">
        <v>96</v>
      </c>
      <c r="C8" s="5">
        <v>0</v>
      </c>
      <c r="D8" s="5">
        <v>0</v>
      </c>
      <c r="E8" s="5">
        <v>0</v>
      </c>
      <c r="F8" s="8">
        <f t="shared" si="0"/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8">
        <f t="shared" si="1"/>
        <v>0</v>
      </c>
      <c r="N8" s="6">
        <f t="shared" si="2"/>
        <v>0</v>
      </c>
      <c r="O8" s="5">
        <v>0</v>
      </c>
      <c r="P8" s="5">
        <v>0</v>
      </c>
      <c r="Q8" s="9">
        <f t="shared" si="3"/>
        <v>0</v>
      </c>
    </row>
    <row r="9" spans="1:18" x14ac:dyDescent="0.25">
      <c r="A9" s="8">
        <v>4</v>
      </c>
      <c r="B9" s="5" t="s">
        <v>96</v>
      </c>
      <c r="C9" s="5">
        <v>0</v>
      </c>
      <c r="D9" s="5">
        <v>0</v>
      </c>
      <c r="E9" s="5">
        <v>0</v>
      </c>
      <c r="F9" s="8">
        <f t="shared" si="0"/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8">
        <f t="shared" si="1"/>
        <v>0</v>
      </c>
      <c r="N9" s="6">
        <f t="shared" si="2"/>
        <v>0</v>
      </c>
      <c r="O9" s="5">
        <v>0</v>
      </c>
      <c r="P9" s="5">
        <v>0</v>
      </c>
      <c r="Q9" s="9">
        <f t="shared" si="3"/>
        <v>0</v>
      </c>
    </row>
    <row r="10" spans="1:18" x14ac:dyDescent="0.25">
      <c r="A10" s="8">
        <v>5</v>
      </c>
      <c r="B10" s="5" t="s">
        <v>96</v>
      </c>
      <c r="C10" s="5">
        <v>0</v>
      </c>
      <c r="D10" s="5">
        <v>0</v>
      </c>
      <c r="E10" s="5">
        <v>0</v>
      </c>
      <c r="F10" s="8">
        <f t="shared" si="0"/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8">
        <f t="shared" si="1"/>
        <v>0</v>
      </c>
      <c r="N10" s="6">
        <f t="shared" si="2"/>
        <v>0</v>
      </c>
      <c r="O10" s="5">
        <v>0</v>
      </c>
      <c r="P10" s="5">
        <v>0</v>
      </c>
      <c r="Q10" s="9">
        <f t="shared" si="3"/>
        <v>0</v>
      </c>
    </row>
    <row r="11" spans="1:18" x14ac:dyDescent="0.25">
      <c r="A11" s="8">
        <v>6</v>
      </c>
      <c r="B11" s="5" t="s">
        <v>97</v>
      </c>
      <c r="C11" s="5">
        <v>0</v>
      </c>
      <c r="D11" s="5">
        <v>0</v>
      </c>
      <c r="E11" s="5">
        <v>0</v>
      </c>
      <c r="F11" s="8">
        <f t="shared" si="0"/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8">
        <f t="shared" si="1"/>
        <v>0</v>
      </c>
      <c r="N11" s="6">
        <f t="shared" si="2"/>
        <v>0</v>
      </c>
      <c r="O11" s="5">
        <v>0</v>
      </c>
      <c r="P11" s="5">
        <v>0</v>
      </c>
      <c r="Q11" s="9">
        <f t="shared" si="3"/>
        <v>0</v>
      </c>
    </row>
    <row r="12" spans="1:18" x14ac:dyDescent="0.25">
      <c r="A12" s="8">
        <v>7</v>
      </c>
      <c r="B12" s="5" t="s">
        <v>97</v>
      </c>
      <c r="C12" s="5">
        <v>0</v>
      </c>
      <c r="D12" s="5">
        <v>0</v>
      </c>
      <c r="E12" s="5">
        <v>0</v>
      </c>
      <c r="F12" s="8">
        <f t="shared" si="0"/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8">
        <f t="shared" si="1"/>
        <v>0</v>
      </c>
      <c r="N12" s="6">
        <f t="shared" si="2"/>
        <v>0</v>
      </c>
      <c r="O12" s="5">
        <v>0</v>
      </c>
      <c r="P12" s="5">
        <v>0</v>
      </c>
      <c r="Q12" s="9">
        <f t="shared" si="3"/>
        <v>0</v>
      </c>
    </row>
    <row r="13" spans="1:18" x14ac:dyDescent="0.25">
      <c r="A13" s="8">
        <v>8</v>
      </c>
      <c r="B13" s="5" t="s">
        <v>97</v>
      </c>
      <c r="C13" s="5">
        <v>0</v>
      </c>
      <c r="D13" s="5">
        <v>0</v>
      </c>
      <c r="E13" s="5">
        <v>0</v>
      </c>
      <c r="F13" s="8">
        <f t="shared" si="0"/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8">
        <f t="shared" si="1"/>
        <v>0</v>
      </c>
      <c r="N13" s="6">
        <f t="shared" si="2"/>
        <v>0</v>
      </c>
      <c r="O13" s="5">
        <v>0</v>
      </c>
      <c r="P13" s="5">
        <v>0</v>
      </c>
      <c r="Q13" s="9">
        <f t="shared" si="3"/>
        <v>0</v>
      </c>
    </row>
    <row r="14" spans="1:18" x14ac:dyDescent="0.25">
      <c r="A14" s="8">
        <v>9</v>
      </c>
      <c r="B14" s="5" t="s">
        <v>97</v>
      </c>
      <c r="C14" s="5">
        <v>0</v>
      </c>
      <c r="D14" s="5">
        <v>0</v>
      </c>
      <c r="E14" s="5">
        <v>0</v>
      </c>
      <c r="F14" s="8">
        <f t="shared" si="0"/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8">
        <f t="shared" si="1"/>
        <v>0</v>
      </c>
      <c r="N14" s="6">
        <f t="shared" si="2"/>
        <v>0</v>
      </c>
      <c r="O14" s="5">
        <v>0</v>
      </c>
      <c r="P14" s="5">
        <v>0</v>
      </c>
      <c r="Q14" s="9">
        <f t="shared" si="3"/>
        <v>0</v>
      </c>
    </row>
    <row r="15" spans="1:18" x14ac:dyDescent="0.25">
      <c r="A15" s="8">
        <v>10</v>
      </c>
      <c r="B15" s="5" t="s">
        <v>97</v>
      </c>
      <c r="C15" s="5">
        <v>0</v>
      </c>
      <c r="D15" s="5">
        <v>0</v>
      </c>
      <c r="E15" s="5">
        <v>0</v>
      </c>
      <c r="F15" s="8">
        <f t="shared" si="0"/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8">
        <f t="shared" si="1"/>
        <v>0</v>
      </c>
      <c r="N15" s="6">
        <f t="shared" si="2"/>
        <v>0</v>
      </c>
      <c r="O15" s="5">
        <v>0</v>
      </c>
      <c r="P15" s="5">
        <v>0</v>
      </c>
      <c r="Q15" s="9">
        <f t="shared" si="3"/>
        <v>0</v>
      </c>
    </row>
    <row r="16" spans="1:18" x14ac:dyDescent="0.25">
      <c r="A16" s="8">
        <v>11</v>
      </c>
      <c r="B16" s="5" t="s">
        <v>97</v>
      </c>
      <c r="C16" s="5">
        <v>0</v>
      </c>
      <c r="D16" s="5">
        <v>0</v>
      </c>
      <c r="E16" s="5">
        <v>0</v>
      </c>
      <c r="F16" s="8">
        <f t="shared" si="0"/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8">
        <f t="shared" si="1"/>
        <v>0</v>
      </c>
      <c r="N16" s="6">
        <f t="shared" si="2"/>
        <v>0</v>
      </c>
      <c r="O16" s="5">
        <v>0</v>
      </c>
      <c r="P16" s="5">
        <v>0</v>
      </c>
      <c r="Q16" s="9">
        <f t="shared" si="3"/>
        <v>0</v>
      </c>
    </row>
    <row r="17" spans="1:17" x14ac:dyDescent="0.25">
      <c r="A17" s="8">
        <v>12</v>
      </c>
      <c r="B17" s="5" t="s">
        <v>97</v>
      </c>
      <c r="C17" s="5">
        <v>0</v>
      </c>
      <c r="D17" s="5">
        <v>0</v>
      </c>
      <c r="E17" s="5">
        <v>0</v>
      </c>
      <c r="F17" s="8">
        <f t="shared" si="0"/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8">
        <f t="shared" si="1"/>
        <v>0</v>
      </c>
      <c r="N17" s="6">
        <f t="shared" si="2"/>
        <v>0</v>
      </c>
      <c r="O17" s="5">
        <v>0</v>
      </c>
      <c r="P17" s="5">
        <v>0</v>
      </c>
      <c r="Q17" s="9">
        <f t="shared" si="3"/>
        <v>0</v>
      </c>
    </row>
    <row r="18" spans="1:17" x14ac:dyDescent="0.25">
      <c r="A18" s="8">
        <v>13</v>
      </c>
      <c r="B18" s="5" t="s">
        <v>97</v>
      </c>
      <c r="C18" s="5">
        <v>0</v>
      </c>
      <c r="D18" s="5">
        <v>0</v>
      </c>
      <c r="E18" s="5">
        <v>0</v>
      </c>
      <c r="F18" s="8">
        <f t="shared" si="0"/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8">
        <f t="shared" si="1"/>
        <v>0</v>
      </c>
      <c r="N18" s="6">
        <f t="shared" si="2"/>
        <v>0</v>
      </c>
      <c r="O18" s="5">
        <v>0</v>
      </c>
      <c r="P18" s="5">
        <v>0</v>
      </c>
      <c r="Q18" s="9">
        <f t="shared" si="3"/>
        <v>0</v>
      </c>
    </row>
    <row r="19" spans="1:17" x14ac:dyDescent="0.25">
      <c r="A19" s="8">
        <v>14</v>
      </c>
      <c r="B19" s="5" t="s">
        <v>97</v>
      </c>
      <c r="C19" s="5">
        <v>0</v>
      </c>
      <c r="D19" s="5">
        <v>0</v>
      </c>
      <c r="E19" s="5">
        <v>0</v>
      </c>
      <c r="F19" s="8">
        <f t="shared" si="0"/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8">
        <f t="shared" si="1"/>
        <v>0</v>
      </c>
      <c r="N19" s="6">
        <f t="shared" si="2"/>
        <v>0</v>
      </c>
      <c r="O19" s="5">
        <v>0</v>
      </c>
      <c r="P19" s="5">
        <v>0</v>
      </c>
      <c r="Q19" s="9">
        <f t="shared" si="3"/>
        <v>0</v>
      </c>
    </row>
    <row r="20" spans="1:17" x14ac:dyDescent="0.25">
      <c r="A20" s="8">
        <v>15</v>
      </c>
      <c r="B20" s="5" t="s">
        <v>97</v>
      </c>
      <c r="C20" s="5">
        <v>0</v>
      </c>
      <c r="D20" s="5">
        <v>0</v>
      </c>
      <c r="E20" s="5">
        <v>0</v>
      </c>
      <c r="F20" s="8">
        <f t="shared" si="0"/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8">
        <f t="shared" si="1"/>
        <v>0</v>
      </c>
      <c r="N20" s="6">
        <f t="shared" si="2"/>
        <v>0</v>
      </c>
      <c r="O20" s="5">
        <v>0</v>
      </c>
      <c r="P20" s="5">
        <v>0</v>
      </c>
      <c r="Q20" s="9">
        <f t="shared" si="3"/>
        <v>0</v>
      </c>
    </row>
    <row r="21" spans="1:17" x14ac:dyDescent="0.25">
      <c r="A21" s="8">
        <v>16</v>
      </c>
      <c r="B21" s="5" t="s">
        <v>97</v>
      </c>
      <c r="C21" s="5">
        <v>0</v>
      </c>
      <c r="D21" s="5">
        <v>0</v>
      </c>
      <c r="E21" s="5">
        <v>0</v>
      </c>
      <c r="F21" s="8">
        <f t="shared" si="0"/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8">
        <f t="shared" si="1"/>
        <v>0</v>
      </c>
      <c r="N21" s="6">
        <f t="shared" si="2"/>
        <v>0</v>
      </c>
      <c r="O21" s="5">
        <v>0</v>
      </c>
      <c r="P21" s="5">
        <v>0</v>
      </c>
      <c r="Q21" s="9">
        <f t="shared" si="3"/>
        <v>0</v>
      </c>
    </row>
    <row r="22" spans="1:17" x14ac:dyDescent="0.25">
      <c r="A22" s="8">
        <v>17</v>
      </c>
      <c r="B22" s="5" t="s">
        <v>97</v>
      </c>
      <c r="C22" s="5">
        <v>0</v>
      </c>
      <c r="D22" s="5">
        <v>0</v>
      </c>
      <c r="E22" s="5">
        <v>0</v>
      </c>
      <c r="F22" s="8">
        <f t="shared" si="0"/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8">
        <f t="shared" si="1"/>
        <v>0</v>
      </c>
      <c r="N22" s="6">
        <f t="shared" si="2"/>
        <v>0</v>
      </c>
      <c r="O22" s="5">
        <v>0</v>
      </c>
      <c r="P22" s="5">
        <v>0</v>
      </c>
      <c r="Q22" s="9">
        <f t="shared" si="3"/>
        <v>0</v>
      </c>
    </row>
    <row r="23" spans="1:17" x14ac:dyDescent="0.25">
      <c r="A23" s="8">
        <v>18</v>
      </c>
      <c r="B23" s="5" t="s">
        <v>97</v>
      </c>
      <c r="C23" s="5">
        <v>0</v>
      </c>
      <c r="D23" s="5">
        <v>0</v>
      </c>
      <c r="E23" s="5">
        <v>0</v>
      </c>
      <c r="F23" s="8">
        <f t="shared" si="0"/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8">
        <f t="shared" si="1"/>
        <v>0</v>
      </c>
      <c r="N23" s="6">
        <f t="shared" si="2"/>
        <v>0</v>
      </c>
      <c r="O23" s="5">
        <v>0</v>
      </c>
      <c r="P23" s="5">
        <v>0</v>
      </c>
      <c r="Q23" s="9">
        <f t="shared" si="3"/>
        <v>0</v>
      </c>
    </row>
    <row r="24" spans="1:17" x14ac:dyDescent="0.25">
      <c r="A24" s="8">
        <v>19</v>
      </c>
      <c r="B24" s="5" t="s">
        <v>97</v>
      </c>
      <c r="C24" s="5">
        <v>0</v>
      </c>
      <c r="D24" s="5">
        <v>0</v>
      </c>
      <c r="E24" s="5">
        <v>0</v>
      </c>
      <c r="F24" s="8">
        <f t="shared" si="0"/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8">
        <f t="shared" si="1"/>
        <v>0</v>
      </c>
      <c r="N24" s="6">
        <f t="shared" si="2"/>
        <v>0</v>
      </c>
      <c r="O24" s="5">
        <v>0</v>
      </c>
      <c r="P24" s="5">
        <v>0</v>
      </c>
      <c r="Q24" s="9">
        <f t="shared" si="3"/>
        <v>0</v>
      </c>
    </row>
    <row r="25" spans="1:17" x14ac:dyDescent="0.25">
      <c r="A25" s="8">
        <v>20</v>
      </c>
      <c r="B25" s="5" t="s">
        <v>97</v>
      </c>
      <c r="C25" s="5">
        <v>0</v>
      </c>
      <c r="D25" s="5">
        <v>0</v>
      </c>
      <c r="E25" s="5">
        <v>0</v>
      </c>
      <c r="F25" s="8">
        <f t="shared" si="0"/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8">
        <f t="shared" si="1"/>
        <v>0</v>
      </c>
      <c r="N25" s="6">
        <f t="shared" si="2"/>
        <v>0</v>
      </c>
      <c r="O25" s="5">
        <v>0</v>
      </c>
      <c r="P25" s="5">
        <v>0</v>
      </c>
      <c r="Q25" s="9">
        <f t="shared" si="3"/>
        <v>0</v>
      </c>
    </row>
    <row r="26" spans="1:17" x14ac:dyDescent="0.25">
      <c r="A26" s="8">
        <v>21</v>
      </c>
      <c r="B26" s="5" t="s">
        <v>97</v>
      </c>
      <c r="C26" s="5">
        <v>0</v>
      </c>
      <c r="D26" s="5">
        <v>0</v>
      </c>
      <c r="E26" s="5">
        <v>0</v>
      </c>
      <c r="F26" s="8">
        <f t="shared" si="0"/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8">
        <f t="shared" si="1"/>
        <v>0</v>
      </c>
      <c r="N26" s="6">
        <f t="shared" si="2"/>
        <v>0</v>
      </c>
      <c r="O26" s="5">
        <v>0</v>
      </c>
      <c r="P26" s="5">
        <v>0</v>
      </c>
      <c r="Q26" s="9">
        <f t="shared" si="3"/>
        <v>0</v>
      </c>
    </row>
    <row r="27" spans="1:17" x14ac:dyDescent="0.25">
      <c r="A27" s="8">
        <v>22</v>
      </c>
      <c r="B27" s="5" t="s">
        <v>97</v>
      </c>
      <c r="C27" s="5">
        <v>0</v>
      </c>
      <c r="D27" s="5">
        <v>0</v>
      </c>
      <c r="E27" s="5">
        <v>0</v>
      </c>
      <c r="F27" s="8">
        <f t="shared" si="0"/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8">
        <f t="shared" si="1"/>
        <v>0</v>
      </c>
      <c r="N27" s="6">
        <f t="shared" si="2"/>
        <v>0</v>
      </c>
      <c r="O27" s="5">
        <v>0</v>
      </c>
      <c r="P27" s="5">
        <v>0</v>
      </c>
      <c r="Q27" s="9">
        <f t="shared" si="3"/>
        <v>0</v>
      </c>
    </row>
    <row r="28" spans="1:17" x14ac:dyDescent="0.25">
      <c r="A28" s="8">
        <v>23</v>
      </c>
      <c r="B28" s="5" t="s">
        <v>97</v>
      </c>
      <c r="C28" s="5">
        <v>0</v>
      </c>
      <c r="D28" s="5">
        <v>0</v>
      </c>
      <c r="E28" s="5">
        <v>0</v>
      </c>
      <c r="F28" s="8">
        <f t="shared" si="0"/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8">
        <f t="shared" si="1"/>
        <v>0</v>
      </c>
      <c r="N28" s="6">
        <f t="shared" si="2"/>
        <v>0</v>
      </c>
      <c r="O28" s="5">
        <v>0</v>
      </c>
      <c r="P28" s="5">
        <v>0</v>
      </c>
      <c r="Q28" s="9">
        <f t="shared" si="3"/>
        <v>0</v>
      </c>
    </row>
    <row r="29" spans="1:17" x14ac:dyDescent="0.25">
      <c r="A29" s="8">
        <v>24</v>
      </c>
      <c r="B29" s="5" t="s">
        <v>97</v>
      </c>
      <c r="C29" s="5">
        <v>0</v>
      </c>
      <c r="D29" s="5">
        <v>0</v>
      </c>
      <c r="E29" s="5">
        <v>0</v>
      </c>
      <c r="F29" s="8">
        <f t="shared" si="0"/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8">
        <f t="shared" si="1"/>
        <v>0</v>
      </c>
      <c r="N29" s="6">
        <f t="shared" si="2"/>
        <v>0</v>
      </c>
      <c r="O29" s="5">
        <v>0</v>
      </c>
      <c r="P29" s="5">
        <v>0</v>
      </c>
      <c r="Q29" s="9">
        <f t="shared" si="3"/>
        <v>0</v>
      </c>
    </row>
    <row r="30" spans="1:17" x14ac:dyDescent="0.25">
      <c r="A30" s="8">
        <v>25</v>
      </c>
      <c r="B30" s="5" t="s">
        <v>97</v>
      </c>
      <c r="C30" s="5">
        <v>0</v>
      </c>
      <c r="D30" s="5">
        <v>0</v>
      </c>
      <c r="E30" s="5">
        <v>0</v>
      </c>
      <c r="F30" s="8">
        <f t="shared" si="0"/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8">
        <f t="shared" si="1"/>
        <v>0</v>
      </c>
      <c r="N30" s="6">
        <f t="shared" si="2"/>
        <v>0</v>
      </c>
      <c r="O30" s="5">
        <v>0</v>
      </c>
      <c r="P30" s="5">
        <v>0</v>
      </c>
      <c r="Q30" s="9">
        <f t="shared" si="3"/>
        <v>0</v>
      </c>
    </row>
    <row r="33" spans="1:17" x14ac:dyDescent="0.25">
      <c r="A33" s="10" t="s">
        <v>98</v>
      </c>
      <c r="F33" s="8">
        <f>SUM(F6:F30)</f>
        <v>0</v>
      </c>
      <c r="G33" s="8">
        <f>SUM(G6:G30)</f>
        <v>0</v>
      </c>
      <c r="M33" s="8">
        <f>SUM(M6:M30)</f>
        <v>0</v>
      </c>
      <c r="N33" s="6">
        <f>(M33*100)/(G33+1)</f>
        <v>0</v>
      </c>
      <c r="O33" s="8">
        <f>IF(COUNTIF(B6:B30,"Yes")=0,0,AVERAGEIF(B6:B30,"Yes",O6:O30))</f>
        <v>0</v>
      </c>
      <c r="P33" s="8">
        <f>IF(COUNTIF(B6:B30,"Yes")=0,0,AVERAGEIF(B6:B30,"Yes",P6:P30))</f>
        <v>0</v>
      </c>
      <c r="Q33" s="9">
        <f>IF(O33=0,0,P33/(O33+0.0001))</f>
        <v>0</v>
      </c>
    </row>
  </sheetData>
  <mergeCells count="2">
    <mergeCell ref="A3:R3"/>
    <mergeCell ref="A1:R1"/>
  </mergeCells>
  <dataValidations count="1">
    <dataValidation type="list" sqref="B6 B7 B8 B9 B10 B11 B12 B13 B14 B15 B16 B17 B18 B19 B20 B21 B22 B23 B24 B25 B26 B27 B28 B29 B30" xr:uid="{00000000-0002-0000-0400-000000000000}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19</vt:i4>
      </vt:variant>
    </vt:vector>
  </HeadingPairs>
  <TitlesOfParts>
    <vt:vector size="25" baseType="lpstr">
      <vt:lpstr>ReadMe</vt:lpstr>
      <vt:lpstr>Dungeon_Summary</vt:lpstr>
      <vt:lpstr>Constants</vt:lpstr>
      <vt:lpstr>Monster_Threat</vt:lpstr>
      <vt:lpstr>Loot_Model</vt:lpstr>
      <vt:lpstr>Floors_25</vt:lpstr>
      <vt:lpstr>A_scale</vt:lpstr>
      <vt:lpstr>B_scale</vt:lpstr>
      <vt:lpstr>C_scale</vt:lpstr>
      <vt:lpstr>d_decay</vt:lpstr>
      <vt:lpstr>h_diplomacy</vt:lpstr>
      <vt:lpstr>h_lethal</vt:lpstr>
      <vt:lpstr>h_loot</vt:lpstr>
      <vt:lpstr>h_noble</vt:lpstr>
      <vt:lpstr>h_overflow</vt:lpstr>
      <vt:lpstr>h_training</vt:lpstr>
      <vt:lpstr>k_env</vt:lpstr>
      <vt:lpstr>k_monsters</vt:lpstr>
      <vt:lpstr>k_traps</vt:lpstr>
      <vt:lpstr>TargetDeathRate</vt:lpstr>
      <vt:lpstr>w_bronze</vt:lpstr>
      <vt:lpstr>w_diamond</vt:lpstr>
      <vt:lpstr>w_gold</vt:lpstr>
      <vt:lpstr>w_platinum</vt:lpstr>
      <vt:lpstr>w_silver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Grayson Gammill</cp:lastModifiedBy>
  <dcterms:created xsi:type="dcterms:W3CDTF">2025-12-20T01:43:02Z</dcterms:created>
  <dcterms:modified xsi:type="dcterms:W3CDTF">2025-12-20T19:31:11Z</dcterms:modified>
</cp:coreProperties>
</file>