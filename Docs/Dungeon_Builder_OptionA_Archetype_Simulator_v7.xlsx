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dg34\OneDrive\Documents\Dungeon Builder\"/>
    </mc:Choice>
  </mc:AlternateContent>
  <xr:revisionPtr revIDLastSave="0" documentId="13_ncr:1_{CDC21D90-A1DF-4AF6-BF5C-2C8DCE27EFC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adMe" sheetId="1" r:id="rId1"/>
    <sheet name="Assumptions" sheetId="2" r:id="rId2"/>
    <sheet name="Archetypes" sheetId="3" r:id="rId3"/>
    <sheet name="Simulation_48h" sheetId="4" r:id="rId4"/>
    <sheet name="Simulation_7d_6h" sheetId="5" r:id="rId5"/>
    <sheet name="KPI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2" i="6" l="1"/>
  <c r="B41" i="6"/>
  <c r="B40" i="6"/>
  <c r="B39" i="6"/>
  <c r="B38" i="6"/>
  <c r="B37" i="6"/>
  <c r="B36" i="6"/>
  <c r="B35" i="6"/>
  <c r="B34" i="6"/>
  <c r="C32" i="5"/>
  <c r="D32" i="5" s="1"/>
  <c r="B32" i="5"/>
  <c r="C31" i="5"/>
  <c r="D31" i="5" s="1"/>
  <c r="B31" i="5"/>
  <c r="C30" i="5"/>
  <c r="D30" i="5" s="1"/>
  <c r="B30" i="5"/>
  <c r="D29" i="5"/>
  <c r="C29" i="5"/>
  <c r="B29" i="5"/>
  <c r="D28" i="5"/>
  <c r="C28" i="5"/>
  <c r="B28" i="5"/>
  <c r="W27" i="5"/>
  <c r="C27" i="5"/>
  <c r="D27" i="5" s="1"/>
  <c r="B27" i="5"/>
  <c r="D26" i="5"/>
  <c r="C26" i="5"/>
  <c r="B26" i="5"/>
  <c r="C25" i="5"/>
  <c r="D25" i="5" s="1"/>
  <c r="B25" i="5"/>
  <c r="D24" i="5"/>
  <c r="C24" i="5"/>
  <c r="B24" i="5"/>
  <c r="C23" i="5"/>
  <c r="D23" i="5" s="1"/>
  <c r="B23" i="5"/>
  <c r="C22" i="5"/>
  <c r="D22" i="5" s="1"/>
  <c r="B22" i="5"/>
  <c r="J21" i="5"/>
  <c r="C21" i="5"/>
  <c r="D21" i="5" s="1"/>
  <c r="B21" i="5"/>
  <c r="D20" i="5"/>
  <c r="C20" i="5"/>
  <c r="B20" i="5"/>
  <c r="D19" i="5"/>
  <c r="C19" i="5"/>
  <c r="B19" i="5"/>
  <c r="C18" i="5"/>
  <c r="D18" i="5" s="1"/>
  <c r="B18" i="5"/>
  <c r="C17" i="5"/>
  <c r="D17" i="5" s="1"/>
  <c r="B17" i="5"/>
  <c r="D16" i="5"/>
  <c r="C16" i="5"/>
  <c r="B16" i="5"/>
  <c r="W15" i="5"/>
  <c r="D15" i="5"/>
  <c r="C15" i="5"/>
  <c r="B15" i="5"/>
  <c r="C14" i="5"/>
  <c r="D14" i="5" s="1"/>
  <c r="B14" i="5"/>
  <c r="D13" i="5"/>
  <c r="C13" i="5"/>
  <c r="B13" i="5"/>
  <c r="C12" i="5"/>
  <c r="D12" i="5" s="1"/>
  <c r="B12" i="5"/>
  <c r="C11" i="5"/>
  <c r="D11" i="5" s="1"/>
  <c r="B11" i="5"/>
  <c r="W10" i="5"/>
  <c r="J10" i="5"/>
  <c r="C10" i="5"/>
  <c r="D10" i="5" s="1"/>
  <c r="B10" i="5"/>
  <c r="C9" i="5"/>
  <c r="D9" i="5" s="1"/>
  <c r="B9" i="5"/>
  <c r="C8" i="5"/>
  <c r="D8" i="5" s="1"/>
  <c r="B8" i="5"/>
  <c r="D7" i="5"/>
  <c r="C7" i="5"/>
  <c r="B7" i="5"/>
  <c r="C6" i="5"/>
  <c r="D6" i="5" s="1"/>
  <c r="B6" i="5"/>
  <c r="C5" i="5"/>
  <c r="D5" i="5" s="1"/>
  <c r="B5" i="5"/>
  <c r="AF4" i="5"/>
  <c r="S4" i="5"/>
  <c r="F4" i="5"/>
  <c r="C4" i="5"/>
  <c r="D4" i="5" s="1"/>
  <c r="B4" i="5"/>
  <c r="D51" i="4"/>
  <c r="C51" i="4"/>
  <c r="B51" i="4"/>
  <c r="C50" i="4"/>
  <c r="D50" i="4" s="1"/>
  <c r="B50" i="4"/>
  <c r="C49" i="4"/>
  <c r="D49" i="4" s="1"/>
  <c r="B49" i="4"/>
  <c r="C48" i="4"/>
  <c r="D48" i="4" s="1"/>
  <c r="B48" i="4"/>
  <c r="D47" i="4"/>
  <c r="C47" i="4"/>
  <c r="B47" i="4"/>
  <c r="C46" i="4"/>
  <c r="D46" i="4" s="1"/>
  <c r="B46" i="4"/>
  <c r="D45" i="4"/>
  <c r="C45" i="4"/>
  <c r="B45" i="4"/>
  <c r="D44" i="4"/>
  <c r="C44" i="4"/>
  <c r="B44" i="4"/>
  <c r="C43" i="4"/>
  <c r="D43" i="4" s="1"/>
  <c r="B43" i="4"/>
  <c r="C42" i="4"/>
  <c r="D42" i="4" s="1"/>
  <c r="B42" i="4"/>
  <c r="C41" i="4"/>
  <c r="D41" i="4" s="1"/>
  <c r="B41" i="4"/>
  <c r="D40" i="4"/>
  <c r="C40" i="4"/>
  <c r="B40" i="4"/>
  <c r="W39" i="4"/>
  <c r="C39" i="4"/>
  <c r="D39" i="4" s="1"/>
  <c r="B39" i="4"/>
  <c r="D38" i="4"/>
  <c r="C38" i="4"/>
  <c r="B38" i="4"/>
  <c r="W37" i="4"/>
  <c r="C37" i="4"/>
  <c r="D37" i="4" s="1"/>
  <c r="B37" i="4"/>
  <c r="C36" i="4"/>
  <c r="D36" i="4" s="1"/>
  <c r="B36" i="4"/>
  <c r="C35" i="4"/>
  <c r="D35" i="4" s="1"/>
  <c r="B35" i="4"/>
  <c r="C34" i="4"/>
  <c r="D34" i="4" s="1"/>
  <c r="B34" i="4"/>
  <c r="W33" i="4"/>
  <c r="D33" i="4"/>
  <c r="C33" i="4"/>
  <c r="B33" i="4"/>
  <c r="D32" i="4"/>
  <c r="C32" i="4"/>
  <c r="B32" i="4"/>
  <c r="C31" i="4"/>
  <c r="D31" i="4" s="1"/>
  <c r="B31" i="4"/>
  <c r="C30" i="4"/>
  <c r="D30" i="4" s="1"/>
  <c r="B30" i="4"/>
  <c r="D29" i="4"/>
  <c r="C29" i="4"/>
  <c r="B29" i="4"/>
  <c r="C28" i="4"/>
  <c r="D28" i="4" s="1"/>
  <c r="B28" i="4"/>
  <c r="AJ27" i="4"/>
  <c r="D27" i="4"/>
  <c r="C27" i="4"/>
  <c r="B27" i="4"/>
  <c r="C26" i="4"/>
  <c r="D26" i="4" s="1"/>
  <c r="B26" i="4"/>
  <c r="D25" i="4"/>
  <c r="C25" i="4"/>
  <c r="B25" i="4"/>
  <c r="J24" i="4"/>
  <c r="C24" i="4"/>
  <c r="D24" i="4" s="1"/>
  <c r="B24" i="4"/>
  <c r="D23" i="4"/>
  <c r="C23" i="4"/>
  <c r="B23" i="4"/>
  <c r="AJ22" i="4"/>
  <c r="D22" i="4"/>
  <c r="C22" i="4"/>
  <c r="B22" i="4"/>
  <c r="D21" i="4"/>
  <c r="C21" i="4"/>
  <c r="B21" i="4"/>
  <c r="D20" i="4"/>
  <c r="C20" i="4"/>
  <c r="B20" i="4"/>
  <c r="W19" i="4"/>
  <c r="C19" i="4"/>
  <c r="D19" i="4" s="1"/>
  <c r="B19" i="4"/>
  <c r="J18" i="4"/>
  <c r="C18" i="4"/>
  <c r="D18" i="4" s="1"/>
  <c r="B18" i="4"/>
  <c r="C17" i="4"/>
  <c r="D17" i="4" s="1"/>
  <c r="B17" i="4"/>
  <c r="D16" i="4"/>
  <c r="C16" i="4"/>
  <c r="B16" i="4"/>
  <c r="W15" i="4"/>
  <c r="J15" i="4"/>
  <c r="C15" i="4"/>
  <c r="D15" i="4" s="1"/>
  <c r="B15" i="4"/>
  <c r="C14" i="4"/>
  <c r="D14" i="4" s="1"/>
  <c r="B14" i="4"/>
  <c r="C13" i="4"/>
  <c r="D13" i="4" s="1"/>
  <c r="B13" i="4"/>
  <c r="W12" i="4"/>
  <c r="C12" i="4"/>
  <c r="D12" i="4" s="1"/>
  <c r="B12" i="4"/>
  <c r="J11" i="4"/>
  <c r="C11" i="4"/>
  <c r="D11" i="4" s="1"/>
  <c r="B11" i="4"/>
  <c r="AJ10" i="4"/>
  <c r="C10" i="4"/>
  <c r="D10" i="4" s="1"/>
  <c r="B10" i="4"/>
  <c r="AJ9" i="4"/>
  <c r="C9" i="4"/>
  <c r="D9" i="4" s="1"/>
  <c r="B9" i="4"/>
  <c r="J8" i="4"/>
  <c r="D8" i="4"/>
  <c r="C8" i="4"/>
  <c r="B8" i="4"/>
  <c r="C7" i="4"/>
  <c r="D7" i="4" s="1"/>
  <c r="B7" i="4"/>
  <c r="C6" i="4"/>
  <c r="D6" i="4" s="1"/>
  <c r="B6" i="4"/>
  <c r="C5" i="4"/>
  <c r="D5" i="4" s="1"/>
  <c r="B5" i="4"/>
  <c r="AF4" i="4"/>
  <c r="Z4" i="4"/>
  <c r="S4" i="4"/>
  <c r="V4" i="4" s="1"/>
  <c r="F4" i="4"/>
  <c r="I4" i="4" s="1"/>
  <c r="D4" i="4"/>
  <c r="C4" i="4"/>
  <c r="B4" i="4"/>
  <c r="D35" i="3"/>
  <c r="C35" i="3"/>
  <c r="B35" i="3"/>
  <c r="D32" i="3"/>
  <c r="C32" i="3"/>
  <c r="B32" i="3"/>
  <c r="D31" i="3"/>
  <c r="C31" i="3"/>
  <c r="B31" i="3"/>
  <c r="D30" i="3"/>
  <c r="AJ37" i="4" s="1"/>
  <c r="C30" i="3"/>
  <c r="B30" i="3"/>
  <c r="B36" i="3" l="1"/>
  <c r="P4" i="5" s="1"/>
  <c r="C36" i="3"/>
  <c r="AC4" i="4" s="1"/>
  <c r="D36" i="3"/>
  <c r="D33" i="3" s="1"/>
  <c r="N4" i="4"/>
  <c r="AJ7" i="5"/>
  <c r="J25" i="5"/>
  <c r="J5" i="5"/>
  <c r="J26" i="5"/>
  <c r="J6" i="5"/>
  <c r="J27" i="5"/>
  <c r="J7" i="5"/>
  <c r="C48" i="6"/>
  <c r="J14" i="5"/>
  <c r="B48" i="6"/>
  <c r="J17" i="5"/>
  <c r="J47" i="4"/>
  <c r="J31" i="4"/>
  <c r="J31" i="5"/>
  <c r="J22" i="5"/>
  <c r="J42" i="4"/>
  <c r="J39" i="4"/>
  <c r="J24" i="5"/>
  <c r="J50" i="4"/>
  <c r="J48" i="4"/>
  <c r="J12" i="4"/>
  <c r="J8" i="5"/>
  <c r="J36" i="4"/>
  <c r="J25" i="4"/>
  <c r="J15" i="5"/>
  <c r="J46" i="4"/>
  <c r="J44" i="4"/>
  <c r="J32" i="5"/>
  <c r="J23" i="5"/>
  <c r="J51" i="4"/>
  <c r="J49" i="4"/>
  <c r="E48" i="6"/>
  <c r="J29" i="5"/>
  <c r="J29" i="4"/>
  <c r="J13" i="5"/>
  <c r="J41" i="4"/>
  <c r="J10" i="4"/>
  <c r="J28" i="4"/>
  <c r="J9" i="4"/>
  <c r="J11" i="5"/>
  <c r="J17" i="4"/>
  <c r="D48" i="6"/>
  <c r="J6" i="4"/>
  <c r="J16" i="5"/>
  <c r="J37" i="4"/>
  <c r="J19" i="4"/>
  <c r="J30" i="5"/>
  <c r="J32" i="4"/>
  <c r="J21" i="4"/>
  <c r="J12" i="5"/>
  <c r="J7" i="4"/>
  <c r="J45" i="4"/>
  <c r="J40" i="4"/>
  <c r="J4" i="4"/>
  <c r="K4" i="4" s="1"/>
  <c r="L4" i="4" s="1"/>
  <c r="H4" i="4" s="1"/>
  <c r="G4" i="4" s="1"/>
  <c r="F5" i="4" s="1"/>
  <c r="J18" i="5"/>
  <c r="J43" i="4"/>
  <c r="J35" i="4"/>
  <c r="J13" i="4"/>
  <c r="J38" i="4"/>
  <c r="X4" i="4"/>
  <c r="Y4" i="4" s="1"/>
  <c r="U4" i="4" s="1"/>
  <c r="T4" i="4" s="1"/>
  <c r="S5" i="4" s="1"/>
  <c r="J14" i="4"/>
  <c r="J26" i="4"/>
  <c r="J30" i="4"/>
  <c r="W17" i="5"/>
  <c r="W45" i="4"/>
  <c r="E49" i="6"/>
  <c r="W18" i="5"/>
  <c r="W46" i="4"/>
  <c r="D49" i="6"/>
  <c r="W19" i="5"/>
  <c r="W47" i="4"/>
  <c r="W31" i="5"/>
  <c r="W4" i="5"/>
  <c r="W23" i="4"/>
  <c r="W8" i="5"/>
  <c r="W31" i="4"/>
  <c r="B49" i="6"/>
  <c r="W7" i="5"/>
  <c r="W38" i="4"/>
  <c r="W34" i="4"/>
  <c r="W21" i="4"/>
  <c r="W32" i="5"/>
  <c r="W12" i="5"/>
  <c r="W29" i="4"/>
  <c r="W25" i="5"/>
  <c r="W14" i="5"/>
  <c r="W22" i="5"/>
  <c r="C49" i="6"/>
  <c r="W6" i="5"/>
  <c r="W50" i="4"/>
  <c r="W48" i="4"/>
  <c r="W24" i="5"/>
  <c r="W13" i="5"/>
  <c r="W29" i="5"/>
  <c r="W21" i="5"/>
  <c r="W7" i="4"/>
  <c r="W40" i="4"/>
  <c r="W14" i="4"/>
  <c r="W26" i="5"/>
  <c r="W24" i="4"/>
  <c r="W16" i="5"/>
  <c r="W35" i="4"/>
  <c r="W13" i="4"/>
  <c r="W11" i="4"/>
  <c r="W27" i="4"/>
  <c r="W30" i="5"/>
  <c r="W28" i="4"/>
  <c r="W8" i="4"/>
  <c r="W4" i="4"/>
  <c r="AA4" i="4" s="1"/>
  <c r="W23" i="5"/>
  <c r="W41" i="4"/>
  <c r="W44" i="4"/>
  <c r="W43" i="4"/>
  <c r="W42" i="4"/>
  <c r="W5" i="4"/>
  <c r="W22" i="4"/>
  <c r="W20" i="4"/>
  <c r="W18" i="4"/>
  <c r="W9" i="4"/>
  <c r="W9" i="5"/>
  <c r="W30" i="4"/>
  <c r="W20" i="5"/>
  <c r="W49" i="4"/>
  <c r="W26" i="4"/>
  <c r="W6" i="4"/>
  <c r="W51" i="4"/>
  <c r="W32" i="4"/>
  <c r="W5" i="5"/>
  <c r="AJ29" i="5"/>
  <c r="AJ9" i="5"/>
  <c r="AJ30" i="5"/>
  <c r="AJ10" i="5"/>
  <c r="AJ31" i="5"/>
  <c r="AJ11" i="5"/>
  <c r="AJ39" i="4"/>
  <c r="D50" i="6"/>
  <c r="AJ17" i="5"/>
  <c r="AJ8" i="5"/>
  <c r="AJ21" i="5"/>
  <c r="AJ41" i="4"/>
  <c r="AJ35" i="4"/>
  <c r="AJ25" i="5"/>
  <c r="AJ45" i="4"/>
  <c r="C50" i="6"/>
  <c r="AJ22" i="5"/>
  <c r="AJ4" i="5"/>
  <c r="AJ16" i="4"/>
  <c r="AJ13" i="5"/>
  <c r="AJ6" i="5"/>
  <c r="AJ50" i="4"/>
  <c r="AJ48" i="4"/>
  <c r="AJ32" i="4"/>
  <c r="AJ26" i="4"/>
  <c r="AJ17" i="4"/>
  <c r="AJ24" i="5"/>
  <c r="E50" i="6"/>
  <c r="B50" i="6"/>
  <c r="AJ28" i="5"/>
  <c r="AJ19" i="5"/>
  <c r="AJ12" i="5"/>
  <c r="AJ51" i="4"/>
  <c r="AJ49" i="4"/>
  <c r="AJ32" i="5"/>
  <c r="AJ23" i="5"/>
  <c r="AJ29" i="4"/>
  <c r="AJ42" i="4"/>
  <c r="AJ11" i="4"/>
  <c r="AJ14" i="5"/>
  <c r="AJ44" i="4"/>
  <c r="AJ28" i="4"/>
  <c r="AJ19" i="4"/>
  <c r="AJ43" i="4"/>
  <c r="AJ6" i="4"/>
  <c r="AJ12" i="4"/>
  <c r="AJ34" i="4"/>
  <c r="AJ14" i="4"/>
  <c r="AJ27" i="5"/>
  <c r="AJ18" i="5"/>
  <c r="AJ38" i="4"/>
  <c r="AJ30" i="4"/>
  <c r="AJ33" i="4"/>
  <c r="AJ20" i="5"/>
  <c r="AJ21" i="4"/>
  <c r="AJ15" i="4"/>
  <c r="AJ23" i="4"/>
  <c r="AJ4" i="4"/>
  <c r="AN4" i="4" s="1"/>
  <c r="AJ15" i="5"/>
  <c r="AJ5" i="5"/>
  <c r="AJ25" i="4"/>
  <c r="AJ13" i="4"/>
  <c r="AJ8" i="4"/>
  <c r="AJ46" i="4"/>
  <c r="AJ40" i="4"/>
  <c r="AJ31" i="4"/>
  <c r="AJ20" i="4"/>
  <c r="AJ24" i="4"/>
  <c r="J28" i="5"/>
  <c r="AJ5" i="4"/>
  <c r="AI4" i="4"/>
  <c r="W17" i="4"/>
  <c r="W28" i="5"/>
  <c r="J34" i="4"/>
  <c r="W11" i="5"/>
  <c r="AJ18" i="4"/>
  <c r="J20" i="4"/>
  <c r="J23" i="4"/>
  <c r="J16" i="4"/>
  <c r="J22" i="4"/>
  <c r="J4" i="5"/>
  <c r="AJ7" i="4"/>
  <c r="W10" i="4"/>
  <c r="W25" i="4"/>
  <c r="AJ36" i="4"/>
  <c r="M4" i="4"/>
  <c r="W36" i="4"/>
  <c r="AJ16" i="5"/>
  <c r="J9" i="5"/>
  <c r="J20" i="5"/>
  <c r="J19" i="5"/>
  <c r="J27" i="4"/>
  <c r="J5" i="4"/>
  <c r="W16" i="4"/>
  <c r="J33" i="4"/>
  <c r="V4" i="5"/>
  <c r="AA4" i="5"/>
  <c r="AJ47" i="4"/>
  <c r="AJ26" i="5"/>
  <c r="AI4" i="5"/>
  <c r="I4" i="5"/>
  <c r="N4" i="5"/>
  <c r="AP4" i="5" l="1"/>
  <c r="F48" i="6"/>
  <c r="C33" i="3"/>
  <c r="B33" i="3"/>
  <c r="P4" i="4"/>
  <c r="O4" i="4" s="1"/>
  <c r="Q4" i="4" s="1"/>
  <c r="AB4" i="4"/>
  <c r="AD4" i="4" s="1"/>
  <c r="N5" i="4"/>
  <c r="I5" i="4"/>
  <c r="AA5" i="4"/>
  <c r="V5" i="4"/>
  <c r="F50" i="6"/>
  <c r="E21" i="6"/>
  <c r="K4" i="5"/>
  <c r="M4" i="5"/>
  <c r="L4" i="5"/>
  <c r="H4" i="5" s="1"/>
  <c r="G4" i="5" s="1"/>
  <c r="AN4" i="5"/>
  <c r="E22" i="6"/>
  <c r="O4" i="5"/>
  <c r="AM4" i="5"/>
  <c r="AL4" i="5"/>
  <c r="AK4" i="5"/>
  <c r="Z4" i="5"/>
  <c r="X4" i="5"/>
  <c r="Y4" i="5" s="1"/>
  <c r="U4" i="5" s="1"/>
  <c r="T4" i="5" s="1"/>
  <c r="AM4" i="4"/>
  <c r="AK4" i="4"/>
  <c r="AL4" i="4" s="1"/>
  <c r="AH4" i="4" s="1"/>
  <c r="AG4" i="4" s="1"/>
  <c r="AF5" i="4" s="1"/>
  <c r="AP4" i="4"/>
  <c r="AO4" i="4" s="1"/>
  <c r="F49" i="6"/>
  <c r="AC4" i="5"/>
  <c r="AB4" i="5" s="1"/>
  <c r="E20" i="6"/>
  <c r="AO4" i="5" l="1"/>
  <c r="AQ4" i="5" s="1"/>
  <c r="F56" i="6"/>
  <c r="AN5" i="4"/>
  <c r="AI5" i="4"/>
  <c r="S5" i="5"/>
  <c r="AD4" i="5"/>
  <c r="AQ4" i="4"/>
  <c r="Q4" i="5"/>
  <c r="F54" i="6"/>
  <c r="F55" i="6"/>
  <c r="Z5" i="4"/>
  <c r="Y5" i="4"/>
  <c r="U5" i="4" s="1"/>
  <c r="T5" i="4" s="1"/>
  <c r="S6" i="4" s="1"/>
  <c r="X5" i="4"/>
  <c r="AC5" i="4"/>
  <c r="AB5" i="4" s="1"/>
  <c r="K5" i="4"/>
  <c r="M5" i="4"/>
  <c r="L5" i="4"/>
  <c r="H5" i="4" s="1"/>
  <c r="G5" i="4" s="1"/>
  <c r="F6" i="4" s="1"/>
  <c r="P5" i="4"/>
  <c r="O5" i="4" s="1"/>
  <c r="F5" i="5"/>
  <c r="AH4" i="5"/>
  <c r="AG4" i="5" s="1"/>
  <c r="Q5" i="4" l="1"/>
  <c r="V5" i="5"/>
  <c r="AA5" i="5"/>
  <c r="AD5" i="4"/>
  <c r="AM5" i="4"/>
  <c r="AK5" i="4"/>
  <c r="AL5" i="4" s="1"/>
  <c r="AH5" i="4" s="1"/>
  <c r="AG5" i="4" s="1"/>
  <c r="AF6" i="4" s="1"/>
  <c r="AP5" i="4"/>
  <c r="AO5" i="4" s="1"/>
  <c r="AA6" i="4"/>
  <c r="V6" i="4"/>
  <c r="AF5" i="5"/>
  <c r="I5" i="5"/>
  <c r="N5" i="5"/>
  <c r="I6" i="4"/>
  <c r="N6" i="4"/>
  <c r="AI6" i="4" l="1"/>
  <c r="AN6" i="4"/>
  <c r="K5" i="5"/>
  <c r="L5" i="5"/>
  <c r="H5" i="5" s="1"/>
  <c r="G5" i="5" s="1"/>
  <c r="M5" i="5"/>
  <c r="P5" i="5"/>
  <c r="O5" i="5" s="1"/>
  <c r="Z6" i="4"/>
  <c r="X6" i="4"/>
  <c r="Y6" i="4" s="1"/>
  <c r="U6" i="4" s="1"/>
  <c r="T6" i="4" s="1"/>
  <c r="S7" i="4" s="1"/>
  <c r="AC6" i="4"/>
  <c r="AB6" i="4" s="1"/>
  <c r="AQ5" i="4"/>
  <c r="Z5" i="5"/>
  <c r="X5" i="5"/>
  <c r="Y5" i="5" s="1"/>
  <c r="U5" i="5" s="1"/>
  <c r="T5" i="5" s="1"/>
  <c r="AC5" i="5"/>
  <c r="AB5" i="5" s="1"/>
  <c r="AI5" i="5"/>
  <c r="AN5" i="5"/>
  <c r="K6" i="4"/>
  <c r="M6" i="4"/>
  <c r="L6" i="4"/>
  <c r="H6" i="4" s="1"/>
  <c r="G6" i="4" s="1"/>
  <c r="F7" i="4" s="1"/>
  <c r="P6" i="4"/>
  <c r="O6" i="4" s="1"/>
  <c r="AD5" i="5" l="1"/>
  <c r="AD6" i="4"/>
  <c r="S6" i="5"/>
  <c r="Q6" i="4"/>
  <c r="V7" i="4"/>
  <c r="AA7" i="4"/>
  <c r="Q5" i="5"/>
  <c r="F6" i="5"/>
  <c r="AK6" i="4"/>
  <c r="AL6" i="4" s="1"/>
  <c r="AH6" i="4" s="1"/>
  <c r="AG6" i="4" s="1"/>
  <c r="AF7" i="4" s="1"/>
  <c r="AM6" i="4"/>
  <c r="AP6" i="4"/>
  <c r="AO6" i="4" s="1"/>
  <c r="N7" i="4"/>
  <c r="I7" i="4"/>
  <c r="AK5" i="5"/>
  <c r="AL5" i="5" s="1"/>
  <c r="AH5" i="5" s="1"/>
  <c r="AG5" i="5" s="1"/>
  <c r="AM5" i="5"/>
  <c r="AP5" i="5"/>
  <c r="AO5" i="5" s="1"/>
  <c r="AQ5" i="5" l="1"/>
  <c r="AF6" i="5"/>
  <c r="AN7" i="4"/>
  <c r="AI7" i="4"/>
  <c r="V6" i="5"/>
  <c r="AA6" i="5"/>
  <c r="Z7" i="4"/>
  <c r="X7" i="4"/>
  <c r="Y7" i="4"/>
  <c r="U7" i="4" s="1"/>
  <c r="T7" i="4" s="1"/>
  <c r="S8" i="4" s="1"/>
  <c r="AC7" i="4"/>
  <c r="AB7" i="4" s="1"/>
  <c r="I6" i="5"/>
  <c r="N6" i="5"/>
  <c r="M7" i="4"/>
  <c r="K7" i="4"/>
  <c r="L7" i="4" s="1"/>
  <c r="H7" i="4" s="1"/>
  <c r="G7" i="4" s="1"/>
  <c r="F8" i="4" s="1"/>
  <c r="P7" i="4"/>
  <c r="O7" i="4" s="1"/>
  <c r="AQ6" i="4"/>
  <c r="N8" i="4" l="1"/>
  <c r="I8" i="4"/>
  <c r="AD7" i="4"/>
  <c r="AA8" i="4"/>
  <c r="V8" i="4"/>
  <c r="Z6" i="5"/>
  <c r="X6" i="5"/>
  <c r="Y6" i="5" s="1"/>
  <c r="U6" i="5" s="1"/>
  <c r="T6" i="5" s="1"/>
  <c r="AC6" i="5"/>
  <c r="AB6" i="5" s="1"/>
  <c r="AK7" i="4"/>
  <c r="AM7" i="4"/>
  <c r="AL7" i="4"/>
  <c r="AH7" i="4" s="1"/>
  <c r="AG7" i="4" s="1"/>
  <c r="AF8" i="4" s="1"/>
  <c r="AP7" i="4"/>
  <c r="AO7" i="4" s="1"/>
  <c r="Q7" i="4"/>
  <c r="AI6" i="5"/>
  <c r="AN6" i="5"/>
  <c r="K6" i="5"/>
  <c r="M6" i="5"/>
  <c r="L6" i="5"/>
  <c r="H6" i="5" s="1"/>
  <c r="G6" i="5" s="1"/>
  <c r="P6" i="5"/>
  <c r="O6" i="5" s="1"/>
  <c r="AQ7" i="4" l="1"/>
  <c r="AD6" i="5"/>
  <c r="S7" i="5"/>
  <c r="AN8" i="4"/>
  <c r="AI8" i="4"/>
  <c r="F7" i="5"/>
  <c r="Q6" i="5"/>
  <c r="Z8" i="4"/>
  <c r="Y8" i="4"/>
  <c r="U8" i="4" s="1"/>
  <c r="T8" i="4" s="1"/>
  <c r="S9" i="4" s="1"/>
  <c r="X8" i="4"/>
  <c r="AC8" i="4"/>
  <c r="AB8" i="4" s="1"/>
  <c r="AK6" i="5"/>
  <c r="AM6" i="5"/>
  <c r="AL6" i="5"/>
  <c r="AP6" i="5"/>
  <c r="AO6" i="5" s="1"/>
  <c r="M8" i="4"/>
  <c r="K8" i="4"/>
  <c r="L8" i="4" s="1"/>
  <c r="H8" i="4" s="1"/>
  <c r="G8" i="4" s="1"/>
  <c r="F9" i="4" s="1"/>
  <c r="P8" i="4"/>
  <c r="O8" i="4" s="1"/>
  <c r="I9" i="4" l="1"/>
  <c r="N9" i="4"/>
  <c r="AQ6" i="5"/>
  <c r="I7" i="5"/>
  <c r="N7" i="5"/>
  <c r="AD8" i="4"/>
  <c r="AA9" i="4"/>
  <c r="V9" i="4"/>
  <c r="Q8" i="4"/>
  <c r="AM8" i="4"/>
  <c r="AK8" i="4"/>
  <c r="AL8" i="4" s="1"/>
  <c r="AH8" i="4" s="1"/>
  <c r="AG8" i="4" s="1"/>
  <c r="AF9" i="4" s="1"/>
  <c r="AP8" i="4"/>
  <c r="AO8" i="4" s="1"/>
  <c r="AH6" i="5"/>
  <c r="AG6" i="5" s="1"/>
  <c r="V7" i="5"/>
  <c r="AA7" i="5"/>
  <c r="AQ8" i="4" l="1"/>
  <c r="AI9" i="4"/>
  <c r="AN9" i="4"/>
  <c r="X7" i="5"/>
  <c r="Y7" i="5" s="1"/>
  <c r="U7" i="5" s="1"/>
  <c r="T7" i="5" s="1"/>
  <c r="Z7" i="5"/>
  <c r="AC7" i="5"/>
  <c r="AB7" i="5" s="1"/>
  <c r="Z9" i="4"/>
  <c r="X9" i="4"/>
  <c r="Y9" i="4" s="1"/>
  <c r="U9" i="4" s="1"/>
  <c r="T9" i="4" s="1"/>
  <c r="S10" i="4" s="1"/>
  <c r="AC9" i="4"/>
  <c r="AB9" i="4" s="1"/>
  <c r="K7" i="5"/>
  <c r="L7" i="5" s="1"/>
  <c r="H7" i="5" s="1"/>
  <c r="G7" i="5" s="1"/>
  <c r="M7" i="5"/>
  <c r="P7" i="5"/>
  <c r="O7" i="5" s="1"/>
  <c r="AF7" i="5"/>
  <c r="P9" i="4"/>
  <c r="O9" i="4" s="1"/>
  <c r="M9" i="4"/>
  <c r="K9" i="4"/>
  <c r="L9" i="4" s="1"/>
  <c r="H9" i="4" s="1"/>
  <c r="G9" i="4" s="1"/>
  <c r="F10" i="4" s="1"/>
  <c r="Q7" i="5" l="1"/>
  <c r="F8" i="5"/>
  <c r="N10" i="4"/>
  <c r="I10" i="4"/>
  <c r="AD9" i="4"/>
  <c r="S8" i="5"/>
  <c r="AA10" i="4"/>
  <c r="V10" i="4"/>
  <c r="AD7" i="5"/>
  <c r="Q9" i="4"/>
  <c r="AM9" i="4"/>
  <c r="AK9" i="4"/>
  <c r="AL9" i="4" s="1"/>
  <c r="AH9" i="4" s="1"/>
  <c r="AG9" i="4" s="1"/>
  <c r="AF10" i="4" s="1"/>
  <c r="AP9" i="4"/>
  <c r="AO9" i="4" s="1"/>
  <c r="AN7" i="5"/>
  <c r="AI7" i="5"/>
  <c r="AN10" i="4" l="1"/>
  <c r="AI10" i="4"/>
  <c r="AM7" i="5"/>
  <c r="AK7" i="5"/>
  <c r="AL7" i="5" s="1"/>
  <c r="AH7" i="5" s="1"/>
  <c r="AG7" i="5" s="1"/>
  <c r="AP7" i="5"/>
  <c r="AO7" i="5" s="1"/>
  <c r="AQ9" i="4"/>
  <c r="Z10" i="4"/>
  <c r="X10" i="4"/>
  <c r="Y10" i="4" s="1"/>
  <c r="U10" i="4" s="1"/>
  <c r="T10" i="4" s="1"/>
  <c r="S11" i="4" s="1"/>
  <c r="AC10" i="4"/>
  <c r="AB10" i="4" s="1"/>
  <c r="AA8" i="5"/>
  <c r="V8" i="5"/>
  <c r="K10" i="4"/>
  <c r="L10" i="4" s="1"/>
  <c r="H10" i="4" s="1"/>
  <c r="G10" i="4" s="1"/>
  <c r="F11" i="4" s="1"/>
  <c r="M10" i="4"/>
  <c r="P10" i="4"/>
  <c r="O10" i="4" s="1"/>
  <c r="N8" i="5"/>
  <c r="I8" i="5"/>
  <c r="I11" i="4" l="1"/>
  <c r="N11" i="4"/>
  <c r="AA11" i="4"/>
  <c r="V11" i="4"/>
  <c r="AD10" i="4"/>
  <c r="AF8" i="5"/>
  <c r="M8" i="5"/>
  <c r="K8" i="5"/>
  <c r="L8" i="5" s="1"/>
  <c r="H8" i="5" s="1"/>
  <c r="G8" i="5" s="1"/>
  <c r="P8" i="5"/>
  <c r="O8" i="5" s="1"/>
  <c r="AK10" i="4"/>
  <c r="AL10" i="4" s="1"/>
  <c r="AH10" i="4" s="1"/>
  <c r="AG10" i="4" s="1"/>
  <c r="AF11" i="4" s="1"/>
  <c r="AM10" i="4"/>
  <c r="AP10" i="4"/>
  <c r="AO10" i="4" s="1"/>
  <c r="AQ7" i="5"/>
  <c r="Z8" i="5"/>
  <c r="X8" i="5"/>
  <c r="Y8" i="5" s="1"/>
  <c r="U8" i="5" s="1"/>
  <c r="T8" i="5" s="1"/>
  <c r="AC8" i="5"/>
  <c r="AB8" i="5" s="1"/>
  <c r="Q10" i="4"/>
  <c r="S9" i="5" l="1"/>
  <c r="AN11" i="4"/>
  <c r="AI11" i="4"/>
  <c r="Q8" i="5"/>
  <c r="F9" i="5"/>
  <c r="AQ10" i="4"/>
  <c r="AD8" i="5"/>
  <c r="AI8" i="5"/>
  <c r="AN8" i="5"/>
  <c r="X11" i="4"/>
  <c r="Y11" i="4" s="1"/>
  <c r="U11" i="4" s="1"/>
  <c r="T11" i="4" s="1"/>
  <c r="S12" i="4" s="1"/>
  <c r="Z11" i="4"/>
  <c r="AC11" i="4"/>
  <c r="AB11" i="4" s="1"/>
  <c r="M11" i="4"/>
  <c r="K11" i="4"/>
  <c r="L11" i="4" s="1"/>
  <c r="H11" i="4" s="1"/>
  <c r="G11" i="4" s="1"/>
  <c r="F12" i="4" s="1"/>
  <c r="P11" i="4"/>
  <c r="O11" i="4" s="1"/>
  <c r="I12" i="4" l="1"/>
  <c r="N12" i="4"/>
  <c r="AA12" i="4"/>
  <c r="V12" i="4"/>
  <c r="N9" i="5"/>
  <c r="I9" i="5"/>
  <c r="AM8" i="5"/>
  <c r="AL8" i="5"/>
  <c r="AH8" i="5" s="1"/>
  <c r="AG8" i="5" s="1"/>
  <c r="AK8" i="5"/>
  <c r="AP8" i="5"/>
  <c r="AO8" i="5" s="1"/>
  <c r="AD11" i="4"/>
  <c r="Q11" i="4"/>
  <c r="AK11" i="4"/>
  <c r="AL11" i="4" s="1"/>
  <c r="AH11" i="4" s="1"/>
  <c r="AG11" i="4" s="1"/>
  <c r="AF12" i="4" s="1"/>
  <c r="AM11" i="4"/>
  <c r="AP11" i="4"/>
  <c r="AO11" i="4" s="1"/>
  <c r="AA9" i="5"/>
  <c r="V9" i="5"/>
  <c r="AN12" i="4" l="1"/>
  <c r="AI12" i="4"/>
  <c r="AF9" i="5"/>
  <c r="Z12" i="4"/>
  <c r="X12" i="4"/>
  <c r="Y12" i="4" s="1"/>
  <c r="U12" i="4" s="1"/>
  <c r="T12" i="4" s="1"/>
  <c r="S13" i="4" s="1"/>
  <c r="AC12" i="4"/>
  <c r="AB12" i="4" s="1"/>
  <c r="Z9" i="5"/>
  <c r="X9" i="5"/>
  <c r="Y9" i="5" s="1"/>
  <c r="U9" i="5" s="1"/>
  <c r="T9" i="5" s="1"/>
  <c r="S10" i="5" s="1"/>
  <c r="AC9" i="5"/>
  <c r="AB9" i="5" s="1"/>
  <c r="AQ11" i="4"/>
  <c r="AQ8" i="5"/>
  <c r="M9" i="5"/>
  <c r="K9" i="5"/>
  <c r="L9" i="5" s="1"/>
  <c r="H9" i="5" s="1"/>
  <c r="G9" i="5" s="1"/>
  <c r="F10" i="5" s="1"/>
  <c r="P9" i="5"/>
  <c r="O9" i="5" s="1"/>
  <c r="M12" i="4"/>
  <c r="K12" i="4"/>
  <c r="L12" i="4"/>
  <c r="H12" i="4" s="1"/>
  <c r="G12" i="4" s="1"/>
  <c r="F13" i="4" s="1"/>
  <c r="P12" i="4"/>
  <c r="O12" i="4" s="1"/>
  <c r="N10" i="5" l="1"/>
  <c r="I10" i="5"/>
  <c r="AD9" i="5"/>
  <c r="AA10" i="5"/>
  <c r="V10" i="5"/>
  <c r="V13" i="4"/>
  <c r="AA13" i="4"/>
  <c r="AD12" i="4"/>
  <c r="AI9" i="5"/>
  <c r="AN9" i="5"/>
  <c r="Q12" i="4"/>
  <c r="N13" i="4"/>
  <c r="I13" i="4"/>
  <c r="AM12" i="4"/>
  <c r="AK12" i="4"/>
  <c r="AL12" i="4" s="1"/>
  <c r="AH12" i="4" s="1"/>
  <c r="AG12" i="4" s="1"/>
  <c r="AF13" i="4" s="1"/>
  <c r="AP12" i="4"/>
  <c r="AO12" i="4" s="1"/>
  <c r="Q9" i="5"/>
  <c r="AN13" i="4" l="1"/>
  <c r="AI13" i="4"/>
  <c r="X13" i="4"/>
  <c r="Y13" i="4" s="1"/>
  <c r="U13" i="4" s="1"/>
  <c r="T13" i="4" s="1"/>
  <c r="S14" i="4" s="1"/>
  <c r="Z13" i="4"/>
  <c r="AC13" i="4"/>
  <c r="AB13" i="4" s="1"/>
  <c r="K13" i="4"/>
  <c r="M13" i="4"/>
  <c r="L13" i="4"/>
  <c r="H13" i="4" s="1"/>
  <c r="G13" i="4" s="1"/>
  <c r="F14" i="4" s="1"/>
  <c r="P13" i="4"/>
  <c r="O13" i="4" s="1"/>
  <c r="M10" i="5"/>
  <c r="K10" i="5"/>
  <c r="L10" i="5" s="1"/>
  <c r="H10" i="5" s="1"/>
  <c r="G10" i="5" s="1"/>
  <c r="F11" i="5" s="1"/>
  <c r="P10" i="5"/>
  <c r="O10" i="5" s="1"/>
  <c r="AQ12" i="4"/>
  <c r="AK9" i="5"/>
  <c r="AM9" i="5"/>
  <c r="AL9" i="5"/>
  <c r="AH9" i="5" s="1"/>
  <c r="AG9" i="5" s="1"/>
  <c r="AF10" i="5" s="1"/>
  <c r="AP9" i="5"/>
  <c r="AO9" i="5" s="1"/>
  <c r="Z10" i="5"/>
  <c r="X10" i="5"/>
  <c r="Y10" i="5" s="1"/>
  <c r="U10" i="5" s="1"/>
  <c r="T10" i="5" s="1"/>
  <c r="S11" i="5" s="1"/>
  <c r="AC10" i="5"/>
  <c r="AB10" i="5" s="1"/>
  <c r="V11" i="5" l="1"/>
  <c r="AA11" i="5"/>
  <c r="AQ9" i="5"/>
  <c r="AD13" i="4"/>
  <c r="AD10" i="5"/>
  <c r="N11" i="5"/>
  <c r="I11" i="5"/>
  <c r="Q13" i="4"/>
  <c r="V14" i="4"/>
  <c r="AA14" i="4"/>
  <c r="AI10" i="5"/>
  <c r="AN10" i="5"/>
  <c r="Q10" i="5"/>
  <c r="I14" i="4"/>
  <c r="N14" i="4"/>
  <c r="AM13" i="4"/>
  <c r="AK13" i="4"/>
  <c r="AL13" i="4" s="1"/>
  <c r="AH13" i="4" s="1"/>
  <c r="AG13" i="4" s="1"/>
  <c r="AF14" i="4" s="1"/>
  <c r="AP13" i="4"/>
  <c r="AO13" i="4" s="1"/>
  <c r="AI14" i="4" l="1"/>
  <c r="AN14" i="4"/>
  <c r="AK10" i="5"/>
  <c r="AL10" i="5"/>
  <c r="AM10" i="5"/>
  <c r="AP10" i="5"/>
  <c r="AO10" i="5" s="1"/>
  <c r="X14" i="4"/>
  <c r="Z14" i="4"/>
  <c r="Y14" i="4"/>
  <c r="U14" i="4" s="1"/>
  <c r="T14" i="4" s="1"/>
  <c r="S15" i="4" s="1"/>
  <c r="AC14" i="4"/>
  <c r="AB14" i="4" s="1"/>
  <c r="K11" i="5"/>
  <c r="L11" i="5" s="1"/>
  <c r="H11" i="5" s="1"/>
  <c r="G11" i="5" s="1"/>
  <c r="F12" i="5" s="1"/>
  <c r="M11" i="5"/>
  <c r="P11" i="5"/>
  <c r="O11" i="5" s="1"/>
  <c r="AQ13" i="4"/>
  <c r="K14" i="4"/>
  <c r="L14" i="4" s="1"/>
  <c r="H14" i="4" s="1"/>
  <c r="G14" i="4" s="1"/>
  <c r="F15" i="4" s="1"/>
  <c r="P14" i="4"/>
  <c r="O14" i="4" s="1"/>
  <c r="M14" i="4"/>
  <c r="X11" i="5"/>
  <c r="Y11" i="5"/>
  <c r="U11" i="5" s="1"/>
  <c r="T11" i="5" s="1"/>
  <c r="S12" i="5" s="1"/>
  <c r="Z11" i="5"/>
  <c r="AC11" i="5"/>
  <c r="AB11" i="5" s="1"/>
  <c r="N15" i="4" l="1"/>
  <c r="I15" i="4"/>
  <c r="Q11" i="5"/>
  <c r="AD14" i="4"/>
  <c r="I12" i="5"/>
  <c r="N12" i="5"/>
  <c r="AQ10" i="5"/>
  <c r="AD11" i="5"/>
  <c r="AH10" i="5"/>
  <c r="AG10" i="5" s="1"/>
  <c r="AF11" i="5" s="1"/>
  <c r="AK14" i="4"/>
  <c r="AM14" i="4"/>
  <c r="AL14" i="4"/>
  <c r="AH14" i="4" s="1"/>
  <c r="AG14" i="4" s="1"/>
  <c r="AF15" i="4" s="1"/>
  <c r="AP14" i="4"/>
  <c r="AO14" i="4" s="1"/>
  <c r="AA15" i="4"/>
  <c r="V15" i="4"/>
  <c r="V12" i="5"/>
  <c r="AA12" i="5"/>
  <c r="Q14" i="4"/>
  <c r="AI15" i="4" l="1"/>
  <c r="AN15" i="4"/>
  <c r="M12" i="5"/>
  <c r="K12" i="5"/>
  <c r="L12" i="5" s="1"/>
  <c r="H12" i="5" s="1"/>
  <c r="G12" i="5" s="1"/>
  <c r="F13" i="5" s="1"/>
  <c r="P12" i="5"/>
  <c r="O12" i="5" s="1"/>
  <c r="X12" i="5"/>
  <c r="Y12" i="5"/>
  <c r="AC12" i="5"/>
  <c r="AB12" i="5" s="1"/>
  <c r="Z12" i="5"/>
  <c r="AQ14" i="4"/>
  <c r="Z15" i="4"/>
  <c r="AC15" i="4"/>
  <c r="AB15" i="4" s="1"/>
  <c r="X15" i="4"/>
  <c r="Y15" i="4" s="1"/>
  <c r="U15" i="4" s="1"/>
  <c r="T15" i="4" s="1"/>
  <c r="S16" i="4" s="1"/>
  <c r="M15" i="4"/>
  <c r="K15" i="4"/>
  <c r="L15" i="4" s="1"/>
  <c r="H15" i="4" s="1"/>
  <c r="G15" i="4" s="1"/>
  <c r="F16" i="4" s="1"/>
  <c r="P15" i="4"/>
  <c r="O15" i="4" s="1"/>
  <c r="AI11" i="5"/>
  <c r="AN11" i="5"/>
  <c r="AD12" i="5" l="1"/>
  <c r="AD15" i="4"/>
  <c r="N16" i="4"/>
  <c r="I16" i="4"/>
  <c r="Q12" i="5"/>
  <c r="AA16" i="4"/>
  <c r="V16" i="4"/>
  <c r="N13" i="5"/>
  <c r="I13" i="5"/>
  <c r="Q15" i="4"/>
  <c r="U12" i="5"/>
  <c r="T12" i="5" s="1"/>
  <c r="S13" i="5" s="1"/>
  <c r="AL11" i="5"/>
  <c r="AH11" i="5" s="1"/>
  <c r="AG11" i="5" s="1"/>
  <c r="AF12" i="5" s="1"/>
  <c r="AK11" i="5"/>
  <c r="AM11" i="5"/>
  <c r="AP11" i="5"/>
  <c r="AO11" i="5" s="1"/>
  <c r="AM15" i="4"/>
  <c r="AK15" i="4"/>
  <c r="AL15" i="4" s="1"/>
  <c r="AH15" i="4" s="1"/>
  <c r="AG15" i="4" s="1"/>
  <c r="AF16" i="4" s="1"/>
  <c r="AP15" i="4"/>
  <c r="AO15" i="4" s="1"/>
  <c r="AI16" i="4" l="1"/>
  <c r="AN16" i="4"/>
  <c r="AA13" i="5"/>
  <c r="V13" i="5"/>
  <c r="AN12" i="5"/>
  <c r="AI12" i="5"/>
  <c r="AQ15" i="4"/>
  <c r="AQ11" i="5"/>
  <c r="K13" i="5"/>
  <c r="L13" i="5" s="1"/>
  <c r="H13" i="5" s="1"/>
  <c r="G13" i="5" s="1"/>
  <c r="F14" i="5" s="1"/>
  <c r="M13" i="5"/>
  <c r="P13" i="5"/>
  <c r="O13" i="5" s="1"/>
  <c r="Z16" i="4"/>
  <c r="X16" i="4"/>
  <c r="Y16" i="4" s="1"/>
  <c r="U16" i="4" s="1"/>
  <c r="T16" i="4" s="1"/>
  <c r="S17" i="4" s="1"/>
  <c r="AC16" i="4"/>
  <c r="AB16" i="4" s="1"/>
  <c r="M16" i="4"/>
  <c r="K16" i="4"/>
  <c r="L16" i="4" s="1"/>
  <c r="H16" i="4" s="1"/>
  <c r="G16" i="4" s="1"/>
  <c r="F17" i="4" s="1"/>
  <c r="P16" i="4"/>
  <c r="O16" i="4" s="1"/>
  <c r="V17" i="4" l="1"/>
  <c r="AA17" i="4"/>
  <c r="N17" i="4"/>
  <c r="I17" i="4"/>
  <c r="Q13" i="5"/>
  <c r="I14" i="5"/>
  <c r="N14" i="5"/>
  <c r="Q16" i="4"/>
  <c r="AM12" i="5"/>
  <c r="AK12" i="5"/>
  <c r="AL12" i="5" s="1"/>
  <c r="AH12" i="5" s="1"/>
  <c r="AG12" i="5" s="1"/>
  <c r="AF13" i="5" s="1"/>
  <c r="AP12" i="5"/>
  <c r="AO12" i="5" s="1"/>
  <c r="Z13" i="5"/>
  <c r="Y13" i="5"/>
  <c r="U13" i="5" s="1"/>
  <c r="T13" i="5" s="1"/>
  <c r="S14" i="5" s="1"/>
  <c r="X13" i="5"/>
  <c r="AC13" i="5"/>
  <c r="AB13" i="5" s="1"/>
  <c r="AD16" i="4"/>
  <c r="AM16" i="4"/>
  <c r="AK16" i="4"/>
  <c r="AL16" i="4" s="1"/>
  <c r="AH16" i="4" s="1"/>
  <c r="AG16" i="4" s="1"/>
  <c r="AF17" i="4" s="1"/>
  <c r="AP16" i="4"/>
  <c r="AO16" i="4" s="1"/>
  <c r="AN17" i="4" l="1"/>
  <c r="AI17" i="4"/>
  <c r="AQ12" i="5"/>
  <c r="AN13" i="5"/>
  <c r="AI13" i="5"/>
  <c r="AA14" i="5"/>
  <c r="V14" i="5"/>
  <c r="M14" i="5"/>
  <c r="K14" i="5"/>
  <c r="L14" i="5" s="1"/>
  <c r="H14" i="5" s="1"/>
  <c r="G14" i="5" s="1"/>
  <c r="F15" i="5" s="1"/>
  <c r="P14" i="5"/>
  <c r="O14" i="5" s="1"/>
  <c r="Z17" i="4"/>
  <c r="X17" i="4"/>
  <c r="Y17" i="4" s="1"/>
  <c r="U17" i="4" s="1"/>
  <c r="T17" i="4" s="1"/>
  <c r="S18" i="4" s="1"/>
  <c r="AC17" i="4"/>
  <c r="AB17" i="4" s="1"/>
  <c r="AQ16" i="4"/>
  <c r="AD13" i="5"/>
  <c r="M17" i="4"/>
  <c r="K17" i="4"/>
  <c r="L17" i="4" s="1"/>
  <c r="H17" i="4" s="1"/>
  <c r="G17" i="4" s="1"/>
  <c r="F18" i="4" s="1"/>
  <c r="P17" i="4"/>
  <c r="O17" i="4" s="1"/>
  <c r="AA18" i="4" l="1"/>
  <c r="V18" i="4"/>
  <c r="Q14" i="5"/>
  <c r="N18" i="4"/>
  <c r="I18" i="4"/>
  <c r="N15" i="5"/>
  <c r="I15" i="5"/>
  <c r="Z14" i="5"/>
  <c r="X14" i="5"/>
  <c r="Y14" i="5" s="1"/>
  <c r="U14" i="5" s="1"/>
  <c r="T14" i="5" s="1"/>
  <c r="S15" i="5" s="1"/>
  <c r="AC14" i="5"/>
  <c r="AB14" i="5" s="1"/>
  <c r="AD17" i="4"/>
  <c r="AM13" i="5"/>
  <c r="AK13" i="5"/>
  <c r="AL13" i="5" s="1"/>
  <c r="AH13" i="5" s="1"/>
  <c r="AG13" i="5" s="1"/>
  <c r="AF14" i="5" s="1"/>
  <c r="AP13" i="5"/>
  <c r="AO13" i="5" s="1"/>
  <c r="AK17" i="4"/>
  <c r="AM17" i="4"/>
  <c r="AL17" i="4"/>
  <c r="AP17" i="4"/>
  <c r="AO17" i="4" s="1"/>
  <c r="Q17" i="4"/>
  <c r="AN14" i="5" l="1"/>
  <c r="AI14" i="5"/>
  <c r="AD14" i="5"/>
  <c r="V15" i="5"/>
  <c r="AA15" i="5"/>
  <c r="AQ13" i="5"/>
  <c r="AH17" i="4"/>
  <c r="AG17" i="4" s="1"/>
  <c r="AF18" i="4" s="1"/>
  <c r="AQ17" i="4"/>
  <c r="Z18" i="4"/>
  <c r="X18" i="4"/>
  <c r="Y18" i="4" s="1"/>
  <c r="U18" i="4" s="1"/>
  <c r="T18" i="4" s="1"/>
  <c r="S19" i="4" s="1"/>
  <c r="AC18" i="4"/>
  <c r="AB18" i="4" s="1"/>
  <c r="M15" i="5"/>
  <c r="K15" i="5"/>
  <c r="L15" i="5" s="1"/>
  <c r="H15" i="5" s="1"/>
  <c r="G15" i="5" s="1"/>
  <c r="F16" i="5" s="1"/>
  <c r="P15" i="5"/>
  <c r="O15" i="5" s="1"/>
  <c r="M18" i="4"/>
  <c r="K18" i="4"/>
  <c r="L18" i="4" s="1"/>
  <c r="H18" i="4" s="1"/>
  <c r="G18" i="4" s="1"/>
  <c r="F19" i="4" s="1"/>
  <c r="P18" i="4"/>
  <c r="O18" i="4" s="1"/>
  <c r="Q18" i="4" l="1"/>
  <c r="N19" i="4"/>
  <c r="I19" i="4"/>
  <c r="N16" i="5"/>
  <c r="H8" i="6" s="1"/>
  <c r="I16" i="5"/>
  <c r="V19" i="4"/>
  <c r="AA19" i="4"/>
  <c r="AD18" i="4"/>
  <c r="Q15" i="5"/>
  <c r="AM14" i="5"/>
  <c r="AK14" i="5"/>
  <c r="AL14" i="5" s="1"/>
  <c r="AH14" i="5" s="1"/>
  <c r="AG14" i="5" s="1"/>
  <c r="AF15" i="5" s="1"/>
  <c r="AP14" i="5"/>
  <c r="AO14" i="5" s="1"/>
  <c r="AN18" i="4"/>
  <c r="AI18" i="4"/>
  <c r="Z15" i="5"/>
  <c r="X15" i="5"/>
  <c r="Y15" i="5"/>
  <c r="U15" i="5" s="1"/>
  <c r="T15" i="5" s="1"/>
  <c r="S16" i="5" s="1"/>
  <c r="AC15" i="5"/>
  <c r="AB15" i="5" s="1"/>
  <c r="AN15" i="5" l="1"/>
  <c r="AI15" i="5"/>
  <c r="V16" i="5"/>
  <c r="AA16" i="5"/>
  <c r="H9" i="6" s="1"/>
  <c r="K19" i="4"/>
  <c r="L19" i="4" s="1"/>
  <c r="H19" i="4" s="1"/>
  <c r="G19" i="4" s="1"/>
  <c r="F20" i="4" s="1"/>
  <c r="M19" i="4"/>
  <c r="P19" i="4"/>
  <c r="O19" i="4" s="1"/>
  <c r="AK18" i="4"/>
  <c r="AL18" i="4" s="1"/>
  <c r="AH18" i="4" s="1"/>
  <c r="AG18" i="4" s="1"/>
  <c r="AF19" i="4" s="1"/>
  <c r="AM18" i="4"/>
  <c r="AP18" i="4"/>
  <c r="AO18" i="4" s="1"/>
  <c r="AQ14" i="5"/>
  <c r="Z19" i="4"/>
  <c r="Y19" i="4"/>
  <c r="U19" i="4" s="1"/>
  <c r="T19" i="4" s="1"/>
  <c r="S20" i="4" s="1"/>
  <c r="X19" i="4"/>
  <c r="AC19" i="4"/>
  <c r="AB19" i="4" s="1"/>
  <c r="AD15" i="5"/>
  <c r="G8" i="6"/>
  <c r="M16" i="5"/>
  <c r="K16" i="5"/>
  <c r="L16" i="5" s="1"/>
  <c r="H16" i="5" s="1"/>
  <c r="G16" i="5" s="1"/>
  <c r="P16" i="5"/>
  <c r="AN19" i="4" l="1"/>
  <c r="AI19" i="4"/>
  <c r="F17" i="5"/>
  <c r="F8" i="6"/>
  <c r="Q19" i="4"/>
  <c r="AQ18" i="4"/>
  <c r="N20" i="4"/>
  <c r="I20" i="4"/>
  <c r="E8" i="6"/>
  <c r="E37" i="6" s="1"/>
  <c r="O16" i="5"/>
  <c r="AD19" i="4"/>
  <c r="Z16" i="5"/>
  <c r="X16" i="5"/>
  <c r="Y16" i="5" s="1"/>
  <c r="U16" i="5" s="1"/>
  <c r="T16" i="5" s="1"/>
  <c r="G9" i="6"/>
  <c r="AC16" i="5"/>
  <c r="E9" i="6" s="1"/>
  <c r="E38" i="6" s="1"/>
  <c r="AM15" i="5"/>
  <c r="AK15" i="5"/>
  <c r="AL15" i="5" s="1"/>
  <c r="AH15" i="5" s="1"/>
  <c r="AG15" i="5" s="1"/>
  <c r="AF16" i="5" s="1"/>
  <c r="AP15" i="5"/>
  <c r="AO15" i="5" s="1"/>
  <c r="AA20" i="4"/>
  <c r="V20" i="4"/>
  <c r="AB16" i="5" l="1"/>
  <c r="F9" i="6"/>
  <c r="S17" i="5"/>
  <c r="AN16" i="5"/>
  <c r="H10" i="6" s="1"/>
  <c r="AI16" i="5"/>
  <c r="N17" i="5"/>
  <c r="I17" i="5"/>
  <c r="C8" i="6"/>
  <c r="Q16" i="5"/>
  <c r="D8" i="6" s="1"/>
  <c r="F37" i="6" s="1"/>
  <c r="M20" i="4"/>
  <c r="K20" i="4"/>
  <c r="L20" i="4" s="1"/>
  <c r="H20" i="4" s="1"/>
  <c r="G20" i="4" s="1"/>
  <c r="F21" i="4" s="1"/>
  <c r="P20" i="4"/>
  <c r="O20" i="4" s="1"/>
  <c r="Z20" i="4"/>
  <c r="X20" i="4"/>
  <c r="Y20" i="4" s="1"/>
  <c r="U20" i="4" s="1"/>
  <c r="T20" i="4" s="1"/>
  <c r="S21" i="4" s="1"/>
  <c r="AC20" i="4"/>
  <c r="AB20" i="4" s="1"/>
  <c r="C9" i="6"/>
  <c r="D38" i="6" s="1"/>
  <c r="C38" i="6" s="1"/>
  <c r="G38" i="6" s="1"/>
  <c r="AD16" i="5"/>
  <c r="D9" i="6" s="1"/>
  <c r="F38" i="6" s="1"/>
  <c r="AM19" i="4"/>
  <c r="AK19" i="4"/>
  <c r="AL19" i="4" s="1"/>
  <c r="AH19" i="4" s="1"/>
  <c r="AG19" i="4" s="1"/>
  <c r="AF20" i="4" s="1"/>
  <c r="AP19" i="4"/>
  <c r="AO19" i="4" s="1"/>
  <c r="AQ15" i="5"/>
  <c r="AN20" i="4" l="1"/>
  <c r="AI20" i="4"/>
  <c r="V21" i="4"/>
  <c r="AA21" i="4"/>
  <c r="AD20" i="4"/>
  <c r="Q20" i="4"/>
  <c r="N21" i="4"/>
  <c r="I21" i="4"/>
  <c r="AQ19" i="4"/>
  <c r="G10" i="6"/>
  <c r="AM16" i="5"/>
  <c r="AK16" i="5"/>
  <c r="AL16" i="5" s="1"/>
  <c r="AH16" i="5" s="1"/>
  <c r="AG16" i="5" s="1"/>
  <c r="AP16" i="5"/>
  <c r="E10" i="6" s="1"/>
  <c r="E39" i="6" s="1"/>
  <c r="V17" i="5"/>
  <c r="AA17" i="5"/>
  <c r="D37" i="6"/>
  <c r="C37" i="6" s="1"/>
  <c r="G37" i="6" s="1"/>
  <c r="K17" i="5"/>
  <c r="M17" i="5"/>
  <c r="L17" i="5"/>
  <c r="H17" i="5" s="1"/>
  <c r="G17" i="5" s="1"/>
  <c r="F18" i="5" s="1"/>
  <c r="P17" i="5"/>
  <c r="O17" i="5" s="1"/>
  <c r="AO16" i="5" l="1"/>
  <c r="AQ16" i="5" s="1"/>
  <c r="D10" i="6" s="1"/>
  <c r="F39" i="6" s="1"/>
  <c r="F10" i="6"/>
  <c r="AF17" i="5"/>
  <c r="X21" i="4"/>
  <c r="AC21" i="4"/>
  <c r="AB21" i="4" s="1"/>
  <c r="Z21" i="4"/>
  <c r="Y21" i="4"/>
  <c r="U21" i="4" s="1"/>
  <c r="T21" i="4" s="1"/>
  <c r="S22" i="4" s="1"/>
  <c r="AM20" i="4"/>
  <c r="AL20" i="4"/>
  <c r="AH20" i="4" s="1"/>
  <c r="AG20" i="4" s="1"/>
  <c r="AF21" i="4" s="1"/>
  <c r="AK20" i="4"/>
  <c r="AP20" i="4"/>
  <c r="AO20" i="4" s="1"/>
  <c r="Q17" i="5"/>
  <c r="I18" i="5"/>
  <c r="N18" i="5"/>
  <c r="Z17" i="5"/>
  <c r="X17" i="5"/>
  <c r="Y17" i="5"/>
  <c r="AC17" i="5"/>
  <c r="AB17" i="5" s="1"/>
  <c r="K21" i="4"/>
  <c r="L21" i="4" s="1"/>
  <c r="H21" i="4" s="1"/>
  <c r="G21" i="4" s="1"/>
  <c r="F22" i="4" s="1"/>
  <c r="M21" i="4"/>
  <c r="P21" i="4"/>
  <c r="O21" i="4" s="1"/>
  <c r="C10" i="6" l="1"/>
  <c r="I22" i="4"/>
  <c r="N22" i="4"/>
  <c r="AD21" i="4"/>
  <c r="Q21" i="4"/>
  <c r="D39" i="6"/>
  <c r="C39" i="6" s="1"/>
  <c r="G39" i="6" s="1"/>
  <c r="E55" i="6" s="1"/>
  <c r="C29" i="6"/>
  <c r="E29" i="6" s="1"/>
  <c r="AN21" i="4"/>
  <c r="AI21" i="4"/>
  <c r="AD17" i="5"/>
  <c r="M18" i="5"/>
  <c r="K18" i="5"/>
  <c r="L18" i="5" s="1"/>
  <c r="H18" i="5" s="1"/>
  <c r="G18" i="5" s="1"/>
  <c r="F19" i="5" s="1"/>
  <c r="P18" i="5"/>
  <c r="O18" i="5" s="1"/>
  <c r="AQ20" i="4"/>
  <c r="V22" i="4"/>
  <c r="AA22" i="4"/>
  <c r="U17" i="5"/>
  <c r="T17" i="5" s="1"/>
  <c r="S18" i="5" s="1"/>
  <c r="AI17" i="5"/>
  <c r="AN17" i="5"/>
  <c r="Q18" i="5" l="1"/>
  <c r="N19" i="5"/>
  <c r="I19" i="5"/>
  <c r="V18" i="5"/>
  <c r="AA18" i="5"/>
  <c r="D55" i="6"/>
  <c r="C55" i="6"/>
  <c r="B55" i="6" s="1"/>
  <c r="AM17" i="5"/>
  <c r="AK17" i="5"/>
  <c r="AL17" i="5" s="1"/>
  <c r="AH17" i="5" s="1"/>
  <c r="AG17" i="5" s="1"/>
  <c r="AF18" i="5" s="1"/>
  <c r="AP17" i="5"/>
  <c r="AO17" i="5" s="1"/>
  <c r="AM21" i="4"/>
  <c r="AK21" i="4"/>
  <c r="AL21" i="4" s="1"/>
  <c r="AH21" i="4" s="1"/>
  <c r="AG21" i="4" s="1"/>
  <c r="AF22" i="4" s="1"/>
  <c r="AP21" i="4"/>
  <c r="AO21" i="4" s="1"/>
  <c r="Z22" i="4"/>
  <c r="X22" i="4"/>
  <c r="Y22" i="4" s="1"/>
  <c r="U22" i="4" s="1"/>
  <c r="T22" i="4" s="1"/>
  <c r="S23" i="4" s="1"/>
  <c r="AC22" i="4"/>
  <c r="AB22" i="4" s="1"/>
  <c r="M22" i="4"/>
  <c r="K22" i="4"/>
  <c r="L22" i="4" s="1"/>
  <c r="H22" i="4" s="1"/>
  <c r="G22" i="4" s="1"/>
  <c r="F23" i="4" s="1"/>
  <c r="P22" i="4"/>
  <c r="O22" i="4" s="1"/>
  <c r="AD22" i="4" l="1"/>
  <c r="AA23" i="4"/>
  <c r="V23" i="4"/>
  <c r="AI22" i="4"/>
  <c r="AN22" i="4"/>
  <c r="N23" i="4"/>
  <c r="I23" i="4"/>
  <c r="AI18" i="5"/>
  <c r="AN18" i="5"/>
  <c r="AQ17" i="5"/>
  <c r="M19" i="5"/>
  <c r="K19" i="5"/>
  <c r="L19" i="5" s="1"/>
  <c r="H19" i="5" s="1"/>
  <c r="G19" i="5" s="1"/>
  <c r="F20" i="5" s="1"/>
  <c r="P19" i="5"/>
  <c r="O19" i="5" s="1"/>
  <c r="AQ21" i="4"/>
  <c r="Q22" i="4"/>
  <c r="X18" i="5"/>
  <c r="Z18" i="5"/>
  <c r="Y18" i="5"/>
  <c r="AC18" i="5"/>
  <c r="AB18" i="5" s="1"/>
  <c r="N20" i="5" l="1"/>
  <c r="I20" i="5"/>
  <c r="AD18" i="5"/>
  <c r="Q19" i="5"/>
  <c r="U18" i="5"/>
  <c r="T18" i="5" s="1"/>
  <c r="S19" i="5" s="1"/>
  <c r="Z23" i="4"/>
  <c r="X23" i="4"/>
  <c r="Y23" i="4" s="1"/>
  <c r="U23" i="4" s="1"/>
  <c r="T23" i="4" s="1"/>
  <c r="S24" i="4" s="1"/>
  <c r="AC23" i="4"/>
  <c r="AB23" i="4" s="1"/>
  <c r="AK22" i="4"/>
  <c r="AL22" i="4" s="1"/>
  <c r="AH22" i="4" s="1"/>
  <c r="AG22" i="4" s="1"/>
  <c r="AF23" i="4" s="1"/>
  <c r="AM22" i="4"/>
  <c r="AP22" i="4"/>
  <c r="AO22" i="4" s="1"/>
  <c r="AM18" i="5"/>
  <c r="AK18" i="5"/>
  <c r="AL18" i="5"/>
  <c r="AH18" i="5" s="1"/>
  <c r="AG18" i="5" s="1"/>
  <c r="AF19" i="5" s="1"/>
  <c r="AP18" i="5"/>
  <c r="AO18" i="5" s="1"/>
  <c r="L23" i="4"/>
  <c r="H23" i="4" s="1"/>
  <c r="G23" i="4" s="1"/>
  <c r="F24" i="4" s="1"/>
  <c r="K23" i="4"/>
  <c r="M23" i="4"/>
  <c r="P23" i="4"/>
  <c r="O23" i="4" s="1"/>
  <c r="AN23" i="4" l="1"/>
  <c r="AI23" i="4"/>
  <c r="AQ22" i="4"/>
  <c r="AD23" i="4"/>
  <c r="Q23" i="4"/>
  <c r="AA24" i="4"/>
  <c r="V24" i="4"/>
  <c r="I24" i="4"/>
  <c r="N24" i="4"/>
  <c r="M20" i="5"/>
  <c r="K20" i="5"/>
  <c r="L20" i="5" s="1"/>
  <c r="H20" i="5" s="1"/>
  <c r="G20" i="5" s="1"/>
  <c r="F21" i="5" s="1"/>
  <c r="P20" i="5"/>
  <c r="O20" i="5" s="1"/>
  <c r="AI19" i="5"/>
  <c r="AN19" i="5"/>
  <c r="V19" i="5"/>
  <c r="AA19" i="5"/>
  <c r="AQ18" i="5"/>
  <c r="N21" i="5" l="1"/>
  <c r="I21" i="5"/>
  <c r="AM19" i="5"/>
  <c r="AK19" i="5"/>
  <c r="AL19" i="5" s="1"/>
  <c r="AH19" i="5" s="1"/>
  <c r="AG19" i="5" s="1"/>
  <c r="AF20" i="5" s="1"/>
  <c r="AP19" i="5"/>
  <c r="AO19" i="5" s="1"/>
  <c r="X19" i="5"/>
  <c r="Y19" i="5" s="1"/>
  <c r="U19" i="5" s="1"/>
  <c r="T19" i="5" s="1"/>
  <c r="S20" i="5" s="1"/>
  <c r="Z19" i="5"/>
  <c r="AC19" i="5"/>
  <c r="AB19" i="5" s="1"/>
  <c r="Q20" i="5"/>
  <c r="M24" i="4"/>
  <c r="K24" i="4"/>
  <c r="L24" i="4" s="1"/>
  <c r="H24" i="4" s="1"/>
  <c r="G24" i="4" s="1"/>
  <c r="F25" i="4" s="1"/>
  <c r="P24" i="4"/>
  <c r="O24" i="4" s="1"/>
  <c r="AM23" i="4"/>
  <c r="AK23" i="4"/>
  <c r="AL23" i="4"/>
  <c r="AH23" i="4" s="1"/>
  <c r="AG23" i="4" s="1"/>
  <c r="AF24" i="4" s="1"/>
  <c r="AP23" i="4"/>
  <c r="AO23" i="4" s="1"/>
  <c r="X24" i="4"/>
  <c r="Z24" i="4"/>
  <c r="Y24" i="4"/>
  <c r="U24" i="4" s="1"/>
  <c r="T24" i="4" s="1"/>
  <c r="S25" i="4" s="1"/>
  <c r="AC24" i="4"/>
  <c r="AB24" i="4" s="1"/>
  <c r="AA20" i="5" l="1"/>
  <c r="V20" i="5"/>
  <c r="AN20" i="5"/>
  <c r="AI20" i="5"/>
  <c r="N25" i="4"/>
  <c r="I25" i="4"/>
  <c r="AD19" i="5"/>
  <c r="AQ19" i="5"/>
  <c r="AD24" i="4"/>
  <c r="AI24" i="4"/>
  <c r="AN24" i="4"/>
  <c r="AQ23" i="4"/>
  <c r="V25" i="4"/>
  <c r="AA25" i="4"/>
  <c r="Q24" i="4"/>
  <c r="L21" i="5"/>
  <c r="H21" i="5" s="1"/>
  <c r="G21" i="5" s="1"/>
  <c r="F22" i="5" s="1"/>
  <c r="K21" i="5"/>
  <c r="M21" i="5"/>
  <c r="P21" i="5"/>
  <c r="O21" i="5" s="1"/>
  <c r="I22" i="5" l="1"/>
  <c r="N22" i="5"/>
  <c r="AL24" i="4"/>
  <c r="AH24" i="4" s="1"/>
  <c r="AG24" i="4" s="1"/>
  <c r="AF25" i="4" s="1"/>
  <c r="AK24" i="4"/>
  <c r="AM24" i="4"/>
  <c r="AP24" i="4"/>
  <c r="AO24" i="4" s="1"/>
  <c r="Q21" i="5"/>
  <c r="K25" i="4"/>
  <c r="M25" i="4"/>
  <c r="L25" i="4"/>
  <c r="H25" i="4" s="1"/>
  <c r="G25" i="4" s="1"/>
  <c r="F26" i="4" s="1"/>
  <c r="P25" i="4"/>
  <c r="O25" i="4" s="1"/>
  <c r="AL20" i="5"/>
  <c r="AH20" i="5" s="1"/>
  <c r="AG20" i="5" s="1"/>
  <c r="AF21" i="5" s="1"/>
  <c r="AM20" i="5"/>
  <c r="AK20" i="5"/>
  <c r="AP20" i="5"/>
  <c r="AO20" i="5" s="1"/>
  <c r="Y25" i="4"/>
  <c r="U25" i="4" s="1"/>
  <c r="T25" i="4" s="1"/>
  <c r="S26" i="4" s="1"/>
  <c r="X25" i="4"/>
  <c r="AC25" i="4"/>
  <c r="AB25" i="4" s="1"/>
  <c r="Z25" i="4"/>
  <c r="Z20" i="5"/>
  <c r="Y20" i="5"/>
  <c r="U20" i="5" s="1"/>
  <c r="T20" i="5" s="1"/>
  <c r="S21" i="5" s="1"/>
  <c r="X20" i="5"/>
  <c r="AC20" i="5"/>
  <c r="AB20" i="5" s="1"/>
  <c r="Q25" i="4" l="1"/>
  <c r="AQ24" i="4"/>
  <c r="N26" i="4"/>
  <c r="I26" i="4"/>
  <c r="AD20" i="5"/>
  <c r="AQ20" i="5"/>
  <c r="AA21" i="5"/>
  <c r="V21" i="5"/>
  <c r="AA26" i="4"/>
  <c r="V26" i="4"/>
  <c r="AI21" i="5"/>
  <c r="AN21" i="5"/>
  <c r="AI25" i="4"/>
  <c r="AN25" i="4"/>
  <c r="M22" i="5"/>
  <c r="K22" i="5"/>
  <c r="L22" i="5" s="1"/>
  <c r="H22" i="5" s="1"/>
  <c r="G22" i="5" s="1"/>
  <c r="F23" i="5" s="1"/>
  <c r="P22" i="5"/>
  <c r="O22" i="5" s="1"/>
  <c r="AD25" i="4"/>
  <c r="I23" i="5" l="1"/>
  <c r="N23" i="5"/>
  <c r="Q22" i="5"/>
  <c r="AK21" i="5"/>
  <c r="AL21" i="5" s="1"/>
  <c r="AH21" i="5" s="1"/>
  <c r="AG21" i="5" s="1"/>
  <c r="AF22" i="5" s="1"/>
  <c r="AM21" i="5"/>
  <c r="AP21" i="5"/>
  <c r="AO21" i="5" s="1"/>
  <c r="Z21" i="5"/>
  <c r="X21" i="5"/>
  <c r="Y21" i="5" s="1"/>
  <c r="U21" i="5" s="1"/>
  <c r="T21" i="5" s="1"/>
  <c r="S22" i="5" s="1"/>
  <c r="AC21" i="5"/>
  <c r="AB21" i="5" s="1"/>
  <c r="M26" i="4"/>
  <c r="K26" i="4"/>
  <c r="L26" i="4" s="1"/>
  <c r="H26" i="4" s="1"/>
  <c r="G26" i="4" s="1"/>
  <c r="F27" i="4" s="1"/>
  <c r="P26" i="4"/>
  <c r="O26" i="4" s="1"/>
  <c r="Z26" i="4"/>
  <c r="X26" i="4"/>
  <c r="Y26" i="4" s="1"/>
  <c r="U26" i="4" s="1"/>
  <c r="T26" i="4" s="1"/>
  <c r="S27" i="4" s="1"/>
  <c r="AC26" i="4"/>
  <c r="AB26" i="4" s="1"/>
  <c r="AM25" i="4"/>
  <c r="AL25" i="4"/>
  <c r="AH25" i="4" s="1"/>
  <c r="AG25" i="4" s="1"/>
  <c r="AF26" i="4" s="1"/>
  <c r="AK25" i="4"/>
  <c r="AP25" i="4"/>
  <c r="AO25" i="4" s="1"/>
  <c r="N27" i="4" l="1"/>
  <c r="I27" i="4"/>
  <c r="AA27" i="4"/>
  <c r="V27" i="4"/>
  <c r="AD21" i="5"/>
  <c r="AD26" i="4"/>
  <c r="AI22" i="5"/>
  <c r="AN22" i="5"/>
  <c r="AQ25" i="4"/>
  <c r="Q26" i="4"/>
  <c r="AA22" i="5"/>
  <c r="V22" i="5"/>
  <c r="AN26" i="4"/>
  <c r="AI26" i="4"/>
  <c r="AQ21" i="5"/>
  <c r="K23" i="5"/>
  <c r="M23" i="5"/>
  <c r="L23" i="5"/>
  <c r="H23" i="5" s="1"/>
  <c r="G23" i="5" s="1"/>
  <c r="F24" i="5" s="1"/>
  <c r="P23" i="5"/>
  <c r="O23" i="5" s="1"/>
  <c r="Q23" i="5" l="1"/>
  <c r="Z22" i="5"/>
  <c r="X22" i="5"/>
  <c r="Y22" i="5" s="1"/>
  <c r="U22" i="5" s="1"/>
  <c r="T22" i="5" s="1"/>
  <c r="S23" i="5" s="1"/>
  <c r="AC22" i="5"/>
  <c r="AB22" i="5" s="1"/>
  <c r="AK26" i="4"/>
  <c r="AM26" i="4"/>
  <c r="AL26" i="4"/>
  <c r="AH26" i="4" s="1"/>
  <c r="AG26" i="4" s="1"/>
  <c r="AF27" i="4" s="1"/>
  <c r="AP26" i="4"/>
  <c r="AO26" i="4" s="1"/>
  <c r="AM22" i="5"/>
  <c r="AK22" i="5"/>
  <c r="AL22" i="5" s="1"/>
  <c r="AH22" i="5" s="1"/>
  <c r="AG22" i="5" s="1"/>
  <c r="AF23" i="5" s="1"/>
  <c r="AP22" i="5"/>
  <c r="AO22" i="5" s="1"/>
  <c r="K27" i="4"/>
  <c r="L27" i="4" s="1"/>
  <c r="H27" i="4" s="1"/>
  <c r="G27" i="4" s="1"/>
  <c r="F28" i="4" s="1"/>
  <c r="M27" i="4"/>
  <c r="P27" i="4"/>
  <c r="O27" i="4" s="1"/>
  <c r="I24" i="5"/>
  <c r="N24" i="5"/>
  <c r="X27" i="4"/>
  <c r="Y27" i="4" s="1"/>
  <c r="U27" i="4" s="1"/>
  <c r="T27" i="4" s="1"/>
  <c r="S28" i="4" s="1"/>
  <c r="Z27" i="4"/>
  <c r="AC27" i="4"/>
  <c r="AB27" i="4" s="1"/>
  <c r="AQ22" i="5" l="1"/>
  <c r="AI23" i="5"/>
  <c r="AN23" i="5"/>
  <c r="V28" i="4"/>
  <c r="AA28" i="4"/>
  <c r="H5" i="6" s="1"/>
  <c r="AD22" i="5"/>
  <c r="N28" i="4"/>
  <c r="H4" i="6" s="1"/>
  <c r="I28" i="4"/>
  <c r="AA23" i="5"/>
  <c r="V23" i="5"/>
  <c r="AQ26" i="4"/>
  <c r="Q27" i="4"/>
  <c r="AD27" i="4"/>
  <c r="AN27" i="4"/>
  <c r="AI27" i="4"/>
  <c r="M24" i="5"/>
  <c r="K24" i="5"/>
  <c r="L24" i="5" s="1"/>
  <c r="H24" i="5" s="1"/>
  <c r="G24" i="5" s="1"/>
  <c r="F25" i="5" s="1"/>
  <c r="P24" i="5"/>
  <c r="O24" i="5" s="1"/>
  <c r="Q24" i="5" l="1"/>
  <c r="I25" i="5"/>
  <c r="N25" i="5"/>
  <c r="Z23" i="5"/>
  <c r="X23" i="5"/>
  <c r="Y23" i="5" s="1"/>
  <c r="U23" i="5" s="1"/>
  <c r="T23" i="5" s="1"/>
  <c r="S24" i="5" s="1"/>
  <c r="AC23" i="5"/>
  <c r="AB23" i="5" s="1"/>
  <c r="G4" i="6"/>
  <c r="L28" i="4"/>
  <c r="H28" i="4" s="1"/>
  <c r="G28" i="4" s="1"/>
  <c r="K28" i="4"/>
  <c r="M28" i="4"/>
  <c r="P28" i="4"/>
  <c r="E4" i="6" s="1"/>
  <c r="E34" i="6" s="1"/>
  <c r="AM27" i="4"/>
  <c r="AK27" i="4"/>
  <c r="AL27" i="4"/>
  <c r="AH27" i="4" s="1"/>
  <c r="AG27" i="4" s="1"/>
  <c r="AF28" i="4" s="1"/>
  <c r="AP27" i="4"/>
  <c r="AO27" i="4" s="1"/>
  <c r="AM23" i="5"/>
  <c r="AK23" i="5"/>
  <c r="AL23" i="5" s="1"/>
  <c r="AH23" i="5" s="1"/>
  <c r="AG23" i="5" s="1"/>
  <c r="AF24" i="5" s="1"/>
  <c r="AP23" i="5"/>
  <c r="AO23" i="5" s="1"/>
  <c r="G5" i="6"/>
  <c r="X28" i="4"/>
  <c r="Y28" i="4" s="1"/>
  <c r="U28" i="4" s="1"/>
  <c r="T28" i="4" s="1"/>
  <c r="Z28" i="4"/>
  <c r="AC28" i="4"/>
  <c r="E5" i="6" s="1"/>
  <c r="E35" i="6" s="1"/>
  <c r="AN24" i="5" l="1"/>
  <c r="AI24" i="5"/>
  <c r="AD23" i="5"/>
  <c r="V24" i="5"/>
  <c r="AA24" i="5"/>
  <c r="F5" i="6"/>
  <c r="S29" i="4"/>
  <c r="O28" i="4"/>
  <c r="F29" i="4"/>
  <c r="F4" i="6"/>
  <c r="AQ23" i="5"/>
  <c r="AQ27" i="4"/>
  <c r="AN28" i="4"/>
  <c r="H6" i="6" s="1"/>
  <c r="AI28" i="4"/>
  <c r="AB28" i="4"/>
  <c r="K25" i="5"/>
  <c r="M25" i="5"/>
  <c r="L25" i="5"/>
  <c r="H25" i="5" s="1"/>
  <c r="G25" i="5" s="1"/>
  <c r="F26" i="5" s="1"/>
  <c r="P25" i="5"/>
  <c r="O25" i="5" s="1"/>
  <c r="Q25" i="5" l="1"/>
  <c r="I29" i="4"/>
  <c r="N29" i="4"/>
  <c r="Q28" i="4"/>
  <c r="D4" i="6" s="1"/>
  <c r="F34" i="6" s="1"/>
  <c r="C4" i="6"/>
  <c r="I26" i="5"/>
  <c r="N26" i="5"/>
  <c r="AA29" i="4"/>
  <c r="V29" i="4"/>
  <c r="Z24" i="5"/>
  <c r="X24" i="5"/>
  <c r="Y24" i="5" s="1"/>
  <c r="U24" i="5" s="1"/>
  <c r="T24" i="5" s="1"/>
  <c r="S25" i="5" s="1"/>
  <c r="AC24" i="5"/>
  <c r="AB24" i="5" s="1"/>
  <c r="C5" i="6"/>
  <c r="D35" i="6" s="1"/>
  <c r="C35" i="6" s="1"/>
  <c r="G35" i="6" s="1"/>
  <c r="AD28" i="4"/>
  <c r="D5" i="6" s="1"/>
  <c r="F35" i="6" s="1"/>
  <c r="AK24" i="5"/>
  <c r="AL24" i="5" s="1"/>
  <c r="AH24" i="5" s="1"/>
  <c r="AG24" i="5" s="1"/>
  <c r="AF25" i="5" s="1"/>
  <c r="AM24" i="5"/>
  <c r="AP24" i="5"/>
  <c r="AO24" i="5" s="1"/>
  <c r="G6" i="6"/>
  <c r="AM28" i="4"/>
  <c r="AK28" i="4"/>
  <c r="AL28" i="4" s="1"/>
  <c r="AH28" i="4" s="1"/>
  <c r="AG28" i="4" s="1"/>
  <c r="AP28" i="4"/>
  <c r="E6" i="6" s="1"/>
  <c r="E36" i="6" s="1"/>
  <c r="F6" i="6" l="1"/>
  <c r="AF29" i="4"/>
  <c r="AN25" i="5"/>
  <c r="AI25" i="5"/>
  <c r="AD24" i="5"/>
  <c r="V25" i="5"/>
  <c r="AA25" i="5"/>
  <c r="D34" i="6"/>
  <c r="C34" i="6" s="1"/>
  <c r="G34" i="6" s="1"/>
  <c r="M29" i="4"/>
  <c r="K29" i="4"/>
  <c r="L29" i="4" s="1"/>
  <c r="H29" i="4" s="1"/>
  <c r="G29" i="4" s="1"/>
  <c r="F30" i="4" s="1"/>
  <c r="P29" i="4"/>
  <c r="O29" i="4" s="1"/>
  <c r="K26" i="5"/>
  <c r="L26" i="5" s="1"/>
  <c r="H26" i="5" s="1"/>
  <c r="G26" i="5" s="1"/>
  <c r="F27" i="5" s="1"/>
  <c r="M26" i="5"/>
  <c r="P26" i="5"/>
  <c r="O26" i="5" s="1"/>
  <c r="AQ24" i="5"/>
  <c r="AO28" i="4"/>
  <c r="X29" i="4"/>
  <c r="Y29" i="4"/>
  <c r="U29" i="4" s="1"/>
  <c r="T29" i="4" s="1"/>
  <c r="S30" i="4" s="1"/>
  <c r="Z29" i="4"/>
  <c r="AC29" i="4"/>
  <c r="AB29" i="4" s="1"/>
  <c r="N27" i="5" l="1"/>
  <c r="I27" i="5"/>
  <c r="I30" i="4"/>
  <c r="N30" i="4"/>
  <c r="Q29" i="4"/>
  <c r="AD29" i="4"/>
  <c r="Z25" i="5"/>
  <c r="X25" i="5"/>
  <c r="Y25" i="5" s="1"/>
  <c r="U25" i="5" s="1"/>
  <c r="T25" i="5" s="1"/>
  <c r="S26" i="5" s="1"/>
  <c r="AC25" i="5"/>
  <c r="AB25" i="5" s="1"/>
  <c r="AK25" i="5"/>
  <c r="AM25" i="5"/>
  <c r="AL25" i="5"/>
  <c r="AH25" i="5" s="1"/>
  <c r="AG25" i="5" s="1"/>
  <c r="AF26" i="5" s="1"/>
  <c r="AP25" i="5"/>
  <c r="AO25" i="5" s="1"/>
  <c r="Q26" i="5"/>
  <c r="AI29" i="4"/>
  <c r="AN29" i="4"/>
  <c r="AA30" i="4"/>
  <c r="V30" i="4"/>
  <c r="AQ28" i="4"/>
  <c r="D6" i="6" s="1"/>
  <c r="F36" i="6" s="1"/>
  <c r="C6" i="6"/>
  <c r="AD25" i="5" l="1"/>
  <c r="AA26" i="5"/>
  <c r="V26" i="5"/>
  <c r="AN26" i="5"/>
  <c r="AI26" i="5"/>
  <c r="K30" i="4"/>
  <c r="P30" i="4"/>
  <c r="O30" i="4" s="1"/>
  <c r="M30" i="4"/>
  <c r="L30" i="4"/>
  <c r="H30" i="4" s="1"/>
  <c r="G30" i="4" s="1"/>
  <c r="F31" i="4" s="1"/>
  <c r="K27" i="5"/>
  <c r="L27" i="5" s="1"/>
  <c r="H27" i="5" s="1"/>
  <c r="G27" i="5" s="1"/>
  <c r="F28" i="5" s="1"/>
  <c r="M27" i="5"/>
  <c r="P27" i="5"/>
  <c r="O27" i="5" s="1"/>
  <c r="AM29" i="4"/>
  <c r="AK29" i="4"/>
  <c r="AL29" i="4" s="1"/>
  <c r="AH29" i="4" s="1"/>
  <c r="AG29" i="4" s="1"/>
  <c r="AF30" i="4" s="1"/>
  <c r="AP29" i="4"/>
  <c r="AO29" i="4" s="1"/>
  <c r="D36" i="6"/>
  <c r="C36" i="6" s="1"/>
  <c r="G36" i="6" s="1"/>
  <c r="E54" i="6" s="1"/>
  <c r="C28" i="6"/>
  <c r="E28" i="6" s="1"/>
  <c r="Z30" i="4"/>
  <c r="X30" i="4"/>
  <c r="Y30" i="4"/>
  <c r="U30" i="4" s="1"/>
  <c r="T30" i="4" s="1"/>
  <c r="S31" i="4" s="1"/>
  <c r="AC30" i="4"/>
  <c r="AB30" i="4" s="1"/>
  <c r="AQ25" i="5"/>
  <c r="I28" i="5" l="1"/>
  <c r="N28" i="5"/>
  <c r="Q27" i="5"/>
  <c r="AI30" i="4"/>
  <c r="AN30" i="4"/>
  <c r="AD30" i="4"/>
  <c r="Q30" i="4"/>
  <c r="N31" i="4"/>
  <c r="I31" i="4"/>
  <c r="D54" i="6"/>
  <c r="C54" i="6"/>
  <c r="B54" i="6" s="1"/>
  <c r="AM26" i="5"/>
  <c r="AK26" i="5"/>
  <c r="AL26" i="5" s="1"/>
  <c r="AH26" i="5" s="1"/>
  <c r="AG26" i="5" s="1"/>
  <c r="AF27" i="5" s="1"/>
  <c r="AP26" i="5"/>
  <c r="AO26" i="5" s="1"/>
  <c r="AA31" i="4"/>
  <c r="V31" i="4"/>
  <c r="Z26" i="5"/>
  <c r="X26" i="5"/>
  <c r="Y26" i="5" s="1"/>
  <c r="U26" i="5" s="1"/>
  <c r="T26" i="5" s="1"/>
  <c r="S27" i="5" s="1"/>
  <c r="AC26" i="5"/>
  <c r="AB26" i="5" s="1"/>
  <c r="AQ29" i="4"/>
  <c r="AN27" i="5" l="1"/>
  <c r="AI27" i="5"/>
  <c r="AD26" i="5"/>
  <c r="AA27" i="5"/>
  <c r="V27" i="5"/>
  <c r="Z31" i="4"/>
  <c r="X31" i="4"/>
  <c r="Y31" i="4" s="1"/>
  <c r="U31" i="4" s="1"/>
  <c r="T31" i="4" s="1"/>
  <c r="S32" i="4" s="1"/>
  <c r="AC31" i="4"/>
  <c r="AB31" i="4" s="1"/>
  <c r="M31" i="4"/>
  <c r="K31" i="4"/>
  <c r="L31" i="4" s="1"/>
  <c r="H31" i="4" s="1"/>
  <c r="G31" i="4" s="1"/>
  <c r="F32" i="4" s="1"/>
  <c r="P31" i="4"/>
  <c r="O31" i="4" s="1"/>
  <c r="AM30" i="4"/>
  <c r="AK30" i="4"/>
  <c r="AL30" i="4" s="1"/>
  <c r="AH30" i="4" s="1"/>
  <c r="AG30" i="4" s="1"/>
  <c r="AF31" i="4" s="1"/>
  <c r="AP30" i="4"/>
  <c r="AO30" i="4" s="1"/>
  <c r="AQ26" i="5"/>
  <c r="M28" i="5"/>
  <c r="K28" i="5"/>
  <c r="L28" i="5" s="1"/>
  <c r="H28" i="5" s="1"/>
  <c r="G28" i="5" s="1"/>
  <c r="F29" i="5" s="1"/>
  <c r="P28" i="5"/>
  <c r="O28" i="5" s="1"/>
  <c r="AI31" i="4" l="1"/>
  <c r="AN31" i="4"/>
  <c r="N29" i="5"/>
  <c r="I29" i="5"/>
  <c r="Q31" i="4"/>
  <c r="I32" i="4"/>
  <c r="N32" i="4"/>
  <c r="Q28" i="5"/>
  <c r="V32" i="4"/>
  <c r="AA32" i="4"/>
  <c r="AD31" i="4"/>
  <c r="Z27" i="5"/>
  <c r="X27" i="5"/>
  <c r="Y27" i="5" s="1"/>
  <c r="U27" i="5" s="1"/>
  <c r="T27" i="5" s="1"/>
  <c r="S28" i="5" s="1"/>
  <c r="AC27" i="5"/>
  <c r="AB27" i="5" s="1"/>
  <c r="AQ30" i="4"/>
  <c r="AM27" i="5"/>
  <c r="AK27" i="5"/>
  <c r="AL27" i="5" s="1"/>
  <c r="AH27" i="5" s="1"/>
  <c r="AG27" i="5" s="1"/>
  <c r="AF28" i="5" s="1"/>
  <c r="AP27" i="5"/>
  <c r="AO27" i="5" s="1"/>
  <c r="AI28" i="5" l="1"/>
  <c r="AN28" i="5"/>
  <c r="V28" i="5"/>
  <c r="AA28" i="5"/>
  <c r="AD27" i="5"/>
  <c r="M29" i="5"/>
  <c r="K29" i="5"/>
  <c r="L29" i="5" s="1"/>
  <c r="H29" i="5" s="1"/>
  <c r="G29" i="5" s="1"/>
  <c r="F30" i="5" s="1"/>
  <c r="P29" i="5"/>
  <c r="O29" i="5" s="1"/>
  <c r="AQ27" i="5"/>
  <c r="X32" i="4"/>
  <c r="Z32" i="4"/>
  <c r="Y32" i="4"/>
  <c r="U32" i="4" s="1"/>
  <c r="T32" i="4" s="1"/>
  <c r="S33" i="4" s="1"/>
  <c r="AC32" i="4"/>
  <c r="AB32" i="4" s="1"/>
  <c r="AK31" i="4"/>
  <c r="AL31" i="4"/>
  <c r="AH31" i="4" s="1"/>
  <c r="AG31" i="4" s="1"/>
  <c r="AF32" i="4" s="1"/>
  <c r="AM31" i="4"/>
  <c r="AP31" i="4"/>
  <c r="AO31" i="4" s="1"/>
  <c r="K32" i="4"/>
  <c r="M32" i="4"/>
  <c r="L32" i="4"/>
  <c r="H32" i="4" s="1"/>
  <c r="G32" i="4" s="1"/>
  <c r="F33" i="4" s="1"/>
  <c r="P32" i="4"/>
  <c r="O32" i="4" s="1"/>
  <c r="AD32" i="4" l="1"/>
  <c r="N30" i="5"/>
  <c r="I30" i="5"/>
  <c r="Q32" i="4"/>
  <c r="Q29" i="5"/>
  <c r="N33" i="4"/>
  <c r="I33" i="4"/>
  <c r="AQ31" i="4"/>
  <c r="AA33" i="4"/>
  <c r="V33" i="4"/>
  <c r="AN32" i="4"/>
  <c r="AI32" i="4"/>
  <c r="Z28" i="5"/>
  <c r="X28" i="5"/>
  <c r="Y28" i="5" s="1"/>
  <c r="U28" i="5" s="1"/>
  <c r="T28" i="5" s="1"/>
  <c r="S29" i="5" s="1"/>
  <c r="AC28" i="5"/>
  <c r="AB28" i="5" s="1"/>
  <c r="AK28" i="5"/>
  <c r="AM28" i="5"/>
  <c r="AL28" i="5"/>
  <c r="AH28" i="5" s="1"/>
  <c r="AG28" i="5" s="1"/>
  <c r="AF29" i="5" s="1"/>
  <c r="AP28" i="5"/>
  <c r="AO28" i="5" s="1"/>
  <c r="AD28" i="5" l="1"/>
  <c r="AA29" i="5"/>
  <c r="V29" i="5"/>
  <c r="M33" i="4"/>
  <c r="K33" i="4"/>
  <c r="L33" i="4" s="1"/>
  <c r="H33" i="4" s="1"/>
  <c r="G33" i="4" s="1"/>
  <c r="F34" i="4" s="1"/>
  <c r="P33" i="4"/>
  <c r="O33" i="4" s="1"/>
  <c r="AQ28" i="5"/>
  <c r="Z33" i="4"/>
  <c r="X33" i="4"/>
  <c r="Y33" i="4" s="1"/>
  <c r="U33" i="4" s="1"/>
  <c r="T33" i="4" s="1"/>
  <c r="S34" i="4" s="1"/>
  <c r="AC33" i="4"/>
  <c r="AB33" i="4" s="1"/>
  <c r="AI29" i="5"/>
  <c r="AN29" i="5"/>
  <c r="M30" i="5"/>
  <c r="L30" i="5"/>
  <c r="H30" i="5" s="1"/>
  <c r="G30" i="5" s="1"/>
  <c r="F31" i="5" s="1"/>
  <c r="K30" i="5"/>
  <c r="P30" i="5"/>
  <c r="O30" i="5" s="1"/>
  <c r="AK32" i="4"/>
  <c r="AM32" i="4"/>
  <c r="AL32" i="4"/>
  <c r="AH32" i="4" s="1"/>
  <c r="AG32" i="4" s="1"/>
  <c r="AF33" i="4" s="1"/>
  <c r="AP32" i="4"/>
  <c r="AO32" i="4" s="1"/>
  <c r="AQ32" i="4" l="1"/>
  <c r="AD33" i="4"/>
  <c r="V34" i="4"/>
  <c r="AA34" i="4"/>
  <c r="Q30" i="5"/>
  <c r="Q33" i="4"/>
  <c r="N34" i="4"/>
  <c r="I34" i="4"/>
  <c r="N31" i="5"/>
  <c r="I31" i="5"/>
  <c r="AN33" i="4"/>
  <c r="AI33" i="4"/>
  <c r="Z29" i="5"/>
  <c r="Y29" i="5"/>
  <c r="U29" i="5" s="1"/>
  <c r="T29" i="5" s="1"/>
  <c r="S30" i="5" s="1"/>
  <c r="X29" i="5"/>
  <c r="AC29" i="5"/>
  <c r="AB29" i="5" s="1"/>
  <c r="AM29" i="5"/>
  <c r="AK29" i="5"/>
  <c r="AL29" i="5"/>
  <c r="AH29" i="5" s="1"/>
  <c r="AG29" i="5" s="1"/>
  <c r="AF30" i="5" s="1"/>
  <c r="AP29" i="5"/>
  <c r="AO29" i="5" s="1"/>
  <c r="AM33" i="4" l="1"/>
  <c r="AK33" i="4"/>
  <c r="AL33" i="4" s="1"/>
  <c r="AH33" i="4" s="1"/>
  <c r="AG33" i="4" s="1"/>
  <c r="AF34" i="4" s="1"/>
  <c r="AP33" i="4"/>
  <c r="AO33" i="4" s="1"/>
  <c r="AA30" i="5"/>
  <c r="V30" i="5"/>
  <c r="AD29" i="5"/>
  <c r="AI30" i="5"/>
  <c r="AN30" i="5"/>
  <c r="Z34" i="4"/>
  <c r="X34" i="4"/>
  <c r="Y34" i="4"/>
  <c r="U34" i="4" s="1"/>
  <c r="T34" i="4" s="1"/>
  <c r="S35" i="4" s="1"/>
  <c r="AC34" i="4"/>
  <c r="AB34" i="4" s="1"/>
  <c r="M31" i="5"/>
  <c r="K31" i="5"/>
  <c r="L31" i="5" s="1"/>
  <c r="H31" i="5" s="1"/>
  <c r="G31" i="5" s="1"/>
  <c r="F32" i="5" s="1"/>
  <c r="P31" i="5"/>
  <c r="O31" i="5" s="1"/>
  <c r="M34" i="4"/>
  <c r="K34" i="4"/>
  <c r="L34" i="4" s="1"/>
  <c r="H34" i="4" s="1"/>
  <c r="G34" i="4" s="1"/>
  <c r="F35" i="4" s="1"/>
  <c r="P34" i="4"/>
  <c r="O34" i="4" s="1"/>
  <c r="AQ29" i="5"/>
  <c r="I32" i="5" l="1"/>
  <c r="N32" i="5"/>
  <c r="H12" i="6" s="1"/>
  <c r="Q34" i="4"/>
  <c r="AD34" i="4"/>
  <c r="Q31" i="5"/>
  <c r="AQ33" i="4"/>
  <c r="N35" i="4"/>
  <c r="I35" i="4"/>
  <c r="AI34" i="4"/>
  <c r="AN34" i="4"/>
  <c r="AA35" i="4"/>
  <c r="V35" i="4"/>
  <c r="AK30" i="5"/>
  <c r="AL30" i="5" s="1"/>
  <c r="AH30" i="5" s="1"/>
  <c r="AG30" i="5" s="1"/>
  <c r="AF31" i="5" s="1"/>
  <c r="AM30" i="5"/>
  <c r="AP30" i="5"/>
  <c r="AO30" i="5" s="1"/>
  <c r="Z30" i="5"/>
  <c r="X30" i="5"/>
  <c r="Y30" i="5" s="1"/>
  <c r="U30" i="5" s="1"/>
  <c r="T30" i="5" s="1"/>
  <c r="S31" i="5" s="1"/>
  <c r="AC30" i="5"/>
  <c r="AB30" i="5" s="1"/>
  <c r="AD30" i="5" l="1"/>
  <c r="V31" i="5"/>
  <c r="AA31" i="5"/>
  <c r="AI31" i="5"/>
  <c r="AN31" i="5"/>
  <c r="AQ30" i="5"/>
  <c r="AK34" i="4"/>
  <c r="AL34" i="4" s="1"/>
  <c r="AH34" i="4" s="1"/>
  <c r="AG34" i="4" s="1"/>
  <c r="AF35" i="4" s="1"/>
  <c r="AM34" i="4"/>
  <c r="AP34" i="4"/>
  <c r="AO34" i="4" s="1"/>
  <c r="M35" i="4"/>
  <c r="L35" i="4"/>
  <c r="H35" i="4" s="1"/>
  <c r="G35" i="4" s="1"/>
  <c r="F36" i="4" s="1"/>
  <c r="K35" i="4"/>
  <c r="P35" i="4"/>
  <c r="O35" i="4" s="1"/>
  <c r="Z35" i="4"/>
  <c r="X35" i="4"/>
  <c r="Y35" i="4" s="1"/>
  <c r="U35" i="4" s="1"/>
  <c r="T35" i="4" s="1"/>
  <c r="S36" i="4" s="1"/>
  <c r="AC35" i="4"/>
  <c r="AB35" i="4" s="1"/>
  <c r="K32" i="5"/>
  <c r="M32" i="5"/>
  <c r="L32" i="5"/>
  <c r="H32" i="5" s="1"/>
  <c r="G32" i="5" s="1"/>
  <c r="G12" i="6"/>
  <c r="P32" i="5"/>
  <c r="E12" i="6" s="1"/>
  <c r="E40" i="6" s="1"/>
  <c r="AQ34" i="4" l="1"/>
  <c r="V36" i="4"/>
  <c r="AA36" i="4"/>
  <c r="AI35" i="4"/>
  <c r="AN35" i="4"/>
  <c r="N36" i="4"/>
  <c r="I36" i="4"/>
  <c r="AD35" i="4"/>
  <c r="AK31" i="5"/>
  <c r="AL31" i="5" s="1"/>
  <c r="AH31" i="5" s="1"/>
  <c r="AG31" i="5" s="1"/>
  <c r="AF32" i="5" s="1"/>
  <c r="AM31" i="5"/>
  <c r="AP31" i="5"/>
  <c r="AO31" i="5" s="1"/>
  <c r="Y31" i="5"/>
  <c r="U31" i="5" s="1"/>
  <c r="T31" i="5" s="1"/>
  <c r="S32" i="5" s="1"/>
  <c r="X31" i="5"/>
  <c r="Z31" i="5"/>
  <c r="AC31" i="5"/>
  <c r="AB31" i="5" s="1"/>
  <c r="Q35" i="4"/>
  <c r="O32" i="5"/>
  <c r="F12" i="6"/>
  <c r="D20" i="6"/>
  <c r="C20" i="6"/>
  <c r="AQ31" i="5" l="1"/>
  <c r="AN32" i="5"/>
  <c r="H14" i="6" s="1"/>
  <c r="AI32" i="5"/>
  <c r="V32" i="5"/>
  <c r="AA32" i="5"/>
  <c r="H13" i="6" s="1"/>
  <c r="K36" i="4"/>
  <c r="L36" i="4" s="1"/>
  <c r="H36" i="4" s="1"/>
  <c r="G36" i="4" s="1"/>
  <c r="F37" i="4" s="1"/>
  <c r="M36" i="4"/>
  <c r="P36" i="4"/>
  <c r="O36" i="4" s="1"/>
  <c r="AD31" i="5"/>
  <c r="AM35" i="4"/>
  <c r="AK35" i="4"/>
  <c r="AL35" i="4" s="1"/>
  <c r="AH35" i="4" s="1"/>
  <c r="AG35" i="4" s="1"/>
  <c r="AF36" i="4" s="1"/>
  <c r="AP35" i="4"/>
  <c r="AO35" i="4" s="1"/>
  <c r="Q32" i="5"/>
  <c r="D12" i="6" s="1"/>
  <c r="F40" i="6" s="1"/>
  <c r="C12" i="6"/>
  <c r="B20" i="6"/>
  <c r="Z36" i="4"/>
  <c r="X36" i="4"/>
  <c r="Y36" i="4"/>
  <c r="U36" i="4" s="1"/>
  <c r="T36" i="4" s="1"/>
  <c r="S37" i="4" s="1"/>
  <c r="AC36" i="4"/>
  <c r="AB36" i="4" s="1"/>
  <c r="AI36" i="4" l="1"/>
  <c r="AN36" i="4"/>
  <c r="AQ35" i="4"/>
  <c r="Q36" i="4"/>
  <c r="N37" i="4"/>
  <c r="I37" i="4"/>
  <c r="AA37" i="4"/>
  <c r="V37" i="4"/>
  <c r="X32" i="5"/>
  <c r="Y32" i="5" s="1"/>
  <c r="U32" i="5" s="1"/>
  <c r="T32" i="5" s="1"/>
  <c r="G13" i="6"/>
  <c r="Z32" i="5"/>
  <c r="AC32" i="5"/>
  <c r="E13" i="6" s="1"/>
  <c r="E41" i="6" s="1"/>
  <c r="D40" i="6"/>
  <c r="C40" i="6" s="1"/>
  <c r="G40" i="6" s="1"/>
  <c r="AD36" i="4"/>
  <c r="AM32" i="5"/>
  <c r="AL32" i="5"/>
  <c r="AH32" i="5" s="1"/>
  <c r="AG32" i="5" s="1"/>
  <c r="AK32" i="5"/>
  <c r="G14" i="6"/>
  <c r="AP32" i="5"/>
  <c r="E14" i="6" s="1"/>
  <c r="E42" i="6" s="1"/>
  <c r="AO32" i="5" l="1"/>
  <c r="F13" i="6"/>
  <c r="C21" i="6"/>
  <c r="D21" i="6"/>
  <c r="M37" i="4"/>
  <c r="K37" i="4"/>
  <c r="L37" i="4" s="1"/>
  <c r="H37" i="4" s="1"/>
  <c r="G37" i="4" s="1"/>
  <c r="F38" i="4" s="1"/>
  <c r="P37" i="4"/>
  <c r="O37" i="4" s="1"/>
  <c r="F14" i="6"/>
  <c r="C22" i="6"/>
  <c r="D22" i="6"/>
  <c r="C14" i="6"/>
  <c r="D42" i="6" s="1"/>
  <c r="C42" i="6" s="1"/>
  <c r="G42" i="6" s="1"/>
  <c r="AQ32" i="5"/>
  <c r="D14" i="6" s="1"/>
  <c r="F42" i="6" s="1"/>
  <c r="B22" i="6"/>
  <c r="X37" i="4"/>
  <c r="Y37" i="4" s="1"/>
  <c r="U37" i="4" s="1"/>
  <c r="T37" i="4" s="1"/>
  <c r="S38" i="4" s="1"/>
  <c r="Z37" i="4"/>
  <c r="AC37" i="4"/>
  <c r="AB37" i="4" s="1"/>
  <c r="AB32" i="5"/>
  <c r="AK36" i="4"/>
  <c r="AM36" i="4"/>
  <c r="AL36" i="4"/>
  <c r="AH36" i="4" s="1"/>
  <c r="AG36" i="4" s="1"/>
  <c r="AF37" i="4" s="1"/>
  <c r="AP36" i="4"/>
  <c r="AO36" i="4" s="1"/>
  <c r="AQ36" i="4" l="1"/>
  <c r="AD37" i="4"/>
  <c r="Q37" i="4"/>
  <c r="V38" i="4"/>
  <c r="AA38" i="4"/>
  <c r="I38" i="4"/>
  <c r="N38" i="4"/>
  <c r="AN37" i="4"/>
  <c r="AI37" i="4"/>
  <c r="AD32" i="5"/>
  <c r="D13" i="6" s="1"/>
  <c r="F41" i="6" s="1"/>
  <c r="C13" i="6"/>
  <c r="B21" i="6"/>
  <c r="AK37" i="4" l="1"/>
  <c r="AL37" i="4" s="1"/>
  <c r="AH37" i="4" s="1"/>
  <c r="AG37" i="4" s="1"/>
  <c r="AF38" i="4" s="1"/>
  <c r="AM37" i="4"/>
  <c r="AP37" i="4"/>
  <c r="AO37" i="4" s="1"/>
  <c r="M38" i="4"/>
  <c r="K38" i="4"/>
  <c r="L38" i="4"/>
  <c r="H38" i="4" s="1"/>
  <c r="G38" i="4" s="1"/>
  <c r="F39" i="4" s="1"/>
  <c r="P38" i="4"/>
  <c r="O38" i="4" s="1"/>
  <c r="D41" i="6"/>
  <c r="C41" i="6" s="1"/>
  <c r="G41" i="6" s="1"/>
  <c r="E56" i="6" s="1"/>
  <c r="C30" i="6"/>
  <c r="E30" i="6" s="1"/>
  <c r="Z38" i="4"/>
  <c r="X38" i="4"/>
  <c r="Y38" i="4" s="1"/>
  <c r="U38" i="4" s="1"/>
  <c r="T38" i="4" s="1"/>
  <c r="S39" i="4" s="1"/>
  <c r="AC38" i="4"/>
  <c r="AB38" i="4" s="1"/>
  <c r="AD38" i="4" l="1"/>
  <c r="Q38" i="4"/>
  <c r="AQ37" i="4"/>
  <c r="AA39" i="4"/>
  <c r="V39" i="4"/>
  <c r="AN38" i="4"/>
  <c r="AI38" i="4"/>
  <c r="D56" i="6"/>
  <c r="C56" i="6"/>
  <c r="B56" i="6" s="1"/>
  <c r="N39" i="4"/>
  <c r="I39" i="4"/>
  <c r="AM38" i="4" l="1"/>
  <c r="AK38" i="4"/>
  <c r="AL38" i="4" s="1"/>
  <c r="AH38" i="4" s="1"/>
  <c r="AG38" i="4" s="1"/>
  <c r="AF39" i="4" s="1"/>
  <c r="AP38" i="4"/>
  <c r="AO38" i="4" s="1"/>
  <c r="M39" i="4"/>
  <c r="K39" i="4"/>
  <c r="L39" i="4" s="1"/>
  <c r="H39" i="4" s="1"/>
  <c r="G39" i="4" s="1"/>
  <c r="F40" i="4" s="1"/>
  <c r="P39" i="4"/>
  <c r="O39" i="4" s="1"/>
  <c r="X39" i="4"/>
  <c r="Z39" i="4"/>
  <c r="Y39" i="4"/>
  <c r="AC39" i="4"/>
  <c r="AB39" i="4" s="1"/>
  <c r="AD39" i="4" l="1"/>
  <c r="Q39" i="4"/>
  <c r="AQ38" i="4"/>
  <c r="N40" i="4"/>
  <c r="I40" i="4"/>
  <c r="AN39" i="4"/>
  <c r="AI39" i="4"/>
  <c r="U39" i="4"/>
  <c r="T39" i="4" s="1"/>
  <c r="S40" i="4" s="1"/>
  <c r="AA40" i="4" l="1"/>
  <c r="V40" i="4"/>
  <c r="AK39" i="4"/>
  <c r="AL39" i="4" s="1"/>
  <c r="AH39" i="4" s="1"/>
  <c r="AG39" i="4" s="1"/>
  <c r="AF40" i="4" s="1"/>
  <c r="AM39" i="4"/>
  <c r="AP39" i="4"/>
  <c r="AO39" i="4" s="1"/>
  <c r="M40" i="4"/>
  <c r="K40" i="4"/>
  <c r="L40" i="4" s="1"/>
  <c r="H40" i="4" s="1"/>
  <c r="G40" i="4" s="1"/>
  <c r="F41" i="4" s="1"/>
  <c r="P40" i="4"/>
  <c r="O40" i="4" s="1"/>
  <c r="N41" i="4" l="1"/>
  <c r="I41" i="4"/>
  <c r="AQ39" i="4"/>
  <c r="Q40" i="4"/>
  <c r="AN40" i="4"/>
  <c r="AI40" i="4"/>
  <c r="X40" i="4"/>
  <c r="Z40" i="4"/>
  <c r="Y40" i="4"/>
  <c r="U40" i="4" s="1"/>
  <c r="T40" i="4" s="1"/>
  <c r="S41" i="4" s="1"/>
  <c r="AC40" i="4"/>
  <c r="AB40" i="4" s="1"/>
  <c r="AD40" i="4" l="1"/>
  <c r="AA41" i="4"/>
  <c r="V41" i="4"/>
  <c r="K41" i="4"/>
  <c r="L41" i="4"/>
  <c r="H41" i="4" s="1"/>
  <c r="G41" i="4" s="1"/>
  <c r="F42" i="4" s="1"/>
  <c r="M41" i="4"/>
  <c r="P41" i="4"/>
  <c r="O41" i="4" s="1"/>
  <c r="AM40" i="4"/>
  <c r="AK40" i="4"/>
  <c r="AL40" i="4" s="1"/>
  <c r="AH40" i="4" s="1"/>
  <c r="AG40" i="4" s="1"/>
  <c r="AF41" i="4" s="1"/>
  <c r="AP40" i="4"/>
  <c r="AO40" i="4" s="1"/>
  <c r="AQ40" i="4" l="1"/>
  <c r="AN41" i="4"/>
  <c r="AI41" i="4"/>
  <c r="N42" i="4"/>
  <c r="I42" i="4"/>
  <c r="Q41" i="4"/>
  <c r="Z41" i="4"/>
  <c r="X41" i="4"/>
  <c r="Y41" i="4" s="1"/>
  <c r="U41" i="4" s="1"/>
  <c r="T41" i="4" s="1"/>
  <c r="S42" i="4" s="1"/>
  <c r="AC41" i="4"/>
  <c r="AB41" i="4" s="1"/>
  <c r="AD41" i="4" l="1"/>
  <c r="V42" i="4"/>
  <c r="AA42" i="4"/>
  <c r="AM41" i="4"/>
  <c r="AK41" i="4"/>
  <c r="AL41" i="4" s="1"/>
  <c r="AH41" i="4" s="1"/>
  <c r="AG41" i="4" s="1"/>
  <c r="AF42" i="4" s="1"/>
  <c r="AP41" i="4"/>
  <c r="AO41" i="4" s="1"/>
  <c r="M42" i="4"/>
  <c r="K42" i="4"/>
  <c r="L42" i="4" s="1"/>
  <c r="H42" i="4" s="1"/>
  <c r="G42" i="4" s="1"/>
  <c r="F43" i="4" s="1"/>
  <c r="P42" i="4"/>
  <c r="O42" i="4" s="1"/>
  <c r="N43" i="4" l="1"/>
  <c r="I43" i="4"/>
  <c r="AQ41" i="4"/>
  <c r="Q42" i="4"/>
  <c r="AN42" i="4"/>
  <c r="AI42" i="4"/>
  <c r="Z42" i="4"/>
  <c r="X42" i="4"/>
  <c r="Y42" i="4" s="1"/>
  <c r="U42" i="4" s="1"/>
  <c r="T42" i="4" s="1"/>
  <c r="S43" i="4" s="1"/>
  <c r="AC42" i="4"/>
  <c r="AB42" i="4" s="1"/>
  <c r="AD42" i="4" l="1"/>
  <c r="AA43" i="4"/>
  <c r="V43" i="4"/>
  <c r="AM42" i="4"/>
  <c r="AK42" i="4"/>
  <c r="AL42" i="4" s="1"/>
  <c r="AH42" i="4" s="1"/>
  <c r="AG42" i="4" s="1"/>
  <c r="AF43" i="4" s="1"/>
  <c r="AP42" i="4"/>
  <c r="AO42" i="4" s="1"/>
  <c r="M43" i="4"/>
  <c r="K43" i="4"/>
  <c r="L43" i="4" s="1"/>
  <c r="H43" i="4" s="1"/>
  <c r="G43" i="4" s="1"/>
  <c r="F44" i="4" s="1"/>
  <c r="P43" i="4"/>
  <c r="O43" i="4" s="1"/>
  <c r="N44" i="4" l="1"/>
  <c r="I44" i="4"/>
  <c r="AQ42" i="4"/>
  <c r="AN43" i="4"/>
  <c r="AI43" i="4"/>
  <c r="Q43" i="4"/>
  <c r="Z43" i="4"/>
  <c r="X43" i="4"/>
  <c r="Y43" i="4" s="1"/>
  <c r="U43" i="4" s="1"/>
  <c r="T43" i="4" s="1"/>
  <c r="S44" i="4" s="1"/>
  <c r="AC43" i="4"/>
  <c r="AB43" i="4" s="1"/>
  <c r="AD43" i="4" l="1"/>
  <c r="V44" i="4"/>
  <c r="AA44" i="4"/>
  <c r="AM43" i="4"/>
  <c r="AK43" i="4"/>
  <c r="AL43" i="4" s="1"/>
  <c r="AH43" i="4" s="1"/>
  <c r="AG43" i="4" s="1"/>
  <c r="AF44" i="4" s="1"/>
  <c r="AP43" i="4"/>
  <c r="AO43" i="4" s="1"/>
  <c r="M44" i="4"/>
  <c r="K44" i="4"/>
  <c r="L44" i="4" s="1"/>
  <c r="H44" i="4" s="1"/>
  <c r="G44" i="4" s="1"/>
  <c r="F45" i="4" s="1"/>
  <c r="P44" i="4"/>
  <c r="O44" i="4" s="1"/>
  <c r="N45" i="4" l="1"/>
  <c r="I45" i="4"/>
  <c r="AQ43" i="4"/>
  <c r="AN44" i="4"/>
  <c r="AI44" i="4"/>
  <c r="Q44" i="4"/>
  <c r="X44" i="4"/>
  <c r="Y44" i="4" s="1"/>
  <c r="U44" i="4" s="1"/>
  <c r="T44" i="4" s="1"/>
  <c r="S45" i="4" s="1"/>
  <c r="Z44" i="4"/>
  <c r="AC44" i="4"/>
  <c r="AB44" i="4" s="1"/>
  <c r="AD44" i="4" l="1"/>
  <c r="V45" i="4"/>
  <c r="AA45" i="4"/>
  <c r="AK44" i="4"/>
  <c r="AM44" i="4"/>
  <c r="AL44" i="4"/>
  <c r="AH44" i="4" s="1"/>
  <c r="AG44" i="4" s="1"/>
  <c r="AF45" i="4" s="1"/>
  <c r="AP44" i="4"/>
  <c r="AO44" i="4" s="1"/>
  <c r="K45" i="4"/>
  <c r="M45" i="4"/>
  <c r="L45" i="4"/>
  <c r="H45" i="4" s="1"/>
  <c r="G45" i="4" s="1"/>
  <c r="F46" i="4" s="1"/>
  <c r="P45" i="4"/>
  <c r="O45" i="4" s="1"/>
  <c r="Q45" i="4" l="1"/>
  <c r="AQ44" i="4"/>
  <c r="N46" i="4"/>
  <c r="I46" i="4"/>
  <c r="AI45" i="4"/>
  <c r="AN45" i="4"/>
  <c r="Z45" i="4"/>
  <c r="X45" i="4"/>
  <c r="Y45" i="4" s="1"/>
  <c r="U45" i="4" s="1"/>
  <c r="T45" i="4" s="1"/>
  <c r="S46" i="4" s="1"/>
  <c r="AC45" i="4"/>
  <c r="AB45" i="4" s="1"/>
  <c r="AD45" i="4" l="1"/>
  <c r="V46" i="4"/>
  <c r="AA46" i="4"/>
  <c r="M46" i="4"/>
  <c r="K46" i="4"/>
  <c r="L46" i="4" s="1"/>
  <c r="H46" i="4" s="1"/>
  <c r="G46" i="4" s="1"/>
  <c r="F47" i="4" s="1"/>
  <c r="P46" i="4"/>
  <c r="O46" i="4" s="1"/>
  <c r="AK45" i="4"/>
  <c r="AL45" i="4" s="1"/>
  <c r="AH45" i="4" s="1"/>
  <c r="AG45" i="4" s="1"/>
  <c r="AF46" i="4" s="1"/>
  <c r="AM45" i="4"/>
  <c r="AP45" i="4"/>
  <c r="AO45" i="4" s="1"/>
  <c r="AN46" i="4" l="1"/>
  <c r="AI46" i="4"/>
  <c r="AQ45" i="4"/>
  <c r="Q46" i="4"/>
  <c r="N47" i="4"/>
  <c r="I47" i="4"/>
  <c r="X46" i="4"/>
  <c r="Z46" i="4"/>
  <c r="Y46" i="4"/>
  <c r="U46" i="4" s="1"/>
  <c r="T46" i="4" s="1"/>
  <c r="S47" i="4" s="1"/>
  <c r="AC46" i="4"/>
  <c r="AB46" i="4" s="1"/>
  <c r="AD46" i="4" l="1"/>
  <c r="AA47" i="4"/>
  <c r="V47" i="4"/>
  <c r="M47" i="4"/>
  <c r="K47" i="4"/>
  <c r="L47" i="4" s="1"/>
  <c r="H47" i="4" s="1"/>
  <c r="G47" i="4" s="1"/>
  <c r="F48" i="4" s="1"/>
  <c r="P47" i="4"/>
  <c r="O47" i="4" s="1"/>
  <c r="AM46" i="4"/>
  <c r="AK46" i="4"/>
  <c r="AL46" i="4" s="1"/>
  <c r="AH46" i="4" s="1"/>
  <c r="AG46" i="4" s="1"/>
  <c r="AF47" i="4" s="1"/>
  <c r="AP46" i="4"/>
  <c r="AO46" i="4" s="1"/>
  <c r="AI47" i="4" l="1"/>
  <c r="AN47" i="4"/>
  <c r="Q47" i="4"/>
  <c r="I48" i="4"/>
  <c r="N48" i="4"/>
  <c r="AQ46" i="4"/>
  <c r="X47" i="4"/>
  <c r="Y47" i="4" s="1"/>
  <c r="U47" i="4" s="1"/>
  <c r="T47" i="4" s="1"/>
  <c r="S48" i="4" s="1"/>
  <c r="Z47" i="4"/>
  <c r="AC47" i="4"/>
  <c r="AB47" i="4" s="1"/>
  <c r="AD47" i="4" l="1"/>
  <c r="V48" i="4"/>
  <c r="AA48" i="4"/>
  <c r="M48" i="4"/>
  <c r="K48" i="4"/>
  <c r="L48" i="4" s="1"/>
  <c r="H48" i="4" s="1"/>
  <c r="G48" i="4" s="1"/>
  <c r="F49" i="4" s="1"/>
  <c r="P48" i="4"/>
  <c r="O48" i="4" s="1"/>
  <c r="AM47" i="4"/>
  <c r="AK47" i="4"/>
  <c r="AL47" i="4" s="1"/>
  <c r="AH47" i="4" s="1"/>
  <c r="AG47" i="4" s="1"/>
  <c r="AF48" i="4" s="1"/>
  <c r="AP47" i="4"/>
  <c r="AO47" i="4" s="1"/>
  <c r="AN48" i="4" l="1"/>
  <c r="AI48" i="4"/>
  <c r="Q48" i="4"/>
  <c r="I49" i="4"/>
  <c r="N49" i="4"/>
  <c r="AQ47" i="4"/>
  <c r="Z48" i="4"/>
  <c r="X48" i="4"/>
  <c r="Y48" i="4" s="1"/>
  <c r="U48" i="4" s="1"/>
  <c r="T48" i="4" s="1"/>
  <c r="S49" i="4" s="1"/>
  <c r="AC48" i="4"/>
  <c r="AB48" i="4" s="1"/>
  <c r="AD48" i="4" l="1"/>
  <c r="AA49" i="4"/>
  <c r="V49" i="4"/>
  <c r="AK48" i="4"/>
  <c r="AL48" i="4" s="1"/>
  <c r="AH48" i="4" s="1"/>
  <c r="AG48" i="4" s="1"/>
  <c r="AF49" i="4" s="1"/>
  <c r="AM48" i="4"/>
  <c r="AP48" i="4"/>
  <c r="AO48" i="4" s="1"/>
  <c r="M49" i="4"/>
  <c r="K49" i="4"/>
  <c r="L49" i="4" s="1"/>
  <c r="H49" i="4" s="1"/>
  <c r="G49" i="4" s="1"/>
  <c r="F50" i="4" s="1"/>
  <c r="P49" i="4"/>
  <c r="O49" i="4" s="1"/>
  <c r="Q49" i="4" l="1"/>
  <c r="I50" i="4"/>
  <c r="N50" i="4"/>
  <c r="AI49" i="4"/>
  <c r="AN49" i="4"/>
  <c r="AQ48" i="4"/>
  <c r="Z49" i="4"/>
  <c r="X49" i="4"/>
  <c r="Y49" i="4" s="1"/>
  <c r="U49" i="4" s="1"/>
  <c r="T49" i="4" s="1"/>
  <c r="S50" i="4" s="1"/>
  <c r="AC49" i="4"/>
  <c r="AB49" i="4" s="1"/>
  <c r="AD49" i="4" l="1"/>
  <c r="AA50" i="4"/>
  <c r="V50" i="4"/>
  <c r="AK49" i="4"/>
  <c r="AL49" i="4" s="1"/>
  <c r="AH49" i="4" s="1"/>
  <c r="AG49" i="4" s="1"/>
  <c r="AF50" i="4" s="1"/>
  <c r="AM49" i="4"/>
  <c r="AP49" i="4"/>
  <c r="AO49" i="4" s="1"/>
  <c r="M50" i="4"/>
  <c r="K50" i="4"/>
  <c r="P50" i="4"/>
  <c r="O50" i="4" s="1"/>
  <c r="L50" i="4"/>
  <c r="H50" i="4" s="1"/>
  <c r="G50" i="4" s="1"/>
  <c r="F51" i="4" s="1"/>
  <c r="Q50" i="4" l="1"/>
  <c r="AQ49" i="4"/>
  <c r="AI50" i="4"/>
  <c r="AN50" i="4"/>
  <c r="I51" i="4"/>
  <c r="N51" i="4"/>
  <c r="Z50" i="4"/>
  <c r="X50" i="4"/>
  <c r="Y50" i="4" s="1"/>
  <c r="U50" i="4" s="1"/>
  <c r="T50" i="4" s="1"/>
  <c r="S51" i="4" s="1"/>
  <c r="AC50" i="4"/>
  <c r="AB50" i="4" s="1"/>
  <c r="AD50" i="4" l="1"/>
  <c r="AA51" i="4"/>
  <c r="V51" i="4"/>
  <c r="K51" i="4"/>
  <c r="P51" i="4"/>
  <c r="O51" i="4" s="1"/>
  <c r="Q51" i="4" s="1"/>
  <c r="M51" i="4"/>
  <c r="L51" i="4"/>
  <c r="H51" i="4" s="1"/>
  <c r="G51" i="4" s="1"/>
  <c r="AK50" i="4"/>
  <c r="AL50" i="4" s="1"/>
  <c r="AH50" i="4" s="1"/>
  <c r="AG50" i="4" s="1"/>
  <c r="AF51" i="4" s="1"/>
  <c r="AM50" i="4"/>
  <c r="AP50" i="4"/>
  <c r="AO50" i="4" s="1"/>
  <c r="AN51" i="4" l="1"/>
  <c r="AI51" i="4"/>
  <c r="AQ50" i="4"/>
  <c r="X51" i="4"/>
  <c r="Y51" i="4" s="1"/>
  <c r="U51" i="4" s="1"/>
  <c r="T51" i="4" s="1"/>
  <c r="Z51" i="4"/>
  <c r="AC51" i="4"/>
  <c r="AB51" i="4" s="1"/>
  <c r="AD51" i="4" s="1"/>
  <c r="AK51" i="4" l="1"/>
  <c r="AL51" i="4"/>
  <c r="AM51" i="4"/>
  <c r="AP51" i="4"/>
  <c r="AO51" i="4" s="1"/>
  <c r="AQ51" i="4" s="1"/>
  <c r="AH51" i="4" l="1"/>
  <c r="AG51" i="4" s="1"/>
</calcChain>
</file>

<file path=xl/sharedStrings.xml><?xml version="1.0" encoding="utf-8"?>
<sst xmlns="http://schemas.openxmlformats.org/spreadsheetml/2006/main" count="319" uniqueCount="218">
  <si>
    <t>Dungeon Builder Option A archetype simulator</t>
  </si>
  <si>
    <t>How to use</t>
  </si>
  <si>
    <t>1) Go to the Assumptions sheet to review global tuning knobs. Cells with yellow fill are intended to be edited.</t>
  </si>
  <si>
    <t>2) Go to the Archetypes sheet and edit the yellow cells for each archetype. Three archetypes are prefilled: Safe, Balanced, Lethal.</t>
  </si>
  <si>
    <t>3) Use Simulation_48h for hour by hour detail through 48 hours. Use Simulation_7d_6h for the full week at 6 hour steps. Both use Hours online per day from Assumptions.</t>
  </si>
  <si>
    <t>4) Review the KPI sheet for 24 hour, 3 day, and 7 day snapshots plus warning flags.</t>
  </si>
  <si>
    <t>5) If values behave strangely, adjust one knob at a time. The goal is to make optimization matter while keeping heat and upkeep as real pressure.</t>
  </si>
  <si>
    <t>Global assumptions and tuning knobs</t>
  </si>
  <si>
    <t>ECONOMY</t>
  </si>
  <si>
    <t>Core mana per level per minute</t>
  </si>
  <si>
    <t>CoreLevel*2</t>
  </si>
  <si>
    <t>Floor mana per floor per minute</t>
  </si>
  <si>
    <t>ActiveFloors*1</t>
  </si>
  <si>
    <t>Skill spill rate (online)</t>
  </si>
  <si>
    <t>Damage*rate</t>
  </si>
  <si>
    <t>Skill spill retention (offline)</t>
  </si>
  <si>
    <t>Start value, research can raise</t>
  </si>
  <si>
    <t>Negative heat mana efficiency</t>
  </si>
  <si>
    <t>Applies when heat &lt; 0</t>
  </si>
  <si>
    <t>Negative heat death mana factor</t>
  </si>
  <si>
    <t>Multiplier on death mana when heat &lt; 0</t>
  </si>
  <si>
    <t>Hours online per day</t>
  </si>
  <si>
    <t>For the schedule in Simulation</t>
  </si>
  <si>
    <t>Spend percent of usable mana per hour (default)</t>
  </si>
  <si>
    <t>Used if archetype does not override</t>
  </si>
  <si>
    <t>ELITES</t>
  </si>
  <si>
    <t>Base elite party chance</t>
  </si>
  <si>
    <t>Baseline per party</t>
  </si>
  <si>
    <t>Elite chance rating slope</t>
  </si>
  <si>
    <t>Additional chance per rating point</t>
  </si>
  <si>
    <t>No low level monsters bonus</t>
  </si>
  <si>
    <t>Added if NoLowLevelMonsters is Yes</t>
  </si>
  <si>
    <t>Elite chance cap</t>
  </si>
  <si>
    <t>Maximum probability</t>
  </si>
  <si>
    <t>Elite multiplier (death and spill)</t>
  </si>
  <si>
    <t>Locked value</t>
  </si>
  <si>
    <t>HEAT</t>
  </si>
  <si>
    <t>Heat min cap</t>
  </si>
  <si>
    <t>Locked, configurable later</t>
  </si>
  <si>
    <t>Heat gain per normal adventurer death</t>
  </si>
  <si>
    <t>Heat gain per elite adventurer death</t>
  </si>
  <si>
    <t>Multi death bonus heat per party</t>
  </si>
  <si>
    <t>Expected bonus heat per party</t>
  </si>
  <si>
    <t>Passive heat decay per hour (baseline)</t>
  </si>
  <si>
    <t>Always applies</t>
  </si>
  <si>
    <t>Passive heat decay multiplier (research)</t>
  </si>
  <si>
    <t>Set above 1 for research</t>
  </si>
  <si>
    <t>Survival cooling base per full survive run</t>
  </si>
  <si>
    <t>Before depth and party size scaling</t>
  </si>
  <si>
    <t>Survival cooling depth slope</t>
  </si>
  <si>
    <t>Per floor entered</t>
  </si>
  <si>
    <t>Survival cooling party size penalty slope</t>
  </si>
  <si>
    <t>Larger party reduces cooling</t>
  </si>
  <si>
    <t>Loot cooling per 100 loot value extracted</t>
  </si>
  <si>
    <t>Heat reduced per 100 value</t>
  </si>
  <si>
    <t>Heat traffic penalty slope</t>
  </si>
  <si>
    <t>Traffic multiplier = 1 - slope*(heat/50), min 0.10</t>
  </si>
  <si>
    <t>Negative heat traffic bonus at min heat</t>
  </si>
  <si>
    <t>Traffic boost when heat = min cap</t>
  </si>
  <si>
    <t>Negative heat level reduction at min heat</t>
  </si>
  <si>
    <t>Percent reduction to adventurer level when heat = min cap</t>
  </si>
  <si>
    <t>Peace efficiency</t>
  </si>
  <si>
    <t>Heat 0 to 9</t>
  </si>
  <si>
    <t>Notice efficiency</t>
  </si>
  <si>
    <t>Heat 10 to 24</t>
  </si>
  <si>
    <t>Concern efficiency</t>
  </si>
  <si>
    <t>Heat 25 to 49</t>
  </si>
  <si>
    <t>UPKEEP</t>
  </si>
  <si>
    <t>Upkeep base per monster</t>
  </si>
  <si>
    <t>Reserved mana base</t>
  </si>
  <si>
    <t>Upkeep level slope</t>
  </si>
  <si>
    <t>Linear part before threshold</t>
  </si>
  <si>
    <t>Upkeep threshold level</t>
  </si>
  <si>
    <t>After this, exponential growth applies</t>
  </si>
  <si>
    <t>Upkeep exponential rate</t>
  </si>
  <si>
    <t>Per level above threshold</t>
  </si>
  <si>
    <t>Tier 1 multiplier</t>
  </si>
  <si>
    <t>Evolution tier 1</t>
  </si>
  <si>
    <t>Tier 2 multiplier</t>
  </si>
  <si>
    <t>Evolution tier 2</t>
  </si>
  <si>
    <t>Tier 3 multiplier</t>
  </si>
  <si>
    <t>Evolution tier 3</t>
  </si>
  <si>
    <t>Reserved mana safety buffer</t>
  </si>
  <si>
    <t>Optional extra reserved mana</t>
  </si>
  <si>
    <t>LOOT VALUE</t>
  </si>
  <si>
    <t>Tier base value (tier 1)</t>
  </si>
  <si>
    <t>Value for tier index 1</t>
  </si>
  <si>
    <t>Tier growth factor</t>
  </si>
  <si>
    <t>Value multiplier per tier index</t>
  </si>
  <si>
    <t>Rarity multipliers table below</t>
  </si>
  <si>
    <t>Rarity</t>
  </si>
  <si>
    <t>Multiplier</t>
  </si>
  <si>
    <t>Common</t>
  </si>
  <si>
    <t>Uncommon</t>
  </si>
  <si>
    <t>Rare</t>
  </si>
  <si>
    <t>Elite</t>
  </si>
  <si>
    <t>Epic</t>
  </si>
  <si>
    <t>Legendary</t>
  </si>
  <si>
    <t>Adventurer value slope per level (heat)</t>
  </si>
  <si>
    <t>Survival ratio floor for cooling</t>
  </si>
  <si>
    <t>Cooling multiplier below survival floor</t>
  </si>
  <si>
    <t>RESERVES</t>
  </si>
  <si>
    <t>Infrastructure reserve per floor</t>
  </si>
  <si>
    <t>Base reserved mana per floor</t>
  </si>
  <si>
    <t>Infrastructure rating slope</t>
  </si>
  <si>
    <t>Multiplier per rating point</t>
  </si>
  <si>
    <t>Room reset reserve per party</t>
  </si>
  <si>
    <t>Ops reserve per party</t>
  </si>
  <si>
    <t>Room reset depth slope</t>
  </si>
  <si>
    <t>Extra ops reserve per floor depth above 1</t>
  </si>
  <si>
    <t>Loot crafting base reserve per item</t>
  </si>
  <si>
    <t>Reserve per generated loot item (tier 1)</t>
  </si>
  <si>
    <t>Loot crafting tier factor</t>
  </si>
  <si>
    <t>Multiplier per tier index</t>
  </si>
  <si>
    <t>Ops buffer hours</t>
  </si>
  <si>
    <t>Hours of ops capacity reserved</t>
  </si>
  <si>
    <t>Loot buffer hours</t>
  </si>
  <si>
    <t>Hours of loot capacity reserved</t>
  </si>
  <si>
    <t>Infrastructure core slope</t>
  </si>
  <si>
    <t>Multiplier per core level above 1</t>
  </si>
  <si>
    <t>Archetypes side by side inputs and derived values</t>
  </si>
  <si>
    <t>Input or output</t>
  </si>
  <si>
    <t>Safe</t>
  </si>
  <si>
    <t>Balanced</t>
  </si>
  <si>
    <t>Lethal</t>
  </si>
  <si>
    <t>Stage (Early or Mid)</t>
  </si>
  <si>
    <t>Early</t>
  </si>
  <si>
    <t>Mid</t>
  </si>
  <si>
    <t>Core level</t>
  </si>
  <si>
    <t>Active floors</t>
  </si>
  <si>
    <t>Starting total mana</t>
  </si>
  <si>
    <t>Starting heat</t>
  </si>
  <si>
    <t>Dungeon rating (from 25 floor model)</t>
  </si>
  <si>
    <t>No low level monsters (Yes or No)</t>
  </si>
  <si>
    <t>No</t>
  </si>
  <si>
    <t>Yes</t>
  </si>
  <si>
    <t>Base parties per hour</t>
  </si>
  <si>
    <t>Average party size</t>
  </si>
  <si>
    <t>Average adventurer level</t>
  </si>
  <si>
    <t>Average depth reached (highest floor entered)</t>
  </si>
  <si>
    <t>Deaths per party (expected)</t>
  </si>
  <si>
    <t>Full party survival rate</t>
  </si>
  <si>
    <t>Tradeable loot extraction rate</t>
  </si>
  <si>
    <t>Loot tier index</t>
  </si>
  <si>
    <t>Loot rarity</t>
  </si>
  <si>
    <t>Damage per party (normal)</t>
  </si>
  <si>
    <t>Elite party damage multiplier</t>
  </si>
  <si>
    <t>Elite party deaths multiplier</t>
  </si>
  <si>
    <t>Monster count</t>
  </si>
  <si>
    <t>Average monster level</t>
  </si>
  <si>
    <t>Average evolution tier (1 to 3)</t>
  </si>
  <si>
    <t>Other reserved mana (loot, traps, etc.)</t>
  </si>
  <si>
    <t>Spend percent of usable mana per hour</t>
  </si>
  <si>
    <t>Derived outputs</t>
  </si>
  <si>
    <t>Elite party chance</t>
  </si>
  <si>
    <t>Loot value per extracted run</t>
  </si>
  <si>
    <t>Monster upkeep reserved mana</t>
  </si>
  <si>
    <t>Total reserved mana</t>
  </si>
  <si>
    <t>Loot items generated per party</t>
  </si>
  <si>
    <t>Infrastructure reserve</t>
  </si>
  <si>
    <t>Fixed reserved mana (base)</t>
  </si>
  <si>
    <t>Simulation_48h simulation for three archetypes</t>
  </si>
  <si>
    <t>Step start hour</t>
  </si>
  <si>
    <t>Day</t>
  </si>
  <si>
    <t>Hour in day</t>
  </si>
  <si>
    <t>Online (1 or 0)</t>
  </si>
  <si>
    <t>Step hours</t>
  </si>
  <si>
    <t>Heat start</t>
  </si>
  <si>
    <t>Heat end</t>
  </si>
  <si>
    <t>Heat change</t>
  </si>
  <si>
    <t>Parties in step</t>
  </si>
  <si>
    <t>Elite chance</t>
  </si>
  <si>
    <t>Elite parties in step</t>
  </si>
  <si>
    <t>Deaths in step</t>
  </si>
  <si>
    <t>Full survive runs in step</t>
  </si>
  <si>
    <t>Mana gain in step</t>
  </si>
  <si>
    <t>Total mana end</t>
  </si>
  <si>
    <t>Reserved mana</t>
  </si>
  <si>
    <t>Usable mana end</t>
  </si>
  <si>
    <t>Simulation_7d_6h simulation for three archetypes</t>
  </si>
  <si>
    <t>Key snapshots and flags</t>
  </si>
  <si>
    <t>Snapshot hour</t>
  </si>
  <si>
    <t>Archetype</t>
  </si>
  <si>
    <t>Total mana</t>
  </si>
  <si>
    <t>Usable mana</t>
  </si>
  <si>
    <t>Heat</t>
  </si>
  <si>
    <t>Parties (in window)</t>
  </si>
  <si>
    <t>Mana gain (in window)</t>
  </si>
  <si>
    <t>Flags (based on 7 day 6 hour simulation)</t>
  </si>
  <si>
    <t>Reserved exceeds total at any point</t>
  </si>
  <si>
    <t>Heat hits minimum cap</t>
  </si>
  <si>
    <t>Heat enters Concern (&gt;=25)</t>
  </si>
  <si>
    <t>Elite chance &gt; 10%</t>
  </si>
  <si>
    <t>Balance checks (auto flags)</t>
  </si>
  <si>
    <t>Mana dominance</t>
  </si>
  <si>
    <t>Checkpoint (h)</t>
  </si>
  <si>
    <t>Metric</t>
  </si>
  <si>
    <t>Value</t>
  </si>
  <si>
    <t>Threshold</t>
  </si>
  <si>
    <t>Flag</t>
  </si>
  <si>
    <t>Total mana max/min</t>
  </si>
  <si>
    <t>Reserved mana pressure (per archetype at snapshots)</t>
  </si>
  <si>
    <t>Snapshot (h)</t>
  </si>
  <si>
    <t>Reserved %</t>
  </si>
  <si>
    <t>Pressure Flag</t>
  </si>
  <si>
    <t>Estimated mana source mix and elite contribution (steady state approximation)</t>
  </si>
  <si>
    <t>Uses Archetypes inputs and Assumptions. This is for imbalance detection, not final tuning.</t>
  </si>
  <si>
    <t>Passive %</t>
  </si>
  <si>
    <t>Death %</t>
  </si>
  <si>
    <t>Skill spill %</t>
  </si>
  <si>
    <t>Elite mana %</t>
  </si>
  <si>
    <t>Notes/Flags</t>
  </si>
  <si>
    <t>Overall balance verdict</t>
  </si>
  <si>
    <t>Verdict</t>
  </si>
  <si>
    <t>Total flags</t>
  </si>
  <si>
    <t># Dominance flags</t>
  </si>
  <si>
    <t># Pressure flags (checkpoint)</t>
  </si>
  <si>
    <t># Mix/Elite flags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</si>
</sst>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\x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4"/>
      <name val="Calibri"/>
    </font>
    <font>
      <b/>
      <sz val="11"/>
      <color rgb="FFFFFFFF"/>
      <name val="Calibri"/>
    </font>
    <font>
      <sz val="11"/>
      <color rgb="FF0000FF"/>
      <name val="Calibri"/>
    </font>
    <font>
      <b/>
      <sz val="12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5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1" fontId="0" fillId="0" borderId="0" xfId="0" applyNumberFormat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/>
    <xf numFmtId="0" fontId="0" fillId="0" borderId="0" xfId="0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1" fontId="5" fillId="4" borderId="0" xfId="0" applyNumberFormat="1" applyFont="1" applyFill="1" applyAlignment="1">
      <alignment horizontal="center" vertical="center"/>
    </xf>
    <xf numFmtId="2" fontId="5" fillId="4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" fontId="2" fillId="5" borderId="0" xfId="0" applyNumberFormat="1" applyFont="1" applyFill="1" applyAlignment="1">
      <alignment horizontal="center" vertical="center"/>
    </xf>
    <xf numFmtId="2" fontId="2" fillId="5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2" fillId="5" borderId="0" xfId="0" applyNumberFormat="1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7" fillId="0" borderId="0" xfId="0" applyFont="1"/>
    <xf numFmtId="0" fontId="0" fillId="7" borderId="0" xfId="0" applyFill="1"/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</cellXfs>
  <cellStyles count="1">
    <cellStyle name="Normal" xfId="0" builtinId="0"/>
  </cellStyles>
  <dxfs count="32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ont>
        <b/>
        <color rgb="FF9C0006"/>
      </font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Total mana over time (6 hour steps)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Simulation_7d_6h!$O$3</c:f>
              <c:strCache>
                <c:ptCount val="1"/>
                <c:pt idx="0">
                  <c:v>Total mana end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Simulation_7d_6h!$O$4:$O$32</c:f>
              <c:numCache>
                <c:formatCode>0.00</c:formatCode>
                <c:ptCount val="29"/>
                <c:pt idx="0">
                  <c:v>3666.768</c:v>
                </c:pt>
                <c:pt idx="1">
                  <c:v>5792.6234111999993</c:v>
                </c:pt>
                <c:pt idx="2">
                  <c:v>7493.3077401599994</c:v>
                </c:pt>
                <c:pt idx="3">
                  <c:v>8853.8552033279993</c:v>
                </c:pt>
                <c:pt idx="4">
                  <c:v>11025.8125338624</c:v>
                </c:pt>
                <c:pt idx="5">
                  <c:v>11679.859038289918</c:v>
                </c:pt>
                <c:pt idx="6">
                  <c:v>12203.096241831934</c:v>
                </c:pt>
                <c:pt idx="7">
                  <c:v>12621.686004665546</c:v>
                </c:pt>
                <c:pt idx="8">
                  <c:v>14040.077174932438</c:v>
                </c:pt>
                <c:pt idx="9">
                  <c:v>14091.27075114595</c:v>
                </c:pt>
                <c:pt idx="10">
                  <c:v>14132.225612116759</c:v>
                </c:pt>
                <c:pt idx="11">
                  <c:v>14164.989500893407</c:v>
                </c:pt>
                <c:pt idx="12">
                  <c:v>15274.719971914727</c:v>
                </c:pt>
                <c:pt idx="13">
                  <c:v>15078.98498873178</c:v>
                </c:pt>
                <c:pt idx="14">
                  <c:v>14922.397002185424</c:v>
                </c:pt>
                <c:pt idx="15">
                  <c:v>14797.126612948337</c:v>
                </c:pt>
                <c:pt idx="16">
                  <c:v>15780.429661558672</c:v>
                </c:pt>
                <c:pt idx="17">
                  <c:v>15483.552740446938</c:v>
                </c:pt>
                <c:pt idx="18">
                  <c:v>15246.051203557548</c:v>
                </c:pt>
                <c:pt idx="19">
                  <c:v>15056.04997404604</c:v>
                </c:pt>
                <c:pt idx="20">
                  <c:v>15987.568350436833</c:v>
                </c:pt>
                <c:pt idx="21">
                  <c:v>15649.263691549466</c:v>
                </c:pt>
                <c:pt idx="22">
                  <c:v>15378.619964439573</c:v>
                </c:pt>
                <c:pt idx="23">
                  <c:v>15162.104982751658</c:v>
                </c:pt>
                <c:pt idx="24">
                  <c:v>16072.412357401328</c:v>
                </c:pt>
                <c:pt idx="25">
                  <c:v>15717.138897121064</c:v>
                </c:pt>
                <c:pt idx="26">
                  <c:v>15432.920128896851</c:v>
                </c:pt>
                <c:pt idx="27">
                  <c:v>15205.545114317481</c:v>
                </c:pt>
                <c:pt idx="28">
                  <c:v>16107.164462653986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8-4028-B7F5-4524F8F82DF9}"/>
            </c:ext>
          </c:extLst>
        </c:ser>
        <c:ser>
          <c:idx val="1"/>
          <c:order val="1"/>
          <c:tx>
            <c:strRef>
              <c:f>Simulation_7d_6h!$AB$3</c:f>
              <c:strCache>
                <c:ptCount val="1"/>
                <c:pt idx="0">
                  <c:v>Total mana end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Simulation_7d_6h!$AB$4:$AB$32</c:f>
              <c:numCache>
                <c:formatCode>0.00</c:formatCode>
                <c:ptCount val="29"/>
                <c:pt idx="0">
                  <c:v>9142.7939999999999</c:v>
                </c:pt>
                <c:pt idx="1">
                  <c:v>11753.556210000001</c:v>
                </c:pt>
                <c:pt idx="2">
                  <c:v>13711.627867500001</c:v>
                </c:pt>
                <c:pt idx="3">
                  <c:v>15180.181610625003</c:v>
                </c:pt>
                <c:pt idx="4">
                  <c:v>16435.676332968753</c:v>
                </c:pt>
                <c:pt idx="5">
                  <c:v>17223.217959726564</c:v>
                </c:pt>
                <c:pt idx="6">
                  <c:v>17813.874179794922</c:v>
                </c:pt>
                <c:pt idx="7">
                  <c:v>18256.866344846192</c:v>
                </c:pt>
                <c:pt idx="8">
                  <c:v>18743.189883634645</c:v>
                </c:pt>
                <c:pt idx="9">
                  <c:v>18953.853122725985</c:v>
                </c:pt>
                <c:pt idx="10">
                  <c:v>19111.850552044489</c:v>
                </c:pt>
                <c:pt idx="11">
                  <c:v>19230.348624033366</c:v>
                </c:pt>
                <c:pt idx="12">
                  <c:v>19473.301593025026</c:v>
                </c:pt>
                <c:pt idx="13">
                  <c:v>19501.436904768769</c:v>
                </c:pt>
                <c:pt idx="14">
                  <c:v>19522.538388576577</c:v>
                </c:pt>
                <c:pt idx="15">
                  <c:v>19538.364501432432</c:v>
                </c:pt>
                <c:pt idx="16">
                  <c:v>19704.313501074324</c:v>
                </c:pt>
                <c:pt idx="17">
                  <c:v>19674.695835805742</c:v>
                </c:pt>
                <c:pt idx="18">
                  <c:v>19652.482586854305</c:v>
                </c:pt>
                <c:pt idx="19">
                  <c:v>19635.82265014073</c:v>
                </c:pt>
                <c:pt idx="20">
                  <c:v>19777.407112605546</c:v>
                </c:pt>
                <c:pt idx="21">
                  <c:v>19729.516044454158</c:v>
                </c:pt>
                <c:pt idx="22">
                  <c:v>19693.597743340619</c:v>
                </c:pt>
                <c:pt idx="23">
                  <c:v>19666.659017505463</c:v>
                </c:pt>
                <c:pt idx="24">
                  <c:v>19800.534388129097</c:v>
                </c:pt>
                <c:pt idx="25">
                  <c:v>19746.861501096824</c:v>
                </c:pt>
                <c:pt idx="26">
                  <c:v>19706.606835822618</c:v>
                </c:pt>
                <c:pt idx="27">
                  <c:v>19676.415836866963</c:v>
                </c:pt>
                <c:pt idx="28">
                  <c:v>19807.852002650223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08-4028-B7F5-4524F8F82DF9}"/>
            </c:ext>
          </c:extLst>
        </c:ser>
        <c:ser>
          <c:idx val="2"/>
          <c:order val="2"/>
          <c:tx>
            <c:strRef>
              <c:f>Simulation_7d_6h!$AO$3</c:f>
              <c:strCache>
                <c:ptCount val="1"/>
                <c:pt idx="0">
                  <c:v>Total mana end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Simulation_7d_6h!$AO$4:$AO$32</c:f>
              <c:numCache>
                <c:formatCode>0.00</c:formatCode>
                <c:ptCount val="29"/>
                <c:pt idx="0">
                  <c:v>15034.867199999997</c:v>
                </c:pt>
                <c:pt idx="1">
                  <c:v>20672.687699999995</c:v>
                </c:pt>
                <c:pt idx="2">
                  <c:v>24649.795934687998</c:v>
                </c:pt>
                <c:pt idx="3">
                  <c:v>27433.771698969598</c:v>
                </c:pt>
                <c:pt idx="4">
                  <c:v>29781.769983966718</c:v>
                </c:pt>
                <c:pt idx="5">
                  <c:v>31026.153533464705</c:v>
                </c:pt>
                <c:pt idx="6">
                  <c:v>31897.222018113294</c:v>
                </c:pt>
                <c:pt idx="7">
                  <c:v>32506.96995736731</c:v>
                </c:pt>
                <c:pt idx="8">
                  <c:v>33333.008764845115</c:v>
                </c:pt>
                <c:pt idx="9">
                  <c:v>33512.020680079586</c:v>
                </c:pt>
                <c:pt idx="10">
                  <c:v>33637.329020743709</c:v>
                </c:pt>
                <c:pt idx="11">
                  <c:v>33725.044859208603</c:v>
                </c:pt>
                <c:pt idx="12">
                  <c:v>34185.661196134024</c:v>
                </c:pt>
                <c:pt idx="13">
                  <c:v>34108.877381981816</c:v>
                </c:pt>
                <c:pt idx="14">
                  <c:v>34055.128712075275</c:v>
                </c:pt>
                <c:pt idx="15">
                  <c:v>34017.504643140695</c:v>
                </c:pt>
                <c:pt idx="16">
                  <c:v>34390.38304488649</c:v>
                </c:pt>
                <c:pt idx="17">
                  <c:v>34252.182676108547</c:v>
                </c:pt>
                <c:pt idx="18">
                  <c:v>34155.442417963983</c:v>
                </c:pt>
                <c:pt idx="19">
                  <c:v>34087.724237262788</c:v>
                </c:pt>
                <c:pt idx="20">
                  <c:v>34439.536760771953</c:v>
                </c:pt>
                <c:pt idx="21">
                  <c:v>34286.590277228373</c:v>
                </c:pt>
                <c:pt idx="22">
                  <c:v>34179.527738747864</c:v>
                </c:pt>
                <c:pt idx="23">
                  <c:v>34104.583961811506</c:v>
                </c:pt>
                <c:pt idx="24">
                  <c:v>34451.338567956052</c:v>
                </c:pt>
                <c:pt idx="25">
                  <c:v>34294.851542257238</c:v>
                </c:pt>
                <c:pt idx="26">
                  <c:v>34185.310624268066</c:v>
                </c:pt>
                <c:pt idx="27">
                  <c:v>34108.631981675651</c:v>
                </c:pt>
                <c:pt idx="28">
                  <c:v>34454.172181860959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08-4028-B7F5-4524F8F82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Heat over time (6 hour steps)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Simulation_7d_6h!$G$3</c:f>
              <c:strCache>
                <c:ptCount val="1"/>
                <c:pt idx="0">
                  <c:v>Heat end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Simulation_7d_6h!$G$4:$G$32</c:f>
              <c:numCache>
                <c:formatCode>0.00</c:formatCode>
                <c:ptCount val="29"/>
                <c:pt idx="0">
                  <c:v>-15</c:v>
                </c:pt>
                <c:pt idx="1">
                  <c:v>-15</c:v>
                </c:pt>
                <c:pt idx="2">
                  <c:v>-15</c:v>
                </c:pt>
                <c:pt idx="3">
                  <c:v>-15</c:v>
                </c:pt>
                <c:pt idx="4">
                  <c:v>-15</c:v>
                </c:pt>
                <c:pt idx="5">
                  <c:v>-15</c:v>
                </c:pt>
                <c:pt idx="6">
                  <c:v>-15</c:v>
                </c:pt>
                <c:pt idx="7">
                  <c:v>-15</c:v>
                </c:pt>
                <c:pt idx="8">
                  <c:v>-15</c:v>
                </c:pt>
                <c:pt idx="9">
                  <c:v>-15</c:v>
                </c:pt>
                <c:pt idx="10">
                  <c:v>-15</c:v>
                </c:pt>
                <c:pt idx="11">
                  <c:v>-15</c:v>
                </c:pt>
                <c:pt idx="12">
                  <c:v>-15</c:v>
                </c:pt>
                <c:pt idx="13">
                  <c:v>-15</c:v>
                </c:pt>
                <c:pt idx="14">
                  <c:v>-15</c:v>
                </c:pt>
                <c:pt idx="15">
                  <c:v>-15</c:v>
                </c:pt>
                <c:pt idx="16">
                  <c:v>-15</c:v>
                </c:pt>
                <c:pt idx="17">
                  <c:v>-15</c:v>
                </c:pt>
                <c:pt idx="18">
                  <c:v>-15</c:v>
                </c:pt>
                <c:pt idx="19">
                  <c:v>-15</c:v>
                </c:pt>
                <c:pt idx="20">
                  <c:v>-15</c:v>
                </c:pt>
                <c:pt idx="21">
                  <c:v>-15</c:v>
                </c:pt>
                <c:pt idx="22">
                  <c:v>-15</c:v>
                </c:pt>
                <c:pt idx="23">
                  <c:v>-15</c:v>
                </c:pt>
                <c:pt idx="24">
                  <c:v>-15</c:v>
                </c:pt>
                <c:pt idx="25">
                  <c:v>-15</c:v>
                </c:pt>
                <c:pt idx="26">
                  <c:v>-15</c:v>
                </c:pt>
                <c:pt idx="27">
                  <c:v>-15</c:v>
                </c:pt>
                <c:pt idx="28">
                  <c:v>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89-47A5-830B-A7553846780B}"/>
            </c:ext>
          </c:extLst>
        </c:ser>
        <c:ser>
          <c:idx val="1"/>
          <c:order val="1"/>
          <c:tx>
            <c:strRef>
              <c:f>Simulation_7d_6h!$T$3</c:f>
              <c:strCache>
                <c:ptCount val="1"/>
                <c:pt idx="0">
                  <c:v>Heat end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Simulation_7d_6h!$T$4:$T$32</c:f>
              <c:numCache>
                <c:formatCode>0.00</c:formatCode>
                <c:ptCount val="29"/>
                <c:pt idx="0">
                  <c:v>151.16458043840001</c:v>
                </c:pt>
                <c:pt idx="1">
                  <c:v>161.88847197440001</c:v>
                </c:pt>
                <c:pt idx="2">
                  <c:v>172.6123635104</c:v>
                </c:pt>
                <c:pt idx="3">
                  <c:v>183.3362550464</c:v>
                </c:pt>
                <c:pt idx="4">
                  <c:v>194.06014658239999</c:v>
                </c:pt>
                <c:pt idx="5">
                  <c:v>204.78403811839999</c:v>
                </c:pt>
                <c:pt idx="6">
                  <c:v>215.50792965439999</c:v>
                </c:pt>
                <c:pt idx="7">
                  <c:v>226.23182119039998</c:v>
                </c:pt>
                <c:pt idx="8">
                  <c:v>236.95571272639998</c:v>
                </c:pt>
                <c:pt idx="9">
                  <c:v>247.67960426239998</c:v>
                </c:pt>
                <c:pt idx="10">
                  <c:v>258.4034957984</c:v>
                </c:pt>
                <c:pt idx="11">
                  <c:v>269.1273873344</c:v>
                </c:pt>
                <c:pt idx="12">
                  <c:v>279.85127887039999</c:v>
                </c:pt>
                <c:pt idx="13">
                  <c:v>290.57517040639999</c:v>
                </c:pt>
                <c:pt idx="14">
                  <c:v>301.29906194239999</c:v>
                </c:pt>
                <c:pt idx="15">
                  <c:v>312.02295347839998</c:v>
                </c:pt>
                <c:pt idx="16">
                  <c:v>322.74684501439998</c:v>
                </c:pt>
                <c:pt idx="17">
                  <c:v>333.47073655039998</c:v>
                </c:pt>
                <c:pt idx="18">
                  <c:v>344.19462808639997</c:v>
                </c:pt>
                <c:pt idx="19">
                  <c:v>354.91851962239997</c:v>
                </c:pt>
                <c:pt idx="20">
                  <c:v>365.64241115839997</c:v>
                </c:pt>
                <c:pt idx="21">
                  <c:v>376.36630269439996</c:v>
                </c:pt>
                <c:pt idx="22">
                  <c:v>387.09019423039996</c:v>
                </c:pt>
                <c:pt idx="23">
                  <c:v>397.81408576639996</c:v>
                </c:pt>
                <c:pt idx="24">
                  <c:v>408.53797730239995</c:v>
                </c:pt>
                <c:pt idx="25">
                  <c:v>419.26186883839995</c:v>
                </c:pt>
                <c:pt idx="26">
                  <c:v>429.98576037439994</c:v>
                </c:pt>
                <c:pt idx="27">
                  <c:v>440.70965191039994</c:v>
                </c:pt>
                <c:pt idx="28">
                  <c:v>451.43354344639994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89-47A5-830B-A7553846780B}"/>
            </c:ext>
          </c:extLst>
        </c:ser>
        <c:ser>
          <c:idx val="2"/>
          <c:order val="2"/>
          <c:tx>
            <c:strRef>
              <c:f>Simulation_7d_6h!$AG$3</c:f>
              <c:strCache>
                <c:ptCount val="1"/>
                <c:pt idx="0">
                  <c:v>Heat end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Simulation_7d_6h!$AG$4:$AG$32</c:f>
              <c:numCache>
                <c:formatCode>0.00</c:formatCode>
                <c:ptCount val="29"/>
                <c:pt idx="0">
                  <c:v>323.49338784548576</c:v>
                </c:pt>
                <c:pt idx="1">
                  <c:v>356.37306929005717</c:v>
                </c:pt>
                <c:pt idx="2">
                  <c:v>389.25275073462859</c:v>
                </c:pt>
                <c:pt idx="3">
                  <c:v>422.13243217920001</c:v>
                </c:pt>
                <c:pt idx="4">
                  <c:v>455.01211362377143</c:v>
                </c:pt>
                <c:pt idx="5">
                  <c:v>487.89179506834284</c:v>
                </c:pt>
                <c:pt idx="6">
                  <c:v>520.77147651291432</c:v>
                </c:pt>
                <c:pt idx="7">
                  <c:v>553.65115795748579</c:v>
                </c:pt>
                <c:pt idx="8">
                  <c:v>586.53083940205727</c:v>
                </c:pt>
                <c:pt idx="9">
                  <c:v>619.41052084662874</c:v>
                </c:pt>
                <c:pt idx="10">
                  <c:v>652.29020229120022</c:v>
                </c:pt>
                <c:pt idx="11">
                  <c:v>685.16988373577169</c:v>
                </c:pt>
                <c:pt idx="12">
                  <c:v>718.04956518034317</c:v>
                </c:pt>
                <c:pt idx="13">
                  <c:v>750.92924662491464</c:v>
                </c:pt>
                <c:pt idx="14">
                  <c:v>783.80892806948611</c:v>
                </c:pt>
                <c:pt idx="15">
                  <c:v>816.68860951405759</c:v>
                </c:pt>
                <c:pt idx="16">
                  <c:v>849.56829095862906</c:v>
                </c:pt>
                <c:pt idx="17">
                  <c:v>882.44797240320054</c:v>
                </c:pt>
                <c:pt idx="18">
                  <c:v>915.32765384777201</c:v>
                </c:pt>
                <c:pt idx="19">
                  <c:v>948.20733529234349</c:v>
                </c:pt>
                <c:pt idx="20">
                  <c:v>981.08701673691496</c:v>
                </c:pt>
                <c:pt idx="21">
                  <c:v>1013.9666981814864</c:v>
                </c:pt>
                <c:pt idx="22">
                  <c:v>1046.8463796260578</c:v>
                </c:pt>
                <c:pt idx="23">
                  <c:v>1079.7260610706292</c:v>
                </c:pt>
                <c:pt idx="24">
                  <c:v>1112.6057425152005</c:v>
                </c:pt>
                <c:pt idx="25">
                  <c:v>1145.4854239597719</c:v>
                </c:pt>
                <c:pt idx="26">
                  <c:v>1178.3651054043432</c:v>
                </c:pt>
                <c:pt idx="27">
                  <c:v>1211.2447868489146</c:v>
                </c:pt>
                <c:pt idx="28">
                  <c:v>1244.124468293486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89-47A5-830B-A7553846780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295275</xdr:colOff>
      <xdr:row>18</xdr:row>
      <xdr:rowOff>361949</xdr:rowOff>
    </xdr:from>
    <xdr:to>
      <xdr:col>19</xdr:col>
      <xdr:colOff>428625</xdr:colOff>
      <xdr:row>28</xdr:row>
      <xdr:rowOff>361949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390524</xdr:colOff>
      <xdr:row>1</xdr:row>
      <xdr:rowOff>9526</xdr:rowOff>
    </xdr:from>
    <xdr:to>
      <xdr:col>19</xdr:col>
      <xdr:colOff>457199</xdr:colOff>
      <xdr:row>18</xdr:row>
      <xdr:rowOff>200026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/>
  </sheetViews>
  <sheetFormatPr defaultRowHeight="15" x14ac:dyDescent="0.25"/>
  <cols>
    <col min="1" max="1" width="110" style="12" customWidth="1"/>
  </cols>
  <sheetData>
    <row r="1" spans="1:1" ht="24" customHeight="1" x14ac:dyDescent="0.35">
      <c r="A1" s="1" t="s">
        <v>0</v>
      </c>
    </row>
    <row r="3" spans="1:1" x14ac:dyDescent="0.25">
      <c r="A3" s="2" t="s">
        <v>1</v>
      </c>
    </row>
    <row r="5" spans="1:1" x14ac:dyDescent="0.25">
      <c r="A5" s="13" t="s">
        <v>2</v>
      </c>
    </row>
    <row r="6" spans="1:1" ht="30" customHeight="1" x14ac:dyDescent="0.25">
      <c r="A6" s="13" t="s">
        <v>3</v>
      </c>
    </row>
    <row r="7" spans="1:1" ht="30" customHeight="1" x14ac:dyDescent="0.25">
      <c r="A7" s="13" t="s">
        <v>4</v>
      </c>
    </row>
    <row r="8" spans="1:1" x14ac:dyDescent="0.25">
      <c r="A8" s="13" t="s">
        <v>5</v>
      </c>
    </row>
    <row r="9" spans="1:1" ht="30" customHeight="1" x14ac:dyDescent="0.25">
      <c r="A9" s="1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3"/>
  <sheetViews>
    <sheetView tabSelected="1" workbookViewId="0">
      <selection activeCell="D10" sqref="D10"/>
    </sheetView>
  </sheetViews>
  <sheetFormatPr defaultRowHeight="15" x14ac:dyDescent="0.25"/>
  <cols>
    <col min="1" max="1" width="42" style="12" customWidth="1"/>
    <col min="2" max="2" width="18" style="22" customWidth="1"/>
    <col min="3" max="3" width="64" style="12" customWidth="1"/>
  </cols>
  <sheetData>
    <row r="1" spans="1:3" x14ac:dyDescent="0.25">
      <c r="A1" s="34" t="s">
        <v>7</v>
      </c>
      <c r="B1" s="32"/>
      <c r="C1" s="33"/>
    </row>
    <row r="3" spans="1:3" x14ac:dyDescent="0.25">
      <c r="A3" s="31" t="s">
        <v>8</v>
      </c>
      <c r="B3" s="32"/>
      <c r="C3" s="33"/>
    </row>
    <row r="4" spans="1:3" x14ac:dyDescent="0.25">
      <c r="A4" s="13" t="s">
        <v>9</v>
      </c>
      <c r="B4" s="15">
        <v>1.5</v>
      </c>
      <c r="C4" s="13" t="s">
        <v>10</v>
      </c>
    </row>
    <row r="5" spans="1:3" x14ac:dyDescent="0.25">
      <c r="A5" s="13" t="s">
        <v>11</v>
      </c>
      <c r="B5" s="15">
        <v>1</v>
      </c>
      <c r="C5" s="13" t="s">
        <v>12</v>
      </c>
    </row>
    <row r="6" spans="1:3" x14ac:dyDescent="0.25">
      <c r="A6" s="13" t="s">
        <v>13</v>
      </c>
      <c r="B6" s="16">
        <v>0.15</v>
      </c>
      <c r="C6" s="13" t="s">
        <v>14</v>
      </c>
    </row>
    <row r="7" spans="1:3" x14ac:dyDescent="0.25">
      <c r="A7" s="13" t="s">
        <v>15</v>
      </c>
      <c r="B7" s="16">
        <v>0.3</v>
      </c>
      <c r="C7" s="13" t="s">
        <v>16</v>
      </c>
    </row>
    <row r="8" spans="1:3" x14ac:dyDescent="0.25">
      <c r="A8" s="13" t="s">
        <v>17</v>
      </c>
      <c r="B8" s="16">
        <v>1.1000000000000001</v>
      </c>
      <c r="C8" s="13" t="s">
        <v>18</v>
      </c>
    </row>
    <row r="9" spans="1:3" x14ac:dyDescent="0.25">
      <c r="A9" s="13" t="s">
        <v>19</v>
      </c>
      <c r="B9" s="16">
        <v>0.8</v>
      </c>
      <c r="C9" s="13" t="s">
        <v>20</v>
      </c>
    </row>
    <row r="10" spans="1:3" x14ac:dyDescent="0.25">
      <c r="A10" s="13" t="s">
        <v>21</v>
      </c>
      <c r="B10" s="15">
        <v>2</v>
      </c>
      <c r="C10" s="13" t="s">
        <v>22</v>
      </c>
    </row>
    <row r="11" spans="1:3" ht="30" customHeight="1" x14ac:dyDescent="0.25">
      <c r="A11" s="13" t="s">
        <v>23</v>
      </c>
      <c r="B11" s="16">
        <v>0.2</v>
      </c>
      <c r="C11" s="13" t="s">
        <v>24</v>
      </c>
    </row>
    <row r="12" spans="1:3" x14ac:dyDescent="0.25">
      <c r="A12" s="13"/>
      <c r="C12" s="13"/>
    </row>
    <row r="13" spans="1:3" x14ac:dyDescent="0.25">
      <c r="A13" s="31" t="s">
        <v>25</v>
      </c>
      <c r="B13" s="32"/>
      <c r="C13" s="33"/>
    </row>
    <row r="14" spans="1:3" x14ac:dyDescent="0.25">
      <c r="A14" s="13" t="s">
        <v>26</v>
      </c>
      <c r="B14" s="16">
        <v>0.01</v>
      </c>
      <c r="C14" s="13" t="s">
        <v>27</v>
      </c>
    </row>
    <row r="15" spans="1:3" x14ac:dyDescent="0.25">
      <c r="A15" s="13" t="s">
        <v>28</v>
      </c>
      <c r="B15" s="16">
        <v>2.0000000000000001E-4</v>
      </c>
      <c r="C15" s="13" t="s">
        <v>29</v>
      </c>
    </row>
    <row r="16" spans="1:3" x14ac:dyDescent="0.25">
      <c r="A16" s="13" t="s">
        <v>30</v>
      </c>
      <c r="B16" s="16">
        <v>0.05</v>
      </c>
      <c r="C16" s="13" t="s">
        <v>31</v>
      </c>
    </row>
    <row r="17" spans="1:3" x14ac:dyDescent="0.25">
      <c r="A17" s="13" t="s">
        <v>32</v>
      </c>
      <c r="B17" s="16">
        <v>0.8</v>
      </c>
      <c r="C17" s="13" t="s">
        <v>33</v>
      </c>
    </row>
    <row r="18" spans="1:3" x14ac:dyDescent="0.25">
      <c r="A18" s="13" t="s">
        <v>34</v>
      </c>
      <c r="B18" s="16">
        <v>2.5</v>
      </c>
      <c r="C18" s="13" t="s">
        <v>35</v>
      </c>
    </row>
    <row r="19" spans="1:3" x14ac:dyDescent="0.25">
      <c r="A19" s="13"/>
      <c r="C19" s="13"/>
    </row>
    <row r="20" spans="1:3" x14ac:dyDescent="0.25">
      <c r="A20" s="31" t="s">
        <v>36</v>
      </c>
      <c r="B20" s="32"/>
      <c r="C20" s="33"/>
    </row>
    <row r="21" spans="1:3" x14ac:dyDescent="0.25">
      <c r="A21" s="13" t="s">
        <v>37</v>
      </c>
      <c r="B21" s="15">
        <v>-15</v>
      </c>
      <c r="C21" s="13" t="s">
        <v>38</v>
      </c>
    </row>
    <row r="22" spans="1:3" x14ac:dyDescent="0.25">
      <c r="A22" s="13" t="s">
        <v>39</v>
      </c>
      <c r="B22" s="15">
        <v>1</v>
      </c>
      <c r="C22" s="13"/>
    </row>
    <row r="23" spans="1:3" x14ac:dyDescent="0.25">
      <c r="A23" s="13" t="s">
        <v>40</v>
      </c>
      <c r="B23" s="15">
        <v>3</v>
      </c>
      <c r="C23" s="13"/>
    </row>
    <row r="24" spans="1:3" x14ac:dyDescent="0.25">
      <c r="A24" s="13" t="s">
        <v>41</v>
      </c>
      <c r="B24" s="16">
        <v>0.1</v>
      </c>
      <c r="C24" s="13" t="s">
        <v>42</v>
      </c>
    </row>
    <row r="25" spans="1:3" x14ac:dyDescent="0.25">
      <c r="A25" s="13" t="s">
        <v>43</v>
      </c>
      <c r="B25" s="16">
        <v>0.15</v>
      </c>
      <c r="C25" s="13" t="s">
        <v>44</v>
      </c>
    </row>
    <row r="26" spans="1:3" x14ac:dyDescent="0.25">
      <c r="A26" s="13" t="s">
        <v>45</v>
      </c>
      <c r="B26" s="16">
        <v>1</v>
      </c>
      <c r="C26" s="13" t="s">
        <v>46</v>
      </c>
    </row>
    <row r="27" spans="1:3" x14ac:dyDescent="0.25">
      <c r="A27" s="13" t="s">
        <v>47</v>
      </c>
      <c r="B27" s="16">
        <v>0.4</v>
      </c>
      <c r="C27" s="13" t="s">
        <v>48</v>
      </c>
    </row>
    <row r="28" spans="1:3" x14ac:dyDescent="0.25">
      <c r="A28" s="13" t="s">
        <v>49</v>
      </c>
      <c r="B28" s="16">
        <v>0.15</v>
      </c>
      <c r="C28" s="13" t="s">
        <v>50</v>
      </c>
    </row>
    <row r="29" spans="1:3" x14ac:dyDescent="0.25">
      <c r="A29" s="13" t="s">
        <v>51</v>
      </c>
      <c r="B29" s="16">
        <v>0.1</v>
      </c>
      <c r="C29" s="13" t="s">
        <v>52</v>
      </c>
    </row>
    <row r="30" spans="1:3" x14ac:dyDescent="0.25">
      <c r="A30" s="13" t="s">
        <v>53</v>
      </c>
      <c r="B30" s="16">
        <v>0.1</v>
      </c>
      <c r="C30" s="13" t="s">
        <v>54</v>
      </c>
    </row>
    <row r="31" spans="1:3" x14ac:dyDescent="0.25">
      <c r="A31" s="13" t="s">
        <v>55</v>
      </c>
      <c r="B31" s="16">
        <v>0.6</v>
      </c>
      <c r="C31" s="13" t="s">
        <v>56</v>
      </c>
    </row>
    <row r="32" spans="1:3" x14ac:dyDescent="0.25">
      <c r="A32" s="13" t="s">
        <v>57</v>
      </c>
      <c r="B32" s="16">
        <v>0.4</v>
      </c>
      <c r="C32" s="13" t="s">
        <v>58</v>
      </c>
    </row>
    <row r="33" spans="1:3" x14ac:dyDescent="0.25">
      <c r="A33" s="13" t="s">
        <v>59</v>
      </c>
      <c r="B33" s="16">
        <v>0.4</v>
      </c>
      <c r="C33" s="13" t="s">
        <v>60</v>
      </c>
    </row>
    <row r="34" spans="1:3" x14ac:dyDescent="0.25">
      <c r="A34" s="13" t="s">
        <v>61</v>
      </c>
      <c r="B34" s="16">
        <v>1</v>
      </c>
      <c r="C34" s="13" t="s">
        <v>62</v>
      </c>
    </row>
    <row r="35" spans="1:3" x14ac:dyDescent="0.25">
      <c r="A35" s="13" t="s">
        <v>63</v>
      </c>
      <c r="B35" s="16">
        <v>0.95</v>
      </c>
      <c r="C35" s="13" t="s">
        <v>64</v>
      </c>
    </row>
    <row r="36" spans="1:3" x14ac:dyDescent="0.25">
      <c r="A36" s="13" t="s">
        <v>65</v>
      </c>
      <c r="B36" s="16">
        <v>0.85</v>
      </c>
      <c r="C36" s="13" t="s">
        <v>66</v>
      </c>
    </row>
    <row r="37" spans="1:3" x14ac:dyDescent="0.25">
      <c r="A37" s="35"/>
      <c r="B37" s="32"/>
      <c r="C37" s="33"/>
    </row>
    <row r="38" spans="1:3" x14ac:dyDescent="0.25">
      <c r="A38" s="11" t="s">
        <v>67</v>
      </c>
    </row>
    <row r="39" spans="1:3" x14ac:dyDescent="0.25">
      <c r="A39" s="13" t="s">
        <v>68</v>
      </c>
      <c r="B39" s="16">
        <v>5</v>
      </c>
      <c r="C39" s="13" t="s">
        <v>69</v>
      </c>
    </row>
    <row r="40" spans="1:3" x14ac:dyDescent="0.25">
      <c r="A40" s="13" t="s">
        <v>70</v>
      </c>
      <c r="B40" s="16">
        <v>0.2</v>
      </c>
      <c r="C40" s="13" t="s">
        <v>71</v>
      </c>
    </row>
    <row r="41" spans="1:3" x14ac:dyDescent="0.25">
      <c r="A41" s="13" t="s">
        <v>72</v>
      </c>
      <c r="B41" s="16">
        <v>10</v>
      </c>
      <c r="C41" s="13" t="s">
        <v>73</v>
      </c>
    </row>
    <row r="42" spans="1:3" x14ac:dyDescent="0.25">
      <c r="A42" s="13" t="s">
        <v>74</v>
      </c>
      <c r="B42" s="16">
        <v>0.1</v>
      </c>
      <c r="C42" s="13" t="s">
        <v>75</v>
      </c>
    </row>
    <row r="43" spans="1:3" x14ac:dyDescent="0.25">
      <c r="A43" s="13" t="s">
        <v>76</v>
      </c>
      <c r="B43" s="16">
        <v>1</v>
      </c>
      <c r="C43" s="13" t="s">
        <v>77</v>
      </c>
    </row>
    <row r="44" spans="1:3" x14ac:dyDescent="0.25">
      <c r="A44" s="13" t="s">
        <v>78</v>
      </c>
      <c r="B44" s="16">
        <v>1.5</v>
      </c>
      <c r="C44" s="13" t="s">
        <v>79</v>
      </c>
    </row>
    <row r="45" spans="1:3" x14ac:dyDescent="0.25">
      <c r="A45" s="13" t="s">
        <v>80</v>
      </c>
      <c r="B45" s="16">
        <v>2.5</v>
      </c>
      <c r="C45" s="13" t="s">
        <v>81</v>
      </c>
    </row>
    <row r="46" spans="1:3" x14ac:dyDescent="0.25">
      <c r="A46" s="13" t="s">
        <v>82</v>
      </c>
      <c r="B46" s="16">
        <v>0</v>
      </c>
      <c r="C46" s="13" t="s">
        <v>83</v>
      </c>
    </row>
    <row r="47" spans="1:3" x14ac:dyDescent="0.25">
      <c r="A47" s="11" t="s">
        <v>84</v>
      </c>
    </row>
    <row r="48" spans="1:3" x14ac:dyDescent="0.25">
      <c r="A48" s="13" t="s">
        <v>85</v>
      </c>
      <c r="B48" s="15">
        <v>10</v>
      </c>
      <c r="C48" s="13" t="s">
        <v>86</v>
      </c>
    </row>
    <row r="49" spans="1:3" x14ac:dyDescent="0.25">
      <c r="A49" s="13" t="s">
        <v>87</v>
      </c>
      <c r="B49" s="16">
        <v>2.2000000000000002</v>
      </c>
      <c r="C49" s="13" t="s">
        <v>88</v>
      </c>
    </row>
    <row r="50" spans="1:3" x14ac:dyDescent="0.25">
      <c r="A50" s="13" t="s">
        <v>89</v>
      </c>
      <c r="C50" s="13"/>
    </row>
    <row r="52" spans="1:3" x14ac:dyDescent="0.25">
      <c r="A52" s="3" t="s">
        <v>90</v>
      </c>
      <c r="B52" s="17" t="s">
        <v>91</v>
      </c>
    </row>
    <row r="53" spans="1:3" x14ac:dyDescent="0.25">
      <c r="A53" s="13" t="s">
        <v>92</v>
      </c>
      <c r="B53" s="16">
        <v>1</v>
      </c>
    </row>
    <row r="54" spans="1:3" x14ac:dyDescent="0.25">
      <c r="A54" s="13" t="s">
        <v>93</v>
      </c>
      <c r="B54" s="16">
        <v>1.4</v>
      </c>
    </row>
    <row r="55" spans="1:3" x14ac:dyDescent="0.25">
      <c r="A55" s="13" t="s">
        <v>94</v>
      </c>
      <c r="B55" s="16">
        <v>2</v>
      </c>
    </row>
    <row r="56" spans="1:3" x14ac:dyDescent="0.25">
      <c r="A56" s="13" t="s">
        <v>95</v>
      </c>
      <c r="B56" s="16">
        <v>3</v>
      </c>
    </row>
    <row r="57" spans="1:3" x14ac:dyDescent="0.25">
      <c r="A57" s="13" t="s">
        <v>96</v>
      </c>
      <c r="B57" s="16">
        <v>4.5</v>
      </c>
    </row>
    <row r="58" spans="1:3" x14ac:dyDescent="0.25">
      <c r="A58" s="13" t="s">
        <v>97</v>
      </c>
      <c r="B58" s="16">
        <v>7</v>
      </c>
    </row>
    <row r="60" spans="1:3" x14ac:dyDescent="0.25">
      <c r="A60" t="s">
        <v>98</v>
      </c>
      <c r="B60" s="22">
        <v>0.05</v>
      </c>
    </row>
    <row r="61" spans="1:3" x14ac:dyDescent="0.25">
      <c r="A61" t="s">
        <v>99</v>
      </c>
      <c r="B61" s="22">
        <v>0.6</v>
      </c>
    </row>
    <row r="62" spans="1:3" x14ac:dyDescent="0.25">
      <c r="A62" t="s">
        <v>100</v>
      </c>
      <c r="B62" s="22">
        <v>0.5</v>
      </c>
    </row>
    <row r="64" spans="1:3" x14ac:dyDescent="0.25">
      <c r="A64" s="29" t="s">
        <v>101</v>
      </c>
    </row>
    <row r="65" spans="1:3" x14ac:dyDescent="0.25">
      <c r="A65" t="s">
        <v>102</v>
      </c>
      <c r="B65" s="42">
        <v>1200</v>
      </c>
      <c r="C65" t="s">
        <v>103</v>
      </c>
    </row>
    <row r="66" spans="1:3" x14ac:dyDescent="0.25">
      <c r="A66" t="s">
        <v>104</v>
      </c>
      <c r="B66" s="42">
        <v>0.01</v>
      </c>
      <c r="C66" t="s">
        <v>105</v>
      </c>
    </row>
    <row r="67" spans="1:3" x14ac:dyDescent="0.25">
      <c r="A67" t="s">
        <v>106</v>
      </c>
      <c r="B67" s="42">
        <v>10</v>
      </c>
      <c r="C67" t="s">
        <v>107</v>
      </c>
    </row>
    <row r="68" spans="1:3" x14ac:dyDescent="0.25">
      <c r="A68" t="s">
        <v>108</v>
      </c>
      <c r="B68" s="42">
        <v>0.2</v>
      </c>
      <c r="C68" t="s">
        <v>109</v>
      </c>
    </row>
    <row r="69" spans="1:3" x14ac:dyDescent="0.25">
      <c r="A69" t="s">
        <v>110</v>
      </c>
      <c r="B69" s="42">
        <v>4</v>
      </c>
      <c r="C69" t="s">
        <v>111</v>
      </c>
    </row>
    <row r="70" spans="1:3" x14ac:dyDescent="0.25">
      <c r="A70" t="s">
        <v>112</v>
      </c>
      <c r="B70" s="42">
        <v>2</v>
      </c>
      <c r="C70" t="s">
        <v>113</v>
      </c>
    </row>
    <row r="71" spans="1:3" x14ac:dyDescent="0.25">
      <c r="A71" t="s">
        <v>114</v>
      </c>
      <c r="B71" s="42">
        <v>3</v>
      </c>
      <c r="C71" t="s">
        <v>115</v>
      </c>
    </row>
    <row r="72" spans="1:3" x14ac:dyDescent="0.25">
      <c r="A72" t="s">
        <v>116</v>
      </c>
      <c r="B72" s="42">
        <v>3</v>
      </c>
      <c r="C72" t="s">
        <v>117</v>
      </c>
    </row>
    <row r="73" spans="1:3" x14ac:dyDescent="0.25">
      <c r="A73" t="s">
        <v>118</v>
      </c>
      <c r="B73" s="42">
        <v>6.0000000000000001E-3</v>
      </c>
      <c r="C73" t="s">
        <v>119</v>
      </c>
    </row>
  </sheetData>
  <mergeCells count="5">
    <mergeCell ref="A13:C13"/>
    <mergeCell ref="A1:C1"/>
    <mergeCell ref="A37:C37"/>
    <mergeCell ref="A3:C3"/>
    <mergeCell ref="A20:C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workbookViewId="0">
      <selection activeCell="E5" sqref="E5"/>
    </sheetView>
  </sheetViews>
  <sheetFormatPr defaultRowHeight="15" x14ac:dyDescent="0.25"/>
  <cols>
    <col min="1" max="1" width="44" style="12" customWidth="1"/>
    <col min="2" max="4" width="18" style="22" customWidth="1"/>
  </cols>
  <sheetData>
    <row r="1" spans="1:5" x14ac:dyDescent="0.25">
      <c r="A1" s="34" t="s">
        <v>120</v>
      </c>
      <c r="B1" s="32"/>
      <c r="C1" s="32"/>
      <c r="D1" s="32"/>
      <c r="E1" s="33"/>
    </row>
    <row r="3" spans="1:5" x14ac:dyDescent="0.25">
      <c r="A3" s="11" t="s">
        <v>121</v>
      </c>
      <c r="B3" s="14" t="s">
        <v>122</v>
      </c>
      <c r="C3" s="14" t="s">
        <v>123</v>
      </c>
      <c r="D3" s="14" t="s">
        <v>124</v>
      </c>
    </row>
    <row r="4" spans="1:5" x14ac:dyDescent="0.25">
      <c r="A4" s="13" t="s">
        <v>125</v>
      </c>
      <c r="B4" s="4" t="s">
        <v>126</v>
      </c>
      <c r="C4" s="4" t="s">
        <v>127</v>
      </c>
      <c r="D4" s="4" t="s">
        <v>127</v>
      </c>
    </row>
    <row r="5" spans="1:5" x14ac:dyDescent="0.25">
      <c r="A5" s="13" t="s">
        <v>128</v>
      </c>
      <c r="B5" s="15">
        <v>1</v>
      </c>
      <c r="C5" s="15">
        <v>5</v>
      </c>
      <c r="D5" s="15">
        <v>8</v>
      </c>
    </row>
    <row r="6" spans="1:5" x14ac:dyDescent="0.25">
      <c r="A6" s="13" t="s">
        <v>129</v>
      </c>
      <c r="B6" s="15">
        <v>1</v>
      </c>
      <c r="C6" s="15">
        <v>3</v>
      </c>
      <c r="D6" s="15">
        <v>5</v>
      </c>
    </row>
    <row r="7" spans="1:5" x14ac:dyDescent="0.25">
      <c r="A7" s="13" t="s">
        <v>130</v>
      </c>
      <c r="B7" s="15">
        <v>0</v>
      </c>
      <c r="C7" s="15">
        <v>0</v>
      </c>
      <c r="D7" s="15">
        <v>0</v>
      </c>
    </row>
    <row r="8" spans="1:5" x14ac:dyDescent="0.25">
      <c r="A8" s="13" t="s">
        <v>131</v>
      </c>
      <c r="B8" s="15">
        <v>0</v>
      </c>
      <c r="C8" s="15">
        <v>5</v>
      </c>
      <c r="D8" s="15">
        <v>15</v>
      </c>
    </row>
    <row r="9" spans="1:5" x14ac:dyDescent="0.25">
      <c r="A9" s="13" t="s">
        <v>132</v>
      </c>
      <c r="B9" s="15">
        <v>60</v>
      </c>
      <c r="C9" s="15">
        <v>140</v>
      </c>
      <c r="D9" s="15">
        <v>220</v>
      </c>
    </row>
    <row r="10" spans="1:5" x14ac:dyDescent="0.25">
      <c r="A10" s="13" t="s">
        <v>133</v>
      </c>
      <c r="B10" s="4" t="s">
        <v>134</v>
      </c>
      <c r="C10" s="4" t="s">
        <v>134</v>
      </c>
      <c r="D10" s="4" t="s">
        <v>135</v>
      </c>
    </row>
    <row r="11" spans="1:5" x14ac:dyDescent="0.25">
      <c r="A11" s="13" t="s">
        <v>136</v>
      </c>
      <c r="B11" s="15">
        <v>10</v>
      </c>
      <c r="C11" s="15">
        <v>6</v>
      </c>
      <c r="D11" s="15">
        <v>3</v>
      </c>
    </row>
    <row r="12" spans="1:5" x14ac:dyDescent="0.25">
      <c r="A12" s="13" t="s">
        <v>137</v>
      </c>
      <c r="B12" s="15">
        <v>2</v>
      </c>
      <c r="C12" s="15">
        <v>4</v>
      </c>
      <c r="D12" s="15">
        <v>5</v>
      </c>
    </row>
    <row r="13" spans="1:5" x14ac:dyDescent="0.25">
      <c r="A13" s="13" t="s">
        <v>138</v>
      </c>
      <c r="B13" s="15">
        <v>6</v>
      </c>
      <c r="C13" s="15">
        <v>12</v>
      </c>
      <c r="D13" s="15">
        <v>18</v>
      </c>
    </row>
    <row r="14" spans="1:5" x14ac:dyDescent="0.25">
      <c r="A14" s="13" t="s">
        <v>139</v>
      </c>
      <c r="B14" s="15">
        <v>2</v>
      </c>
      <c r="C14" s="15">
        <v>3</v>
      </c>
      <c r="D14" s="15">
        <v>4</v>
      </c>
    </row>
    <row r="15" spans="1:5" x14ac:dyDescent="0.25">
      <c r="A15" s="13" t="s">
        <v>140</v>
      </c>
      <c r="B15" s="16">
        <v>0.1</v>
      </c>
      <c r="C15" s="16">
        <v>0.5</v>
      </c>
      <c r="D15" s="16">
        <v>1.5</v>
      </c>
    </row>
    <row r="16" spans="1:5" x14ac:dyDescent="0.25">
      <c r="A16" s="13" t="s">
        <v>141</v>
      </c>
      <c r="B16" s="16">
        <v>0.75</v>
      </c>
      <c r="C16" s="16">
        <v>0.45</v>
      </c>
      <c r="D16" s="16">
        <v>0.2</v>
      </c>
    </row>
    <row r="17" spans="1:4" x14ac:dyDescent="0.25">
      <c r="A17" s="13" t="s">
        <v>142</v>
      </c>
      <c r="B17" s="16">
        <v>0.9</v>
      </c>
      <c r="C17" s="16">
        <v>0.7</v>
      </c>
      <c r="D17" s="16">
        <v>0.4</v>
      </c>
    </row>
    <row r="18" spans="1:4" x14ac:dyDescent="0.25">
      <c r="A18" s="13" t="s">
        <v>143</v>
      </c>
      <c r="B18" s="15">
        <v>1</v>
      </c>
      <c r="C18" s="15">
        <v>2</v>
      </c>
      <c r="D18" s="15">
        <v>3</v>
      </c>
    </row>
    <row r="19" spans="1:4" x14ac:dyDescent="0.25">
      <c r="A19" s="13" t="s">
        <v>144</v>
      </c>
      <c r="B19" s="4" t="s">
        <v>93</v>
      </c>
      <c r="C19" s="4" t="s">
        <v>94</v>
      </c>
      <c r="D19" s="4" t="s">
        <v>95</v>
      </c>
    </row>
    <row r="20" spans="1:4" x14ac:dyDescent="0.25">
      <c r="A20" s="13" t="s">
        <v>145</v>
      </c>
      <c r="B20" s="15">
        <v>1200</v>
      </c>
      <c r="C20" s="15">
        <v>3200</v>
      </c>
      <c r="D20" s="15">
        <v>6500</v>
      </c>
    </row>
    <row r="21" spans="1:4" x14ac:dyDescent="0.25">
      <c r="A21" s="13" t="s">
        <v>146</v>
      </c>
      <c r="B21" s="16">
        <v>2.5</v>
      </c>
      <c r="C21" s="16">
        <v>2.5</v>
      </c>
      <c r="D21" s="16">
        <v>2.5</v>
      </c>
    </row>
    <row r="22" spans="1:4" x14ac:dyDescent="0.25">
      <c r="A22" s="13" t="s">
        <v>147</v>
      </c>
      <c r="B22" s="16">
        <v>1.2</v>
      </c>
      <c r="C22" s="16">
        <v>1.3</v>
      </c>
      <c r="D22" s="16">
        <v>1.4</v>
      </c>
    </row>
    <row r="23" spans="1:4" x14ac:dyDescent="0.25">
      <c r="A23" s="13" t="s">
        <v>148</v>
      </c>
      <c r="B23" s="15">
        <v>12</v>
      </c>
      <c r="C23" s="15">
        <v>20</v>
      </c>
      <c r="D23" s="15">
        <v>28</v>
      </c>
    </row>
    <row r="24" spans="1:4" x14ac:dyDescent="0.25">
      <c r="A24" s="13" t="s">
        <v>149</v>
      </c>
      <c r="B24" s="15">
        <v>4</v>
      </c>
      <c r="C24" s="15">
        <v>10</v>
      </c>
      <c r="D24" s="15">
        <v>16</v>
      </c>
    </row>
    <row r="25" spans="1:4" x14ac:dyDescent="0.25">
      <c r="A25" s="13" t="s">
        <v>150</v>
      </c>
      <c r="B25" s="16">
        <v>1.2</v>
      </c>
      <c r="C25" s="16">
        <v>1.6</v>
      </c>
      <c r="D25" s="16">
        <v>2.1</v>
      </c>
    </row>
    <row r="26" spans="1:4" x14ac:dyDescent="0.25">
      <c r="A26" s="13" t="s">
        <v>151</v>
      </c>
      <c r="B26" s="15">
        <v>0</v>
      </c>
      <c r="C26" s="15">
        <v>25</v>
      </c>
      <c r="D26" s="15">
        <v>60</v>
      </c>
    </row>
    <row r="27" spans="1:4" x14ac:dyDescent="0.25">
      <c r="A27" s="13" t="s">
        <v>152</v>
      </c>
      <c r="B27" s="16">
        <v>0.2</v>
      </c>
      <c r="C27" s="16">
        <v>0.25</v>
      </c>
      <c r="D27" s="16">
        <v>0.3</v>
      </c>
    </row>
    <row r="28" spans="1:4" x14ac:dyDescent="0.25">
      <c r="A28" s="13"/>
    </row>
    <row r="29" spans="1:4" x14ac:dyDescent="0.25">
      <c r="A29" s="36" t="s">
        <v>153</v>
      </c>
      <c r="B29" s="32"/>
      <c r="C29" s="32"/>
      <c r="D29" s="32"/>
    </row>
    <row r="30" spans="1:4" x14ac:dyDescent="0.25">
      <c r="A30" s="5" t="s">
        <v>154</v>
      </c>
      <c r="B30" s="25">
        <f>MIN(Assumptions!$B$17,Assumptions!$B$14+Assumptions!$B$15*B9+IF(B10="Yes",Assumptions!$B$16,0))</f>
        <v>2.1999999999999999E-2</v>
      </c>
      <c r="C30" s="25">
        <f>MIN(Assumptions!$B$17,Assumptions!$B$14+Assumptions!$B$15*C9+IF(C10="Yes",Assumptions!$B$16,0))</f>
        <v>3.7999999999999999E-2</v>
      </c>
      <c r="D30" s="25">
        <f>MIN(Assumptions!$B$17,Assumptions!$B$14+Assumptions!$B$15*D9+IF(D10="Yes",Assumptions!$B$16,0))</f>
        <v>0.10400000000000001</v>
      </c>
    </row>
    <row r="31" spans="1:4" x14ac:dyDescent="0.25">
      <c r="A31" s="5" t="s">
        <v>155</v>
      </c>
      <c r="B31" s="18">
        <f>Assumptions!$B$48*POWER(Assumptions!$B$49,B18-1)*INDEX(Assumptions!$B$53:$B$58,MATCH(B19,Assumptions!$A$53:$A$58,0))</f>
        <v>14</v>
      </c>
      <c r="C31" s="18">
        <f>Assumptions!$B$48*POWER(Assumptions!$B$49,C18-1)*INDEX(Assumptions!$B$53:$B$58,MATCH(C19,Assumptions!$A$53:$A$58,0))</f>
        <v>44</v>
      </c>
      <c r="D31" s="18">
        <f>Assumptions!$B$48*POWER(Assumptions!$B$49,D18-1)*INDEX(Assumptions!$B$53:$B$58,MATCH(D19,Assumptions!$A$53:$A$58,0))</f>
        <v>145.20000000000002</v>
      </c>
    </row>
    <row r="32" spans="1:4" x14ac:dyDescent="0.25">
      <c r="A32" s="5" t="s">
        <v>156</v>
      </c>
      <c r="B32" s="19">
        <f>B23*((Assumptions!$B$39+Assumptions!$B$40*B24)*IF(B24&gt;Assumptions!$B$41,POWER(1+Assumptions!$B$42,B24-Assumptions!$B$41),1))*IF(B25&lt;=2,Assumptions!$B$43+(B25-1)*(Assumptions!$B$44-Assumptions!$B$43),Assumptions!$B$44+(B25-2)*(Assumptions!$B$45-Assumptions!$B$44))</f>
        <v>76.56</v>
      </c>
      <c r="C32" s="19">
        <f>C23*((Assumptions!$B$39+Assumptions!$B$40*C24)*IF(C24&gt;Assumptions!$B$41,POWER(1+Assumptions!$B$42,C24-Assumptions!$B$41),1))*IF(C25&lt;=2,Assumptions!$B$43+(C25-1)*(Assumptions!$B$44-Assumptions!$B$43),Assumptions!$B$44+(C25-2)*(Assumptions!$B$45-Assumptions!$B$44))</f>
        <v>182</v>
      </c>
      <c r="D32" s="19">
        <f>D23*((Assumptions!$B$39+Assumptions!$B$40*D24)*IF(D24&gt;Assumptions!$B$41,POWER(1+Assumptions!$B$42,D24-Assumptions!$B$41),1))*IF(D25&lt;=2,Assumptions!$B$43+(D25-1)*(Assumptions!$B$44-Assumptions!$B$43),Assumptions!$B$44+(D25-2)*(Assumptions!$B$45-Assumptions!$B$44))</f>
        <v>650.80064896000022</v>
      </c>
    </row>
    <row r="33" spans="1:4" x14ac:dyDescent="0.25">
      <c r="A33" s="5" t="s">
        <v>157</v>
      </c>
      <c r="B33" s="19">
        <f>B36</f>
        <v>1996.56</v>
      </c>
      <c r="C33" s="19">
        <f>C36</f>
        <v>9054.3600000000024</v>
      </c>
      <c r="D33" s="19">
        <f>D36</f>
        <v>20717.200648960003</v>
      </c>
    </row>
    <row r="34" spans="1:4" x14ac:dyDescent="0.25">
      <c r="A34" t="s">
        <v>158</v>
      </c>
      <c r="B34" s="30">
        <v>1</v>
      </c>
      <c r="C34" s="30">
        <v>2</v>
      </c>
      <c r="D34" s="30">
        <v>3</v>
      </c>
    </row>
    <row r="35" spans="1:4" x14ac:dyDescent="0.25">
      <c r="A35" t="s">
        <v>159</v>
      </c>
      <c r="B35">
        <f>Assumptions!$B$65*B6*(1+Assumptions!$B$66*B9)*(1+Assumptions!$B$73*(B5-1))</f>
        <v>1920</v>
      </c>
      <c r="C35">
        <f>Assumptions!$B$65*C6*(1+Assumptions!$B$66*C9)*(1+Assumptions!$B$73*(C5-1))</f>
        <v>8847.3600000000024</v>
      </c>
      <c r="D35">
        <f>Assumptions!$B$65*D6*(1+Assumptions!$B$66*D9)*(1+Assumptions!$B$73*(D5-1))</f>
        <v>20006.400000000001</v>
      </c>
    </row>
    <row r="36" spans="1:4" x14ac:dyDescent="0.25">
      <c r="A36" t="s">
        <v>160</v>
      </c>
      <c r="B36">
        <f>B32+B26+B35+Assumptions!$B$46</f>
        <v>1996.56</v>
      </c>
      <c r="C36">
        <f>C32+C26+C35+Assumptions!$B$46</f>
        <v>9054.3600000000024</v>
      </c>
      <c r="D36">
        <f>D32+D26+D35+Assumptions!$B$46</f>
        <v>20717.200648960003</v>
      </c>
    </row>
  </sheetData>
  <mergeCells count="2">
    <mergeCell ref="A29:D29"/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51"/>
  <sheetViews>
    <sheetView topLeftCell="A3" workbookViewId="0">
      <selection activeCell="K17" sqref="K17"/>
    </sheetView>
  </sheetViews>
  <sheetFormatPr defaultRowHeight="15" x14ac:dyDescent="0.25"/>
  <cols>
    <col min="1" max="1" width="12" style="22" customWidth="1"/>
    <col min="2" max="2" width="6" style="22" customWidth="1"/>
    <col min="3" max="3" width="10" style="22" customWidth="1"/>
    <col min="4" max="4" width="12" style="22" customWidth="1"/>
    <col min="5" max="5" width="10" style="22" customWidth="1"/>
    <col min="6" max="17" width="14" style="22" customWidth="1"/>
    <col min="18" max="18" width="9.140625" style="22" customWidth="1"/>
    <col min="19" max="30" width="14" style="22" customWidth="1"/>
    <col min="31" max="31" width="9.140625" style="22" customWidth="1"/>
    <col min="32" max="43" width="14" style="22" customWidth="1"/>
    <col min="44" max="52" width="9.140625" style="22" customWidth="1"/>
  </cols>
  <sheetData>
    <row r="1" spans="1:52" x14ac:dyDescent="0.25">
      <c r="A1" s="38" t="s">
        <v>161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</row>
    <row r="2" spans="1:52" x14ac:dyDescent="0.25">
      <c r="F2" s="37" t="s">
        <v>122</v>
      </c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S2" s="37" t="s">
        <v>123</v>
      </c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F2" s="37" t="s">
        <v>124</v>
      </c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</row>
    <row r="3" spans="1:52" ht="30" customHeight="1" x14ac:dyDescent="0.25">
      <c r="A3" s="14" t="s">
        <v>162</v>
      </c>
      <c r="B3" s="14" t="s">
        <v>163</v>
      </c>
      <c r="C3" s="14" t="s">
        <v>164</v>
      </c>
      <c r="D3" s="14" t="s">
        <v>165</v>
      </c>
      <c r="E3" s="14" t="s">
        <v>166</v>
      </c>
      <c r="F3" s="14" t="s">
        <v>167</v>
      </c>
      <c r="G3" s="14" t="s">
        <v>168</v>
      </c>
      <c r="H3" s="14" t="s">
        <v>169</v>
      </c>
      <c r="I3" s="14" t="s">
        <v>170</v>
      </c>
      <c r="J3" s="14" t="s">
        <v>171</v>
      </c>
      <c r="K3" s="14" t="s">
        <v>172</v>
      </c>
      <c r="L3" s="14" t="s">
        <v>173</v>
      </c>
      <c r="M3" s="14" t="s">
        <v>174</v>
      </c>
      <c r="N3" s="14" t="s">
        <v>175</v>
      </c>
      <c r="O3" s="14" t="s">
        <v>176</v>
      </c>
      <c r="P3" s="14" t="s">
        <v>177</v>
      </c>
      <c r="Q3" s="14" t="s">
        <v>178</v>
      </c>
      <c r="S3" s="14" t="s">
        <v>167</v>
      </c>
      <c r="T3" s="14" t="s">
        <v>168</v>
      </c>
      <c r="U3" s="14" t="s">
        <v>169</v>
      </c>
      <c r="V3" s="14" t="s">
        <v>170</v>
      </c>
      <c r="W3" s="14" t="s">
        <v>171</v>
      </c>
      <c r="X3" s="14" t="s">
        <v>172</v>
      </c>
      <c r="Y3" s="14" t="s">
        <v>173</v>
      </c>
      <c r="Z3" s="14" t="s">
        <v>174</v>
      </c>
      <c r="AA3" s="14" t="s">
        <v>175</v>
      </c>
      <c r="AB3" s="14" t="s">
        <v>176</v>
      </c>
      <c r="AC3" s="14" t="s">
        <v>177</v>
      </c>
      <c r="AD3" s="14" t="s">
        <v>178</v>
      </c>
      <c r="AF3" s="14" t="s">
        <v>167</v>
      </c>
      <c r="AG3" s="14" t="s">
        <v>168</v>
      </c>
      <c r="AH3" s="14" t="s">
        <v>169</v>
      </c>
      <c r="AI3" s="14" t="s">
        <v>170</v>
      </c>
      <c r="AJ3" s="14" t="s">
        <v>171</v>
      </c>
      <c r="AK3" s="14" t="s">
        <v>172</v>
      </c>
      <c r="AL3" s="14" t="s">
        <v>173</v>
      </c>
      <c r="AM3" s="14" t="s">
        <v>174</v>
      </c>
      <c r="AN3" s="14" t="s">
        <v>175</v>
      </c>
      <c r="AO3" s="14" t="s">
        <v>176</v>
      </c>
      <c r="AP3" s="14" t="s">
        <v>177</v>
      </c>
      <c r="AQ3" s="14" t="s">
        <v>178</v>
      </c>
    </row>
    <row r="4" spans="1:52" x14ac:dyDescent="0.25">
      <c r="A4" s="20">
        <v>0</v>
      </c>
      <c r="B4" s="20">
        <f t="shared" ref="B4:B51" si="0">INT(A4/24)+1</f>
        <v>1</v>
      </c>
      <c r="C4" s="20">
        <f t="shared" ref="C4:C51" si="1">MOD(A4,24)</f>
        <v>0</v>
      </c>
      <c r="D4" s="6">
        <f>IF(C4&lt;Assumptions!$B$10,1,0)</f>
        <v>1</v>
      </c>
      <c r="E4" s="6">
        <v>1</v>
      </c>
      <c r="F4" s="21">
        <f>Archetypes!$B$8</f>
        <v>0</v>
      </c>
      <c r="G4" s="21">
        <f>MAX(Assumptions!$B$21,F4+H4)</f>
        <v>-2.0701216363636359</v>
      </c>
      <c r="H4" s="21">
        <f>((L4*(Assumptions!$B$22+((Assumptions!$B$23-Assumptions!$B$22)*IF(I4&gt;0,K4/I4,0)))*(1+Assumptions!$B$60*(Archetypes!$B$13-1)))+IF(L4&gt;I4,I4*Assumptions!$B$24,0)-IF(IF(I4&gt;0,M4/I4,1)&lt;Assumptions!$B$61,((M4*(Assumptions!$B$27*(1+Assumptions!$B$28*(Archetypes!$B$14-1))/(1+Assumptions!$B$29*(Archetypes!$B$12-1))))+(((I4*Archetypes!$B$17*IF(I4&gt;0,M4/I4,1)*Archetypes!$B$31)/100)*Assumptions!$B$30))*Assumptions!$B$62,((M4*(Assumptions!$B$27*(1+Assumptions!$B$28*(Archetypes!$B$14-1))/(1+Assumptions!$B$29*(Archetypes!$B$12-1))))+(((I4*Archetypes!$B$17*IF(I4&gt;0,M4/I4,1)*Archetypes!$B$31)/100)*Assumptions!$B$30)))-(Assumptions!$B$25*Assumptions!$B$26*E4))*E4</f>
        <v>-2.0701216363636359</v>
      </c>
      <c r="I4" s="21">
        <f>(Archetypes!$B$11*(IF(F4&lt;0,1+Assumptions!$B$32*MIN(1,ABS(F4)/ABS(Assumptions!$B$21)),MAX(0.1,1-Assumptions!$B$31*(F4/50)))))*$E4</f>
        <v>10</v>
      </c>
      <c r="J4" s="26">
        <f>Archetypes!$B$30</f>
        <v>2.1999999999999999E-2</v>
      </c>
      <c r="K4" s="21">
        <f t="shared" ref="K4:K51" si="2">I4*J4</f>
        <v>0.21999999999999997</v>
      </c>
      <c r="L4" s="21">
        <f>((I4-K4)*Archetypes!$B$15)+(K4*Archetypes!$B$15*Archetypes!$B$22)</f>
        <v>1.0044</v>
      </c>
      <c r="M4" s="21">
        <f>I4*Archetypes!$B$16</f>
        <v>7.5</v>
      </c>
      <c r="N4" s="21">
        <f>(IF(F4&lt;0,Assumptions!$B$8,IF(F4&lt;10,Assumptions!$B$34,IF(F4&lt;25,Assumptions!$B$35,Assumptions!$B$36))))*((((Archetypes!$B$5*Assumptions!$B$4+Archetypes!$B$6*Assumptions!$B$5)*60))+(Assumptions!$B$6*(((Archetypes!$B$11*(IF(F4&lt;0,1+Assumptions!$B$32*MIN(1,ABS(F4)/ABS(Assumptions!$B$21)),MAX(0.1,1-Assumptions!$B$31*(F4/50)))))-((Archetypes!$B$11*(IF(F4&lt;0,1+Assumptions!$B$32*MIN(1,ABS(F4)/ABS(Assumptions!$B$21)),MAX(0.1,1-Assumptions!$B$31*(F4/50)))))*J4)*Archetypes!$B$20)+((Archetypes!$B$11*(IF(F4&lt;0,1+Assumptions!$B$32*MIN(1,ABS(F4)/ABS(Assumptions!$B$21)),MAX(0.1,1-Assumptions!$B$31*(F4/50)))))*J4*Archetypes!$B$20*Archetypes!$B$21)*Assumptions!$B$18)*(IF($D4=1,1,Assumptions!$B$7)))+(((((Archetypes!$B$11*(IF(F4&lt;0,1+Assumptions!$B$32*MIN(1,ABS(F4)/ABS(Assumptions!$B$21)),MAX(0.1,1-Assumptions!$B$31*(F4/50)))))-((Archetypes!$B$11*(IF(F4&lt;0,1+Assumptions!$B$32*MIN(1,ABS(F4)/ABS(Assumptions!$B$21)),MAX(0.1,1-Assumptions!$B$31*(F4/50)))))*J4)*Archetypes!$B$15)*(Archetypes!$B$13*IF(F4&lt;0,1-Assumptions!$B$33*MIN(1,ABS(F4)/ABS(Assumptions!$B$21)),1))*5)+(((Archetypes!$B$11*(IF(F4&lt;0,1+Assumptions!$B$32*MIN(1,ABS(F4)/ABS(Assumptions!$B$21)),MAX(0.1,1-Assumptions!$B$31*(F4/50)))))*J4*Archetypes!$B$15*Archetypes!$B$22)*(Archetypes!$B$13*IF(F4&lt;0,1-Assumptions!$B$33*MIN(1,ABS(F4)/ABS(Assumptions!$B$21)),1))*5*Assumptions!$B$18))*IF(F4&lt;0,Assumptions!$B$9,1)))*$E4</f>
        <v>660.72</v>
      </c>
      <c r="O4" s="21">
        <f>(Archetypes!$B$7)+(N4)-(MAX(0,((Archetypes!$B$7)+(N4)-(P4)))*(IF(Archetypes!$B$27="",Assumptions!$B$11,Archetypes!$B$27)))</f>
        <v>660.72</v>
      </c>
      <c r="P4" s="21">
        <f>Archetypes!$B$36 + (Assumptions!$B$67*(IF($E4=0,0,I4/$E4))*Assumptions!$B$71*(1+Assumptions!$B$68*(Archetypes!$B$14-1))) + (Assumptions!$B$69*Archetypes!$B$34*(IF($E4=0,0,I4/$E4))*Assumptions!$B$72*POWER(Assumptions!$B$70,Archetypes!$B$18-1))</f>
        <v>2476.56</v>
      </c>
      <c r="Q4" s="21">
        <f t="shared" ref="Q4:Q51" si="3">MAX(0,(O4)-(P4))</f>
        <v>0</v>
      </c>
      <c r="S4" s="21">
        <f>Archetypes!$C$8</f>
        <v>5</v>
      </c>
      <c r="T4" s="21">
        <f>MAX(Assumptions!$B$21,S4+U4)</f>
        <v>9.0601272343999995</v>
      </c>
      <c r="U4" s="21">
        <f>((Y4*(Assumptions!$B$22+((Assumptions!$B$23-Assumptions!$B$22)*IF(V4&gt;0,X4/V4,0)))*(1+Assumptions!$B$60*(Archetypes!$C$13-1)))+IF(Y4&gt;V4,V4*Assumptions!$B$24,0)-IF(IF(V4&gt;0,Z4/V4,1)&lt;Assumptions!$B$61,((Z4*(Assumptions!$B$27*(1+Assumptions!$B$28*(Archetypes!$C$14-1))/(1+Assumptions!$B$29*(Archetypes!$C$12-1))))+(((V4*Archetypes!$C$17*IF(V4&gt;0,Z4/V4,1)*Archetypes!$C$31)/100)*Assumptions!$B$30))*Assumptions!$B$62,((Z4*(Assumptions!$B$27*(1+Assumptions!$B$28*(Archetypes!$C$14-1))/(1+Assumptions!$B$29*(Archetypes!$C$12-1))))+(((V4*Archetypes!$C$17*IF(V4&gt;0,Z4/V4,1)*Archetypes!$C$31)/100)*Assumptions!$B$30)))-(Assumptions!$B$25*Assumptions!$B$26*E4))*E4</f>
        <v>4.0601272344000003</v>
      </c>
      <c r="V4" s="21">
        <f>(Archetypes!$C$11*(IF(S4&lt;0,1+Assumptions!$B$32*MIN(1,ABS(S4)/ABS(Assumptions!$B$21)),MAX(0.1,1-Assumptions!$B$31*(S4/50)))))*$E4</f>
        <v>5.64</v>
      </c>
      <c r="W4" s="26">
        <f>Archetypes!$C$30</f>
        <v>3.7999999999999999E-2</v>
      </c>
      <c r="X4" s="21">
        <f t="shared" ref="X4:X51" si="4">V4*W4</f>
        <v>0.21431999999999998</v>
      </c>
      <c r="Y4" s="21">
        <f>((V4-X4)*Archetypes!$C$15)+(X4*Archetypes!$C$15*Archetypes!$C$22)</f>
        <v>2.8521479999999997</v>
      </c>
      <c r="Z4" s="21">
        <f>V4*Archetypes!$C$16</f>
        <v>2.5379999999999998</v>
      </c>
      <c r="AA4" s="21">
        <f>(IF(S4&lt;0,Assumptions!$B$8,IF(S4&lt;10,Assumptions!$B$34,IF(S4&lt;25,Assumptions!$B$35,Assumptions!$B$36))))*((((Archetypes!$C$5*Assumptions!$B$4+Archetypes!$C$6*Assumptions!$B$5)*60))+(Assumptions!$B$6*(((Archetypes!$C$11*(IF(S4&lt;0,1+Assumptions!$B$32*MIN(1,ABS(S4)/ABS(Assumptions!$B$21)),MAX(0.1,1-Assumptions!$B$31*(S4/50)))))-((Archetypes!$C$11*(IF(S4&lt;0,1+Assumptions!$B$32*MIN(1,ABS(S4)/ABS(Assumptions!$B$21)),MAX(0.1,1-Assumptions!$B$31*(S4/50)))))*W4)*Archetypes!$C$20)+((Archetypes!$C$11*(IF(S4&lt;0,1+Assumptions!$B$32*MIN(1,ABS(S4)/ABS(Assumptions!$B$21)),MAX(0.1,1-Assumptions!$B$31*(S4/50)))))*W4*Archetypes!$C$20*Archetypes!$C$21)*Assumptions!$B$18)*(IF($D4=1,1,Assumptions!$B$7)))+(((((Archetypes!$C$11*(IF(S4&lt;0,1+Assumptions!$B$32*MIN(1,ABS(S4)/ABS(Assumptions!$B$21)),MAX(0.1,1-Assumptions!$B$31*(S4/50)))))-((Archetypes!$C$11*(IF(S4&lt;0,1+Assumptions!$B$32*MIN(1,ABS(S4)/ABS(Assumptions!$B$21)),MAX(0.1,1-Assumptions!$B$31*(S4/50)))))*W4)*Archetypes!$C$15)*(Archetypes!$C$13*IF(S4&lt;0,1-Assumptions!$B$33*MIN(1,ABS(S4)/ABS(Assumptions!$B$21)),1))*5)+(((Archetypes!$C$11*(IF(S4&lt;0,1+Assumptions!$B$32*MIN(1,ABS(S4)/ABS(Assumptions!$B$21)),MAX(0.1,1-Assumptions!$B$31*(S4/50)))))*W4*Archetypes!$C$15*Archetypes!$C$22)*(Archetypes!$C$13*IF(S4&lt;0,1-Assumptions!$B$33*MIN(1,ABS(S4)/ABS(Assumptions!$B$21)),1))*5*Assumptions!$B$18))*IF(S4&lt;0,Assumptions!$B$9,1)))*$E4</f>
        <v>1523.799</v>
      </c>
      <c r="AB4" s="21">
        <f>(Archetypes!$C$7)+(AA4)-(MAX(0,((Archetypes!$C$7)+(AA4)-(AC4)))*(IF(Archetypes!$C$27="",Assumptions!$B$11,Archetypes!$C$27)))</f>
        <v>1523.799</v>
      </c>
      <c r="AC4" s="21">
        <f>Archetypes!$C$36 + (Assumptions!$B$67*(IF($E4=0,0,V4/$E4))*Assumptions!$B$71*(1+Assumptions!$B$68*(Archetypes!$C$14-1))) + (Assumptions!$B$69*Archetypes!$C$34*(IF($E4=0,0,V4/$E4))*Assumptions!$B$72*POWER(Assumptions!$B$70,Archetypes!$C$18-1))</f>
        <v>9561.9600000000009</v>
      </c>
      <c r="AD4" s="21">
        <f t="shared" ref="AD4:AD51" si="5">MAX(0,(AB4)-(AC4))</f>
        <v>0</v>
      </c>
      <c r="AF4" s="21">
        <f>Archetypes!$D$8</f>
        <v>15</v>
      </c>
      <c r="AG4" s="21">
        <f>MAX(Assumptions!$B$21,AF4+AH4)</f>
        <v>23.569260773485716</v>
      </c>
      <c r="AH4" s="21">
        <f>((AL4*(Assumptions!$B$22+((Assumptions!$B$23-Assumptions!$B$22)*IF(AI4&gt;0,AK4/AI4,0)))*(1+Assumptions!$B$60*(Archetypes!$D$13-1)))+IF(AL4&gt;AI4,AI4*Assumptions!$B$24,0)-IF(IF(AI4&gt;0,AM4/AI4,1)&lt;Assumptions!$B$61,((AM4*(Assumptions!$B$27*(1+Assumptions!$B$28*(Archetypes!$D$14-1))/(1+Assumptions!$B$29*(Archetypes!$D$12-1))))+(((AI4*Archetypes!$D$17*IF(AI4&gt;0,AM4/AI4,1)*Archetypes!$D$31)/100)*Assumptions!$B$30))*Assumptions!$B$62,((AM4*(Assumptions!$B$27*(1+Assumptions!$B$28*(Archetypes!$D$14-1))/(1+Assumptions!$B$29*(Archetypes!$D$12-1))))+(((AI4*Archetypes!$D$17*IF(AI4&gt;0,AM4/AI4,1)*Archetypes!$D$31)/100)*Assumptions!$B$30)))-(Assumptions!$B$25*Assumptions!$B$26*E4))*E4</f>
        <v>8.5692607734857145</v>
      </c>
      <c r="AI4" s="21">
        <f>(Archetypes!$D$11*(IF(AF4&lt;0,1+Assumptions!$B$32*MIN(1,ABS(AF4)/ABS(Assumptions!$B$21)),MAX(0.1,1-Assumptions!$B$31*(AF4/50)))))*$E4</f>
        <v>2.46</v>
      </c>
      <c r="AJ4" s="26">
        <f>Archetypes!$D$30</f>
        <v>0.10400000000000001</v>
      </c>
      <c r="AK4" s="21">
        <f t="shared" ref="AK4:AK51" si="6">AI4*AJ4</f>
        <v>0.25584000000000001</v>
      </c>
      <c r="AL4" s="21">
        <f>((AI4-AK4)*Archetypes!$D$15)+(AK4*Archetypes!$D$15*Archetypes!$D$22)</f>
        <v>3.8435039999999998</v>
      </c>
      <c r="AM4" s="21">
        <f>AI4*Archetypes!$D$16</f>
        <v>0.49199999999999999</v>
      </c>
      <c r="AN4" s="21">
        <f>(IF(AF4&lt;0,Assumptions!$B$8,IF(AF4&lt;10,Assumptions!$B$34,IF(AF4&lt;25,Assumptions!$B$35,Assumptions!$B$36))))*((((Archetypes!$D$5*Assumptions!$B$4+Archetypes!$D$6*Assumptions!$B$5)*60))+(Assumptions!$B$6*(((Archetypes!$D$11*(IF(AF4&lt;0,1+Assumptions!$B$32*MIN(1,ABS(AF4)/ABS(Assumptions!$B$21)),MAX(0.1,1-Assumptions!$B$31*(AF4/50)))))-((Archetypes!$D$11*(IF(AF4&lt;0,1+Assumptions!$B$32*MIN(1,ABS(AF4)/ABS(Assumptions!$B$21)),MAX(0.1,1-Assumptions!$B$31*(AF4/50)))))*AJ4)*Archetypes!$D$20)+((Archetypes!$D$11*(IF(AF4&lt;0,1+Assumptions!$B$32*MIN(1,ABS(AF4)/ABS(Assumptions!$B$21)),MAX(0.1,1-Assumptions!$B$31*(AF4/50)))))*AJ4*Archetypes!$D$20*Archetypes!$D$21)*Assumptions!$B$18)*(IF($D4=1,1,Assumptions!$B$7)))+(((((Archetypes!$D$11*(IF(AF4&lt;0,1+Assumptions!$B$32*MIN(1,ABS(AF4)/ABS(Assumptions!$B$21)),MAX(0.1,1-Assumptions!$B$31*(AF4/50)))))-((Archetypes!$D$11*(IF(AF4&lt;0,1+Assumptions!$B$32*MIN(1,ABS(AF4)/ABS(Assumptions!$B$21)),MAX(0.1,1-Assumptions!$B$31*(AF4/50)))))*AJ4)*Archetypes!$D$15)*(Archetypes!$D$13*IF(AF4&lt;0,1-Assumptions!$B$33*MIN(1,ABS(AF4)/ABS(Assumptions!$B$21)),1))*5)+(((Archetypes!$D$11*(IF(AF4&lt;0,1+Assumptions!$B$32*MIN(1,ABS(AF4)/ABS(Assumptions!$B$21)),MAX(0.1,1-Assumptions!$B$31*(AF4/50)))))*AJ4*Archetypes!$D$15*Archetypes!$D$22)*(Archetypes!$D$13*IF(AF4&lt;0,1-Assumptions!$B$33*MIN(1,ABS(AF4)/ABS(Assumptions!$B$21)),1))*5*Assumptions!$B$18))*IF(AF4&lt;0,Assumptions!$B$9,1)))*$E4</f>
        <v>2505.8111999999996</v>
      </c>
      <c r="AO4" s="21">
        <f>(Archetypes!$D$7)+(AN4)-(MAX(0,((Archetypes!$D$7)+(AN4)-(AP4)))*(IF(Archetypes!$D$27="",Assumptions!$B$11,Archetypes!$D$27)))</f>
        <v>2505.8111999999996</v>
      </c>
      <c r="AP4" s="21">
        <f>Archetypes!$D$36 + (Assumptions!$B$67*(IF($E4=0,0,AI4/$E4))*Assumptions!$B$71*(1+Assumptions!$B$68*(Archetypes!$D$14-1))) + (Assumptions!$B$69*Archetypes!$D$34*(IF($E4=0,0,AI4/$E4))*Assumptions!$B$72*POWER(Assumptions!$B$70,Archetypes!$D$18-1))</f>
        <v>21189.520648960006</v>
      </c>
      <c r="AQ4" s="21">
        <f t="shared" ref="AQ4:AQ51" si="7">MAX(0,(AO4)-(AP4))</f>
        <v>0</v>
      </c>
    </row>
    <row r="5" spans="1:52" x14ac:dyDescent="0.25">
      <c r="A5" s="20">
        <v>1</v>
      </c>
      <c r="B5" s="20">
        <f t="shared" si="0"/>
        <v>1</v>
      </c>
      <c r="C5" s="20">
        <f t="shared" si="1"/>
        <v>1</v>
      </c>
      <c r="D5" s="6">
        <f>IF(C5&lt;Assumptions!$B$10,1,0)</f>
        <v>1</v>
      </c>
      <c r="E5" s="6">
        <v>1</v>
      </c>
      <c r="F5" s="21">
        <f t="shared" ref="F5:F51" si="8">G4</f>
        <v>-2.0701216363636359</v>
      </c>
      <c r="G5" s="21">
        <f>MAX(Assumptions!$B$21,F5+H5)</f>
        <v>-4.2462402152309062</v>
      </c>
      <c r="H5" s="21">
        <f>((L5*(Assumptions!$B$22+((Assumptions!$B$23-Assumptions!$B$22)*IF(I5&gt;0,K5/I5,0)))*(1+Assumptions!$B$60*(Archetypes!$B$13-1)))+IF(L5&gt;I5,I5*Assumptions!$B$24,0)-IF(IF(I5&gt;0,M5/I5,1)&lt;Assumptions!$B$61,((M5*(Assumptions!$B$27*(1+Assumptions!$B$28*(Archetypes!$B$14-1))/(1+Assumptions!$B$29*(Archetypes!$B$12-1))))+(((I5*Archetypes!$B$17*IF(I5&gt;0,M5/I5,1)*Archetypes!$B$31)/100)*Assumptions!$B$30))*Assumptions!$B$62,((M5*(Assumptions!$B$27*(1+Assumptions!$B$28*(Archetypes!$B$14-1))/(1+Assumptions!$B$29*(Archetypes!$B$12-1))))+(((I5*Archetypes!$B$17*IF(I5&gt;0,M5/I5,1)*Archetypes!$B$31)/100)*Assumptions!$B$30)))-(Assumptions!$B$25*Assumptions!$B$26*E5))*E5</f>
        <v>-2.1761185788672703</v>
      </c>
      <c r="I5" s="21">
        <f>(Archetypes!$B$11*(IF(F5&lt;0,1+Assumptions!$B$32*MIN(1,ABS(F5)/ABS(Assumptions!$B$21)),MAX(0.1,1-Assumptions!$B$31*(F5/50)))))*$E5</f>
        <v>10.552032436363636</v>
      </c>
      <c r="J5" s="26">
        <f>Archetypes!$B$30</f>
        <v>2.1999999999999999E-2</v>
      </c>
      <c r="K5" s="21">
        <f t="shared" si="2"/>
        <v>0.23214471359999997</v>
      </c>
      <c r="L5" s="21">
        <f>((I5-K5)*Archetypes!$B$15)+(K5*Archetypes!$B$15*Archetypes!$B$22)</f>
        <v>1.0598461379083637</v>
      </c>
      <c r="M5" s="21">
        <f>I5*Archetypes!$B$16</f>
        <v>7.9140243272727266</v>
      </c>
      <c r="N5" s="21">
        <f>(IF(F5&lt;0,Assumptions!$B$8,IF(F5&lt;10,Assumptions!$B$34,IF(F5&lt;25,Assumptions!$B$35,Assumptions!$B$36))))*((((Archetypes!$B$5*Assumptions!$B$4+Archetypes!$B$6*Assumptions!$B$5)*60))+(Assumptions!$B$6*(((Archetypes!$B$11*(IF(F5&lt;0,1+Assumptions!$B$32*MIN(1,ABS(F5)/ABS(Assumptions!$B$21)),MAX(0.1,1-Assumptions!$B$31*(F5/50)))))-((Archetypes!$B$11*(IF(F5&lt;0,1+Assumptions!$B$32*MIN(1,ABS(F5)/ABS(Assumptions!$B$21)),MAX(0.1,1-Assumptions!$B$31*(F5/50)))))*J5)*Archetypes!$B$20)+((Archetypes!$B$11*(IF(F5&lt;0,1+Assumptions!$B$32*MIN(1,ABS(F5)/ABS(Assumptions!$B$21)),MAX(0.1,1-Assumptions!$B$31*(F5/50)))))*J5*Archetypes!$B$20*Archetypes!$B$21)*Assumptions!$B$18)*(IF($D5=1,1,Assumptions!$B$7)))+(((((Archetypes!$B$11*(IF(F5&lt;0,1+Assumptions!$B$32*MIN(1,ABS(F5)/ABS(Assumptions!$B$21)),MAX(0.1,1-Assumptions!$B$31*(F5/50)))))-((Archetypes!$B$11*(IF(F5&lt;0,1+Assumptions!$B$32*MIN(1,ABS(F5)/ABS(Assumptions!$B$21)),MAX(0.1,1-Assumptions!$B$31*(F5/50)))))*J5)*Archetypes!$B$15)*(Archetypes!$B$13*IF(F5&lt;0,1-Assumptions!$B$33*MIN(1,ABS(F5)/ABS(Assumptions!$B$21)),1))*5)+(((Archetypes!$B$11*(IF(F5&lt;0,1+Assumptions!$B$32*MIN(1,ABS(F5)/ABS(Assumptions!$B$21)),MAX(0.1,1-Assumptions!$B$31*(F5/50)))))*J5*Archetypes!$B$15*Archetypes!$B$22)*(Archetypes!$B$13*IF(F5&lt;0,1-Assumptions!$B$33*MIN(1,ABS(F5)/ABS(Assumptions!$B$21)),1))*5*Assumptions!$B$18))*IF(F5&lt;0,Assumptions!$B$9,1)))*$E5</f>
        <v>672.40906218105226</v>
      </c>
      <c r="O5" s="21">
        <f>(O4)+(N5)-(MAX(0,((O4)+(N5)-(P5)))*(IF(Archetypes!$B$27="",Assumptions!$B$11,Archetypes!$B$27)))</f>
        <v>1333.1290621810522</v>
      </c>
      <c r="P5" s="21">
        <f>Archetypes!$B$36 + (Assumptions!$B$67*(IF($E5=0,0,I5/$E5))*Assumptions!$B$71*(1+Assumptions!$B$68*(Archetypes!$B$14-1))) + (Assumptions!$B$69*Archetypes!$B$34*(IF($E5=0,0,I5/$E5))*Assumptions!$B$72*POWER(Assumptions!$B$70,Archetypes!$B$18-1))</f>
        <v>2503.0575569454545</v>
      </c>
      <c r="Q5" s="21">
        <f t="shared" si="3"/>
        <v>0</v>
      </c>
      <c r="S5" s="21">
        <f t="shared" ref="S5:S51" si="9">T4</f>
        <v>9.0601272343999995</v>
      </c>
      <c r="T5" s="21">
        <f>MAX(Assumptions!$B$21,S5+U5)</f>
        <v>12.902037631633915</v>
      </c>
      <c r="U5" s="21">
        <f>((Y5*(Assumptions!$B$22+((Assumptions!$B$23-Assumptions!$B$22)*IF(V5&gt;0,X5/V5,0)))*(1+Assumptions!$B$60*(Archetypes!$C$13-1)))+IF(Y5&gt;V5,V5*Assumptions!$B$24,0)-IF(IF(V5&gt;0,Z5/V5,1)&lt;Assumptions!$B$61,((Z5*(Assumptions!$B$27*(1+Assumptions!$B$28*(Archetypes!$C$14-1))/(1+Assumptions!$B$29*(Archetypes!$C$12-1))))+(((V5*Archetypes!$C$17*IF(V5&gt;0,Z5/V5,1)*Archetypes!$C$31)/100)*Assumptions!$B$30))*Assumptions!$B$62,((Z5*(Assumptions!$B$27*(1+Assumptions!$B$28*(Archetypes!$C$14-1))/(1+Assumptions!$B$29*(Archetypes!$C$12-1))))+(((V5*Archetypes!$C$17*IF(V5&gt;0,Z5/V5,1)*Archetypes!$C$31)/100)*Assumptions!$B$30)))-(Assumptions!$B$25*Assumptions!$B$26*E5))*E5</f>
        <v>3.8419103972339159</v>
      </c>
      <c r="V5" s="21">
        <f>(Archetypes!$C$11*(IF(S5&lt;0,1+Assumptions!$B$32*MIN(1,ABS(S5)/ABS(Assumptions!$B$21)),MAX(0.1,1-Assumptions!$B$31*(S5/50)))))*$E5</f>
        <v>5.3476708391232002</v>
      </c>
      <c r="W5" s="26">
        <f>Archetypes!$C$30</f>
        <v>3.7999999999999999E-2</v>
      </c>
      <c r="X5" s="21">
        <f t="shared" si="4"/>
        <v>0.20321149188668161</v>
      </c>
      <c r="Y5" s="21">
        <f>((V5-X5)*Archetypes!$C$15)+(X5*Archetypes!$C$15*Archetypes!$C$22)</f>
        <v>2.7043171433446025</v>
      </c>
      <c r="Z5" s="21">
        <f>V5*Archetypes!$C$16</f>
        <v>2.40645187760544</v>
      </c>
      <c r="AA5" s="21">
        <f>(IF(S5&lt;0,Assumptions!$B$8,IF(S5&lt;10,Assumptions!$B$34,IF(S5&lt;25,Assumptions!$B$35,Assumptions!$B$36))))*((((Archetypes!$C$5*Assumptions!$B$4+Archetypes!$C$6*Assumptions!$B$5)*60))+(Assumptions!$B$6*(((Archetypes!$C$11*(IF(S5&lt;0,1+Assumptions!$B$32*MIN(1,ABS(S5)/ABS(Assumptions!$B$21)),MAX(0.1,1-Assumptions!$B$31*(S5/50)))))-((Archetypes!$C$11*(IF(S5&lt;0,1+Assumptions!$B$32*MIN(1,ABS(S5)/ABS(Assumptions!$B$21)),MAX(0.1,1-Assumptions!$B$31*(S5/50)))))*W5)*Archetypes!$C$20)+((Archetypes!$C$11*(IF(S5&lt;0,1+Assumptions!$B$32*MIN(1,ABS(S5)/ABS(Assumptions!$B$21)),MAX(0.1,1-Assumptions!$B$31*(S5/50)))))*W5*Archetypes!$C$20*Archetypes!$C$21)*Assumptions!$B$18)*(IF($D5=1,1,Assumptions!$B$7)))+(((((Archetypes!$C$11*(IF(S5&lt;0,1+Assumptions!$B$32*MIN(1,ABS(S5)/ABS(Assumptions!$B$21)),MAX(0.1,1-Assumptions!$B$31*(S5/50)))))-((Archetypes!$C$11*(IF(S5&lt;0,1+Assumptions!$B$32*MIN(1,ABS(S5)/ABS(Assumptions!$B$21)),MAX(0.1,1-Assumptions!$B$31*(S5/50)))))*W5)*Archetypes!$C$15)*(Archetypes!$C$13*IF(S5&lt;0,1-Assumptions!$B$33*MIN(1,ABS(S5)/ABS(Assumptions!$B$21)),1))*5)+(((Archetypes!$C$11*(IF(S5&lt;0,1+Assumptions!$B$32*MIN(1,ABS(S5)/ABS(Assumptions!$B$21)),MAX(0.1,1-Assumptions!$B$31*(S5/50)))))*W5*Archetypes!$C$15*Archetypes!$C$22)*(Archetypes!$C$13*IF(S5&lt;0,1-Assumptions!$B$33*MIN(1,ABS(S5)/ABS(Assumptions!$B$21)),1))*5*Assumptions!$B$18))*IF(S5&lt;0,Assumptions!$B$9,1)))*$E5</f>
        <v>1477.4721362300493</v>
      </c>
      <c r="AB5" s="21">
        <f>(AB4)+(AA5)-(MAX(0,((AB4)+(AA5)-(AC5)))*(IF(Archetypes!$C$27="",Assumptions!$B$11,Archetypes!$C$27)))</f>
        <v>3001.2711362300493</v>
      </c>
      <c r="AC5" s="21">
        <f>Archetypes!$C$36 + (Assumptions!$B$67*(IF($E5=0,0,V5/$E5))*Assumptions!$B$71*(1+Assumptions!$B$68*(Archetypes!$C$14-1))) + (Assumptions!$B$69*Archetypes!$C$34*(IF($E5=0,0,V5/$E5))*Assumptions!$B$72*POWER(Assumptions!$B$70,Archetypes!$C$18-1))</f>
        <v>9535.6503755210906</v>
      </c>
      <c r="AD5" s="21">
        <f t="shared" si="5"/>
        <v>0</v>
      </c>
      <c r="AF5" s="21">
        <f t="shared" ref="AF5:AF51" si="10">AG4</f>
        <v>23.569260773485716</v>
      </c>
      <c r="AG5" s="21">
        <f>MAX(Assumptions!$B$21,AF5+AH5)</f>
        <v>31.04509297155645</v>
      </c>
      <c r="AH5" s="21">
        <f>((AL5*(Assumptions!$B$22+((Assumptions!$B$23-Assumptions!$B$22)*IF(AI5&gt;0,AK5/AI5,0)))*(1+Assumptions!$B$60*(Archetypes!$D$13-1)))+IF(AL5&gt;AI5,AI5*Assumptions!$B$24,0)-IF(IF(AI5&gt;0,AM5/AI5,1)&lt;Assumptions!$B$61,((AM5*(Assumptions!$B$27*(1+Assumptions!$B$28*(Archetypes!$D$14-1))/(1+Assumptions!$B$29*(Archetypes!$D$12-1))))+(((AI5*Archetypes!$D$17*IF(AI5&gt;0,AM5/AI5,1)*Archetypes!$D$31)/100)*Assumptions!$B$30))*Assumptions!$B$62,((AM5*(Assumptions!$B$27*(1+Assumptions!$B$28*(Archetypes!$D$14-1))/(1+Assumptions!$B$29*(Archetypes!$D$12-1))))+(((AI5*Archetypes!$D$17*IF(AI5&gt;0,AM5/AI5,1)*Archetypes!$D$31)/100)*Assumptions!$B$30)))-(Assumptions!$B$25*Assumptions!$B$26*E5))*E5</f>
        <v>7.4758321980707318</v>
      </c>
      <c r="AI5" s="21">
        <f>(Archetypes!$D$11*(IF(AF5&lt;0,1+Assumptions!$B$32*MIN(1,ABS(AF5)/ABS(Assumptions!$B$21)),MAX(0.1,1-Assumptions!$B$31*(AF5/50)))))*$E5</f>
        <v>2.1515066121545141</v>
      </c>
      <c r="AJ5" s="26">
        <f>Archetypes!$D$30</f>
        <v>0.10400000000000001</v>
      </c>
      <c r="AK5" s="21">
        <f t="shared" si="6"/>
        <v>0.22375668766406948</v>
      </c>
      <c r="AL5" s="21">
        <f>((AI5-AK5)*Archetypes!$D$15)+(AK5*Archetypes!$D$15*Archetypes!$D$22)</f>
        <v>3.3615139308302129</v>
      </c>
      <c r="AM5" s="21">
        <f>AI5*Archetypes!$D$16</f>
        <v>0.43030132243090286</v>
      </c>
      <c r="AN5" s="21">
        <f>(IF(AF5&lt;0,Assumptions!$B$8,IF(AF5&lt;10,Assumptions!$B$34,IF(AF5&lt;25,Assumptions!$B$35,Assumptions!$B$36))))*((((Archetypes!$D$5*Assumptions!$B$4+Archetypes!$D$6*Assumptions!$B$5)*60))+(Assumptions!$B$6*(((Archetypes!$D$11*(IF(AF5&lt;0,1+Assumptions!$B$32*MIN(1,ABS(AF5)/ABS(Assumptions!$B$21)),MAX(0.1,1-Assumptions!$B$31*(AF5/50)))))-((Archetypes!$D$11*(IF(AF5&lt;0,1+Assumptions!$B$32*MIN(1,ABS(AF5)/ABS(Assumptions!$B$21)),MAX(0.1,1-Assumptions!$B$31*(AF5/50)))))*AJ5)*Archetypes!$D$20)+((Archetypes!$D$11*(IF(AF5&lt;0,1+Assumptions!$B$32*MIN(1,ABS(AF5)/ABS(Assumptions!$B$21)),MAX(0.1,1-Assumptions!$B$31*(AF5/50)))))*AJ5*Archetypes!$D$20*Archetypes!$D$21)*Assumptions!$B$18)*(IF($D5=1,1,Assumptions!$B$7)))+(((((Archetypes!$D$11*(IF(AF5&lt;0,1+Assumptions!$B$32*MIN(1,ABS(AF5)/ABS(Assumptions!$B$21)),MAX(0.1,1-Assumptions!$B$31*(AF5/50)))))-((Archetypes!$D$11*(IF(AF5&lt;0,1+Assumptions!$B$32*MIN(1,ABS(AF5)/ABS(Assumptions!$B$21)),MAX(0.1,1-Assumptions!$B$31*(AF5/50)))))*AJ5)*Archetypes!$D$15)*(Archetypes!$D$13*IF(AF5&lt;0,1-Assumptions!$B$33*MIN(1,ABS(AF5)/ABS(Assumptions!$B$21)),1))*5)+(((Archetypes!$D$11*(IF(AF5&lt;0,1+Assumptions!$B$32*MIN(1,ABS(AF5)/ABS(Assumptions!$B$21)),MAX(0.1,1-Assumptions!$B$31*(AF5/50)))))*AJ5*Archetypes!$D$15*Archetypes!$D$22)*(Archetypes!$D$13*IF(AF5&lt;0,1-Assumptions!$B$33*MIN(1,ABS(AF5)/ABS(Assumptions!$B$21)),1))*5*Assumptions!$B$18))*IF(AF5&lt;0,Assumptions!$B$9,1)))*$E5</f>
        <v>2313.0892107451677</v>
      </c>
      <c r="AO5" s="21">
        <f>(AO4)+(AN5)-(MAX(0,((AO4)+(AN5)-(AP5)))*(IF(Archetypes!$D$27="",Assumptions!$B$11,Archetypes!$D$27)))</f>
        <v>4818.9004107451674</v>
      </c>
      <c r="AP5" s="21">
        <f>Archetypes!$D$36 + (Assumptions!$B$67*(IF($E5=0,0,AI5/$E5))*Assumptions!$B$71*(1+Assumptions!$B$68*(Archetypes!$D$14-1))) + (Assumptions!$B$69*Archetypes!$D$34*(IF($E5=0,0,AI5/$E5))*Assumptions!$B$72*POWER(Assumptions!$B$70,Archetypes!$D$18-1))</f>
        <v>21130.289918493669</v>
      </c>
      <c r="AQ5" s="21">
        <f t="shared" si="7"/>
        <v>0</v>
      </c>
    </row>
    <row r="6" spans="1:52" x14ac:dyDescent="0.25">
      <c r="A6" s="20">
        <v>2</v>
      </c>
      <c r="B6" s="20">
        <f t="shared" si="0"/>
        <v>1</v>
      </c>
      <c r="C6" s="20">
        <f t="shared" si="1"/>
        <v>2</v>
      </c>
      <c r="D6" s="6">
        <f>IF(C6&lt;Assumptions!$B$10,1,0)</f>
        <v>0</v>
      </c>
      <c r="E6" s="6">
        <v>1</v>
      </c>
      <c r="F6" s="21">
        <f t="shared" si="8"/>
        <v>-4.2462402152309062</v>
      </c>
      <c r="G6" s="21">
        <f>MAX(Assumptions!$B$21,F6+H6)</f>
        <v>-6.5337831238735351</v>
      </c>
      <c r="H6" s="21">
        <f>((L6*(Assumptions!$B$22+((Assumptions!$B$23-Assumptions!$B$22)*IF(I6&gt;0,K6/I6,0)))*(1+Assumptions!$B$60*(Archetypes!$B$13-1)))+IF(L6&gt;I6,I6*Assumptions!$B$24,0)-IF(IF(I6&gt;0,M6/I6,1)&lt;Assumptions!$B$61,((M6*(Assumptions!$B$27*(1+Assumptions!$B$28*(Archetypes!$B$14-1))/(1+Assumptions!$B$29*(Archetypes!$B$12-1))))+(((I6*Archetypes!$B$17*IF(I6&gt;0,M6/I6,1)*Archetypes!$B$31)/100)*Assumptions!$B$30))*Assumptions!$B$62,((M6*(Assumptions!$B$27*(1+Assumptions!$B$28*(Archetypes!$B$14-1))/(1+Assumptions!$B$29*(Archetypes!$B$12-1))))+(((I6*Archetypes!$B$17*IF(I6&gt;0,M6/I6,1)*Archetypes!$B$31)/100)*Assumptions!$B$30)))-(Assumptions!$B$25*Assumptions!$B$26*E6))*E6</f>
        <v>-2.2875429086426289</v>
      </c>
      <c r="I6" s="21">
        <f>(Archetypes!$B$11*(IF(F6&lt;0,1+Assumptions!$B$32*MIN(1,ABS(F6)/ABS(Assumptions!$B$21)),MAX(0.1,1-Assumptions!$B$31*(F6/50)))))*$E6</f>
        <v>11.132330724061575</v>
      </c>
      <c r="J6" s="26">
        <f>Archetypes!$B$30</f>
        <v>2.1999999999999999E-2</v>
      </c>
      <c r="K6" s="21">
        <f t="shared" si="2"/>
        <v>0.24491127592935463</v>
      </c>
      <c r="L6" s="21">
        <f>((I6-K6)*Archetypes!$B$15)+(K6*Archetypes!$B$15*Archetypes!$B$22)</f>
        <v>1.1181312979247446</v>
      </c>
      <c r="M6" s="21">
        <f>I6*Archetypes!$B$16</f>
        <v>8.3492480430461811</v>
      </c>
      <c r="N6" s="21">
        <f>(IF(F6&lt;0,Assumptions!$B$8,IF(F6&lt;10,Assumptions!$B$34,IF(F6&lt;25,Assumptions!$B$35,Assumptions!$B$36))))*((((Archetypes!$B$5*Assumptions!$B$4+Archetypes!$B$6*Assumptions!$B$5)*60))+(Assumptions!$B$6*(((Archetypes!$B$11*(IF(F6&lt;0,1+Assumptions!$B$32*MIN(1,ABS(F6)/ABS(Assumptions!$B$21)),MAX(0.1,1-Assumptions!$B$31*(F6/50)))))-((Archetypes!$B$11*(IF(F6&lt;0,1+Assumptions!$B$32*MIN(1,ABS(F6)/ABS(Assumptions!$B$21)),MAX(0.1,1-Assumptions!$B$31*(F6/50)))))*J6)*Archetypes!$B$20)+((Archetypes!$B$11*(IF(F6&lt;0,1+Assumptions!$B$32*MIN(1,ABS(F6)/ABS(Assumptions!$B$21)),MAX(0.1,1-Assumptions!$B$31*(F6/50)))))*J6*Archetypes!$B$20*Archetypes!$B$21)*Assumptions!$B$18)*(IF($D6=1,1,Assumptions!$B$7)))+(((((Archetypes!$B$11*(IF(F6&lt;0,1+Assumptions!$B$32*MIN(1,ABS(F6)/ABS(Assumptions!$B$21)),MAX(0.1,1-Assumptions!$B$31*(F6/50)))))-((Archetypes!$B$11*(IF(F6&lt;0,1+Assumptions!$B$32*MIN(1,ABS(F6)/ABS(Assumptions!$B$21)),MAX(0.1,1-Assumptions!$B$31*(F6/50)))))*J6)*Archetypes!$B$15)*(Archetypes!$B$13*IF(F6&lt;0,1-Assumptions!$B$33*MIN(1,ABS(F6)/ABS(Assumptions!$B$21)),1))*5)+(((Archetypes!$B$11*(IF(F6&lt;0,1+Assumptions!$B$32*MIN(1,ABS(F6)/ABS(Assumptions!$B$21)),MAX(0.1,1-Assumptions!$B$31*(F6/50)))))*J6*Archetypes!$B$15*Archetypes!$B$22)*(Archetypes!$B$13*IF(F6&lt;0,1-Assumptions!$B$33*MIN(1,ABS(F6)/ABS(Assumptions!$B$21)),1))*5*Assumptions!$B$18))*IF(F6&lt;0,Assumptions!$B$9,1)))*$E6</f>
        <v>503.688401676122</v>
      </c>
      <c r="O6" s="21">
        <f>(O5)+(N6)-(MAX(0,((O5)+(N6)-(P6)))*(IF(Archetypes!$B$27="",Assumptions!$B$11,Archetypes!$B$27)))</f>
        <v>1836.8174638571741</v>
      </c>
      <c r="P6" s="21">
        <f>Archetypes!$B$36 + (Assumptions!$B$67*(IF($E6=0,0,I6/$E6))*Assumptions!$B$71*(1+Assumptions!$B$68*(Archetypes!$B$14-1))) + (Assumptions!$B$69*Archetypes!$B$34*(IF($E6=0,0,I6/$E6))*Assumptions!$B$72*POWER(Assumptions!$B$70,Archetypes!$B$18-1))</f>
        <v>2530.9118747549555</v>
      </c>
      <c r="Q6" s="21">
        <f t="shared" si="3"/>
        <v>0</v>
      </c>
      <c r="S6" s="21">
        <f t="shared" si="9"/>
        <v>12.902037631633915</v>
      </c>
      <c r="T6" s="21">
        <f>MAX(Assumptions!$B$21,S6+U6)</f>
        <v>16.537459540414396</v>
      </c>
      <c r="U6" s="21">
        <f>((Y6*(Assumptions!$B$22+((Assumptions!$B$23-Assumptions!$B$22)*IF(V6&gt;0,X6/V6,0)))*(1+Assumptions!$B$60*(Archetypes!$C$13-1)))+IF(Y6&gt;V6,V6*Assumptions!$B$24,0)-IF(IF(V6&gt;0,Z6/V6,1)&lt;Assumptions!$B$61,((Z6*(Assumptions!$B$27*(1+Assumptions!$B$28*(Archetypes!$C$14-1))/(1+Assumptions!$B$29*(Archetypes!$C$12-1))))+(((V6*Archetypes!$C$17*IF(V6&gt;0,Z6/V6,1)*Archetypes!$C$31)/100)*Assumptions!$B$30))*Assumptions!$B$62,((Z6*(Assumptions!$B$27*(1+Assumptions!$B$28*(Archetypes!$C$14-1))/(1+Assumptions!$B$29*(Archetypes!$C$12-1))))+(((V6*Archetypes!$C$17*IF(V6&gt;0,Z6/V6,1)*Archetypes!$C$31)/100)*Assumptions!$B$30)))-(Assumptions!$B$25*Assumptions!$B$26*E6))*E6</f>
        <v>3.6354219087804815</v>
      </c>
      <c r="V6" s="21">
        <f>(Archetypes!$C$11*(IF(S6&lt;0,1+Assumptions!$B$32*MIN(1,ABS(S6)/ABS(Assumptions!$B$21)),MAX(0.1,1-Assumptions!$B$31*(S6/50)))))*$E6</f>
        <v>5.0710532905223582</v>
      </c>
      <c r="W6" s="26">
        <f>Archetypes!$C$30</f>
        <v>3.7999999999999999E-2</v>
      </c>
      <c r="X6" s="21">
        <f t="shared" si="4"/>
        <v>0.19270002503984962</v>
      </c>
      <c r="Y6" s="21">
        <f>((V6-X6)*Archetypes!$C$15)+(X6*Archetypes!$C$15*Archetypes!$C$22)</f>
        <v>2.5644316490171564</v>
      </c>
      <c r="Z6" s="21">
        <f>V6*Archetypes!$C$16</f>
        <v>2.2819739807350614</v>
      </c>
      <c r="AA6" s="21">
        <f>(IF(S6&lt;0,Assumptions!$B$8,IF(S6&lt;10,Assumptions!$B$34,IF(S6&lt;25,Assumptions!$B$35,Assumptions!$B$36))))*((((Archetypes!$C$5*Assumptions!$B$4+Archetypes!$C$6*Assumptions!$B$5)*60))+(Assumptions!$B$6*(((Archetypes!$C$11*(IF(S6&lt;0,1+Assumptions!$B$32*MIN(1,ABS(S6)/ABS(Assumptions!$B$21)),MAX(0.1,1-Assumptions!$B$31*(S6/50)))))-((Archetypes!$C$11*(IF(S6&lt;0,1+Assumptions!$B$32*MIN(1,ABS(S6)/ABS(Assumptions!$B$21)),MAX(0.1,1-Assumptions!$B$31*(S6/50)))))*W6)*Archetypes!$C$20)+((Archetypes!$C$11*(IF(S6&lt;0,1+Assumptions!$B$32*MIN(1,ABS(S6)/ABS(Assumptions!$B$21)),MAX(0.1,1-Assumptions!$B$31*(S6/50)))))*W6*Archetypes!$C$20*Archetypes!$C$21)*Assumptions!$B$18)*(IF($D6=1,1,Assumptions!$B$7)))+(((((Archetypes!$C$11*(IF(S6&lt;0,1+Assumptions!$B$32*MIN(1,ABS(S6)/ABS(Assumptions!$B$21)),MAX(0.1,1-Assumptions!$B$31*(S6/50)))))-((Archetypes!$C$11*(IF(S6&lt;0,1+Assumptions!$B$32*MIN(1,ABS(S6)/ABS(Assumptions!$B$21)),MAX(0.1,1-Assumptions!$B$31*(S6/50)))))*W6)*Archetypes!$C$15)*(Archetypes!$C$13*IF(S6&lt;0,1-Assumptions!$B$33*MIN(1,ABS(S6)/ABS(Assumptions!$B$21)),1))*5)+(((Archetypes!$C$11*(IF(S6&lt;0,1+Assumptions!$B$32*MIN(1,ABS(S6)/ABS(Assumptions!$B$21)),MAX(0.1,1-Assumptions!$B$31*(S6/50)))))*W6*Archetypes!$C$15*Archetypes!$C$22)*(Archetypes!$C$13*IF(S6&lt;0,1-Assumptions!$B$33*MIN(1,ABS(S6)/ABS(Assumptions!$B$21)),1))*5*Assumptions!$B$18))*IF(S6&lt;0,Assumptions!$B$9,1)))*$E6</f>
        <v>1038.5208721772444</v>
      </c>
      <c r="AB6" s="21">
        <f>(AB5)+(AA6)-(MAX(0,((AB5)+(AA6)-(AC6)))*(IF(Archetypes!$C$27="",Assumptions!$B$11,Archetypes!$C$27)))</f>
        <v>4039.7920084072939</v>
      </c>
      <c r="AC6" s="21">
        <f>Archetypes!$C$36 + (Assumptions!$B$67*(IF($E6=0,0,V6/$E6))*Assumptions!$B$71*(1+Assumptions!$B$68*(Archetypes!$C$14-1))) + (Assumptions!$B$69*Archetypes!$C$34*(IF($E6=0,0,V6/$E6))*Assumptions!$B$72*POWER(Assumptions!$B$70,Archetypes!$C$18-1))</f>
        <v>9510.7547961470154</v>
      </c>
      <c r="AD6" s="21">
        <f t="shared" si="5"/>
        <v>0</v>
      </c>
      <c r="AF6" s="21">
        <f t="shared" si="10"/>
        <v>31.04509297155645</v>
      </c>
      <c r="AG6" s="21">
        <f>MAX(Assumptions!$B$21,AF6+AH6)</f>
        <v>37.567016919376456</v>
      </c>
      <c r="AH6" s="21">
        <f>((AL6*(Assumptions!$B$22+((Assumptions!$B$23-Assumptions!$B$22)*IF(AI6&gt;0,AK6/AI6,0)))*(1+Assumptions!$B$60*(Archetypes!$D$13-1)))+IF(AL6&gt;AI6,AI6*Assumptions!$B$24,0)-IF(IF(AI6&gt;0,AM6/AI6,1)&lt;Assumptions!$B$61,((AM6*(Assumptions!$B$27*(1+Assumptions!$B$28*(Archetypes!$D$14-1))/(1+Assumptions!$B$29*(Archetypes!$D$12-1))))+(((AI6*Archetypes!$D$17*IF(AI6&gt;0,AM6/AI6,1)*Archetypes!$D$31)/100)*Assumptions!$B$30))*Assumptions!$B$62,((AM6*(Assumptions!$B$27*(1+Assumptions!$B$28*(Archetypes!$D$14-1))/(1+Assumptions!$B$29*(Archetypes!$D$12-1))))+(((AI6*Archetypes!$D$17*IF(AI6&gt;0,AM6/AI6,1)*Archetypes!$D$31)/100)*Assumptions!$B$30)))-(Assumptions!$B$25*Assumptions!$B$26*E6))*E6</f>
        <v>6.5219239478200048</v>
      </c>
      <c r="AI6" s="21">
        <f>(Archetypes!$D$11*(IF(AF6&lt;0,1+Assumptions!$B$32*MIN(1,ABS(AF6)/ABS(Assumptions!$B$21)),MAX(0.1,1-Assumptions!$B$31*(AF6/50)))))*$E6</f>
        <v>1.8823766530239681</v>
      </c>
      <c r="AJ6" s="26">
        <f>Archetypes!$D$30</f>
        <v>0.10400000000000001</v>
      </c>
      <c r="AK6" s="21">
        <f t="shared" si="6"/>
        <v>0.19576717191449269</v>
      </c>
      <c r="AL6" s="21">
        <f>((AI6-AK6)*Archetypes!$D$15)+(AK6*Archetypes!$D$15*Archetypes!$D$22)</f>
        <v>2.9410252826846475</v>
      </c>
      <c r="AM6" s="21">
        <f>AI6*Archetypes!$D$16</f>
        <v>0.37647533060479366</v>
      </c>
      <c r="AN6" s="21">
        <f>(IF(AF6&lt;0,Assumptions!$B$8,IF(AF6&lt;10,Assumptions!$B$34,IF(AF6&lt;25,Assumptions!$B$35,Assumptions!$B$36))))*((((Archetypes!$D$5*Assumptions!$B$4+Archetypes!$D$6*Assumptions!$B$5)*60))+(Assumptions!$B$6*(((Archetypes!$D$11*(IF(AF6&lt;0,1+Assumptions!$B$32*MIN(1,ABS(AF6)/ABS(Assumptions!$B$21)),MAX(0.1,1-Assumptions!$B$31*(AF6/50)))))-((Archetypes!$D$11*(IF(AF6&lt;0,1+Assumptions!$B$32*MIN(1,ABS(AF6)/ABS(Assumptions!$B$21)),MAX(0.1,1-Assumptions!$B$31*(AF6/50)))))*AJ6)*Archetypes!$D$20)+((Archetypes!$D$11*(IF(AF6&lt;0,1+Assumptions!$B$32*MIN(1,ABS(AF6)/ABS(Assumptions!$B$21)),MAX(0.1,1-Assumptions!$B$31*(AF6/50)))))*AJ6*Archetypes!$D$20*Archetypes!$D$21)*Assumptions!$B$18)*(IF($D6=1,1,Assumptions!$B$7)))+(((((Archetypes!$D$11*(IF(AF6&lt;0,1+Assumptions!$B$32*MIN(1,ABS(AF6)/ABS(Assumptions!$B$21)),MAX(0.1,1-Assumptions!$B$31*(AF6/50)))))-((Archetypes!$D$11*(IF(AF6&lt;0,1+Assumptions!$B$32*MIN(1,ABS(AF6)/ABS(Assumptions!$B$21)),MAX(0.1,1-Assumptions!$B$31*(AF6/50)))))*AJ6)*Archetypes!$D$15)*(Archetypes!$D$13*IF(AF6&lt;0,1-Assumptions!$B$33*MIN(1,ABS(AF6)/ABS(Assumptions!$B$21)),1))*5)+(((Archetypes!$D$11*(IF(AF6&lt;0,1+Assumptions!$B$32*MIN(1,ABS(AF6)/ABS(Assumptions!$B$21)),MAX(0.1,1-Assumptions!$B$31*(AF6/50)))))*AJ6*Archetypes!$D$15*Archetypes!$D$22)*(Archetypes!$D$13*IF(AF6&lt;0,1-Assumptions!$B$33*MIN(1,ABS(AF6)/ABS(Assumptions!$B$21)),1))*5*Assumptions!$B$18))*IF(AF6&lt;0,Assumptions!$B$9,1)))*$E6</f>
        <v>1322.7657411717955</v>
      </c>
      <c r="AO6" s="21">
        <f>(AO5)+(AN6)-(MAX(0,((AO5)+(AN6)-(AP6)))*(IF(Archetypes!$D$27="",Assumptions!$B$11,Archetypes!$D$27)))</f>
        <v>6141.6661519169629</v>
      </c>
      <c r="AP6" s="21">
        <f>Archetypes!$D$36 + (Assumptions!$B$67*(IF($E6=0,0,AI6/$E6))*Assumptions!$B$71*(1+Assumptions!$B$68*(Archetypes!$D$14-1))) + (Assumptions!$B$69*Archetypes!$D$34*(IF($E6=0,0,AI6/$E6))*Assumptions!$B$72*POWER(Assumptions!$B$70,Archetypes!$D$18-1))</f>
        <v>21078.616966340604</v>
      </c>
      <c r="AQ6" s="21">
        <f t="shared" si="7"/>
        <v>0</v>
      </c>
    </row>
    <row r="7" spans="1:52" x14ac:dyDescent="0.25">
      <c r="A7" s="20">
        <v>3</v>
      </c>
      <c r="B7" s="20">
        <f t="shared" si="0"/>
        <v>1</v>
      </c>
      <c r="C7" s="20">
        <f t="shared" si="1"/>
        <v>3</v>
      </c>
      <c r="D7" s="6">
        <f>IF(C7&lt;Assumptions!$B$10,1,0)</f>
        <v>0</v>
      </c>
      <c r="E7" s="6">
        <v>1</v>
      </c>
      <c r="F7" s="21">
        <f t="shared" si="8"/>
        <v>-6.5337831238735351</v>
      </c>
      <c r="G7" s="21">
        <f>MAX(Assumptions!$B$21,F7+H7)</f>
        <v>-8.9384556493960279</v>
      </c>
      <c r="H7" s="21">
        <f>((L7*(Assumptions!$B$22+((Assumptions!$B$23-Assumptions!$B$22)*IF(I7&gt;0,K7/I7,0)))*(1+Assumptions!$B$60*(Archetypes!$B$13-1)))+IF(L7&gt;I7,I7*Assumptions!$B$24,0)-IF(IF(I7&gt;0,M7/I7,1)&lt;Assumptions!$B$61,((M7*(Assumptions!$B$27*(1+Assumptions!$B$28*(Archetypes!$B$14-1))/(1+Assumptions!$B$29*(Archetypes!$B$12-1))))+(((I7*Archetypes!$B$17*IF(I7&gt;0,M7/I7,1)*Archetypes!$B$31)/100)*Assumptions!$B$30))*Assumptions!$B$62,((M7*(Assumptions!$B$27*(1+Assumptions!$B$28*(Archetypes!$B$14-1))/(1+Assumptions!$B$29*(Archetypes!$B$12-1))))+(((I7*Archetypes!$B$17*IF(I7&gt;0,M7/I7,1)*Archetypes!$B$31)/100)*Assumptions!$B$30)))-(Assumptions!$B$25*Assumptions!$B$26*E7))*E7</f>
        <v>-2.4046725255224932</v>
      </c>
      <c r="I7" s="21">
        <f>(Archetypes!$B$11*(IF(F7&lt;0,1+Assumptions!$B$32*MIN(1,ABS(F7)/ABS(Assumptions!$B$21)),MAX(0.1,1-Assumptions!$B$31*(F7/50)))))*$E7</f>
        <v>11.742342166366274</v>
      </c>
      <c r="J7" s="26">
        <f>Archetypes!$B$30</f>
        <v>2.1999999999999999E-2</v>
      </c>
      <c r="K7" s="21">
        <f t="shared" si="2"/>
        <v>0.25833152766005801</v>
      </c>
      <c r="L7" s="21">
        <f>((I7-K7)*Archetypes!$B$15)+(K7*Archetypes!$B$15*Archetypes!$B$22)</f>
        <v>1.1794008471898287</v>
      </c>
      <c r="M7" s="21">
        <f>I7*Archetypes!$B$16</f>
        <v>8.8067566247747067</v>
      </c>
      <c r="N7" s="21">
        <f>(IF(F7&lt;0,Assumptions!$B$8,IF(F7&lt;10,Assumptions!$B$34,IF(F7&lt;25,Assumptions!$B$35,Assumptions!$B$36))))*((((Archetypes!$B$5*Assumptions!$B$4+Archetypes!$B$6*Assumptions!$B$5)*60))+(Assumptions!$B$6*(((Archetypes!$B$11*(IF(F7&lt;0,1+Assumptions!$B$32*MIN(1,ABS(F7)/ABS(Assumptions!$B$21)),MAX(0.1,1-Assumptions!$B$31*(F7/50)))))-((Archetypes!$B$11*(IF(F7&lt;0,1+Assumptions!$B$32*MIN(1,ABS(F7)/ABS(Assumptions!$B$21)),MAX(0.1,1-Assumptions!$B$31*(F7/50)))))*J7)*Archetypes!$B$20)+((Archetypes!$B$11*(IF(F7&lt;0,1+Assumptions!$B$32*MIN(1,ABS(F7)/ABS(Assumptions!$B$21)),MAX(0.1,1-Assumptions!$B$31*(F7/50)))))*J7*Archetypes!$B$20*Archetypes!$B$21)*Assumptions!$B$18)*(IF($D7=1,1,Assumptions!$B$7)))+(((((Archetypes!$B$11*(IF(F7&lt;0,1+Assumptions!$B$32*MIN(1,ABS(F7)/ABS(Assumptions!$B$21)),MAX(0.1,1-Assumptions!$B$31*(F7/50)))))-((Archetypes!$B$11*(IF(F7&lt;0,1+Assumptions!$B$32*MIN(1,ABS(F7)/ABS(Assumptions!$B$21)),MAX(0.1,1-Assumptions!$B$31*(F7/50)))))*J7)*Archetypes!$B$15)*(Archetypes!$B$13*IF(F7&lt;0,1-Assumptions!$B$33*MIN(1,ABS(F7)/ABS(Assumptions!$B$21)),1))*5)+(((Archetypes!$B$11*(IF(F7&lt;0,1+Assumptions!$B$32*MIN(1,ABS(F7)/ABS(Assumptions!$B$21)),MAX(0.1,1-Assumptions!$B$31*(F7/50)))))*J7*Archetypes!$B$15*Archetypes!$B$22)*(Archetypes!$B$13*IF(F7&lt;0,1-Assumptions!$B$33*MIN(1,ABS(F7)/ABS(Assumptions!$B$21)),1))*5*Assumptions!$B$18))*IF(F7&lt;0,Assumptions!$B$9,1)))*$E7</f>
        <v>503.25387306051556</v>
      </c>
      <c r="O7" s="21">
        <f>(O6)+(N7)-(MAX(0,((O6)+(N7)-(P7)))*(IF(Archetypes!$B$27="",Assumptions!$B$11,Archetypes!$B$27)))</f>
        <v>2340.0713369176897</v>
      </c>
      <c r="P7" s="21">
        <f>Archetypes!$B$36 + (Assumptions!$B$67*(IF($E7=0,0,I7/$E7))*Assumptions!$B$71*(1+Assumptions!$B$68*(Archetypes!$B$14-1))) + (Assumptions!$B$69*Archetypes!$B$34*(IF($E7=0,0,I7/$E7))*Assumptions!$B$72*POWER(Assumptions!$B$70,Archetypes!$B$18-1))</f>
        <v>2560.1924239855807</v>
      </c>
      <c r="Q7" s="21">
        <f t="shared" si="3"/>
        <v>0</v>
      </c>
      <c r="S7" s="21">
        <f t="shared" si="9"/>
        <v>16.537459540414396</v>
      </c>
      <c r="T7" s="21">
        <f>MAX(Assumptions!$B$21,S7+U7)</f>
        <v>19.977490954045628</v>
      </c>
      <c r="U7" s="21">
        <f>((Y7*(Assumptions!$B$22+((Assumptions!$B$23-Assumptions!$B$22)*IF(V7&gt;0,X7/V7,0)))*(1+Assumptions!$B$60*(Archetypes!$C$13-1)))+IF(Y7&gt;V7,V7*Assumptions!$B$24,0)-IF(IF(V7&gt;0,Z7/V7,1)&lt;Assumptions!$B$61,((Z7*(Assumptions!$B$27*(1+Assumptions!$B$28*(Archetypes!$C$14-1))/(1+Assumptions!$B$29*(Archetypes!$C$12-1))))+(((V7*Archetypes!$C$17*IF(V7&gt;0,Z7/V7,1)*Archetypes!$C$31)/100)*Assumptions!$B$30))*Assumptions!$B$62,((Z7*(Assumptions!$B$27*(1+Assumptions!$B$28*(Archetypes!$C$14-1))/(1+Assumptions!$B$29*(Archetypes!$C$12-1))))+(((V7*Archetypes!$C$17*IF(V7&gt;0,Z7/V7,1)*Archetypes!$C$31)/100)*Assumptions!$B$30)))-(Assumptions!$B$25*Assumptions!$B$26*E7))*E7</f>
        <v>3.4400314136312335</v>
      </c>
      <c r="V7" s="21">
        <f>(Archetypes!$C$11*(IF(S7&lt;0,1+Assumptions!$B$32*MIN(1,ABS(S7)/ABS(Assumptions!$B$21)),MAX(0.1,1-Assumptions!$B$31*(S7/50)))))*$E7</f>
        <v>4.8093029130901641</v>
      </c>
      <c r="W7" s="26">
        <f>Archetypes!$C$30</f>
        <v>3.7999999999999999E-2</v>
      </c>
      <c r="X7" s="21">
        <f t="shared" si="4"/>
        <v>0.18275351069742624</v>
      </c>
      <c r="Y7" s="21">
        <f>((V7-X7)*Archetypes!$C$15)+(X7*Archetypes!$C$15*Archetypes!$C$22)</f>
        <v>2.4320644831496958</v>
      </c>
      <c r="Z7" s="21">
        <f>V7*Archetypes!$C$16</f>
        <v>2.1641863108905741</v>
      </c>
      <c r="AA7" s="21">
        <f>(IF(S7&lt;0,Assumptions!$B$8,IF(S7&lt;10,Assumptions!$B$34,IF(S7&lt;25,Assumptions!$B$35,Assumptions!$B$36))))*((((Archetypes!$C$5*Assumptions!$B$4+Archetypes!$C$6*Assumptions!$B$5)*60))+(Assumptions!$B$6*(((Archetypes!$C$11*(IF(S7&lt;0,1+Assumptions!$B$32*MIN(1,ABS(S7)/ABS(Assumptions!$B$21)),MAX(0.1,1-Assumptions!$B$31*(S7/50)))))-((Archetypes!$C$11*(IF(S7&lt;0,1+Assumptions!$B$32*MIN(1,ABS(S7)/ABS(Assumptions!$B$21)),MAX(0.1,1-Assumptions!$B$31*(S7/50)))))*W7)*Archetypes!$C$20)+((Archetypes!$C$11*(IF(S7&lt;0,1+Assumptions!$B$32*MIN(1,ABS(S7)/ABS(Assumptions!$B$21)),MAX(0.1,1-Assumptions!$B$31*(S7/50)))))*W7*Archetypes!$C$20*Archetypes!$C$21)*Assumptions!$B$18)*(IF($D7=1,1,Assumptions!$B$7)))+(((((Archetypes!$C$11*(IF(S7&lt;0,1+Assumptions!$B$32*MIN(1,ABS(S7)/ABS(Assumptions!$B$21)),MAX(0.1,1-Assumptions!$B$31*(S7/50)))))-((Archetypes!$C$11*(IF(S7&lt;0,1+Assumptions!$B$32*MIN(1,ABS(S7)/ABS(Assumptions!$B$21)),MAX(0.1,1-Assumptions!$B$31*(S7/50)))))*W7)*Archetypes!$C$15)*(Archetypes!$C$13*IF(S7&lt;0,1-Assumptions!$B$33*MIN(1,ABS(S7)/ABS(Assumptions!$B$21)),1))*5)+(((Archetypes!$C$11*(IF(S7&lt;0,1+Assumptions!$B$32*MIN(1,ABS(S7)/ABS(Assumptions!$B$21)),MAX(0.1,1-Assumptions!$B$31*(S7/50)))))*W7*Archetypes!$C$15*Archetypes!$C$22)*(Archetypes!$C$13*IF(S7&lt;0,1-Assumptions!$B$33*MIN(1,ABS(S7)/ABS(Assumptions!$B$21)),1))*5*Assumptions!$B$18))*IF(S7&lt;0,Assumptions!$B$9,1)))*$E7</f>
        <v>1015.8085040020379</v>
      </c>
      <c r="AB7" s="21">
        <f>(AB6)+(AA7)-(MAX(0,((AB6)+(AA7)-(AC7)))*(IF(Archetypes!$C$27="",Assumptions!$B$11,Archetypes!$C$27)))</f>
        <v>5055.6005124093317</v>
      </c>
      <c r="AC7" s="21">
        <f>Archetypes!$C$36 + (Assumptions!$B$67*(IF($E7=0,0,V7/$E7))*Assumptions!$B$71*(1+Assumptions!$B$68*(Archetypes!$C$14-1))) + (Assumptions!$B$69*Archetypes!$C$34*(IF($E7=0,0,V7/$E7))*Assumptions!$B$72*POWER(Assumptions!$B$70,Archetypes!$C$18-1))</f>
        <v>9487.1972621781169</v>
      </c>
      <c r="AD7" s="21">
        <f t="shared" si="5"/>
        <v>0</v>
      </c>
      <c r="AF7" s="21">
        <f t="shared" si="10"/>
        <v>37.567016919376456</v>
      </c>
      <c r="AG7" s="21">
        <f>MAX(Assumptions!$B$21,AF7+AH7)</f>
        <v>43.256750296768892</v>
      </c>
      <c r="AH7" s="21">
        <f>((AL7*(Assumptions!$B$22+((Assumptions!$B$23-Assumptions!$B$22)*IF(AI7&gt;0,AK7/AI7,0)))*(1+Assumptions!$B$60*(Archetypes!$D$13-1)))+IF(AL7&gt;AI7,AI7*Assumptions!$B$24,0)-IF(IF(AI7&gt;0,AM7/AI7,1)&lt;Assumptions!$B$61,((AM7*(Assumptions!$B$27*(1+Assumptions!$B$28*(Archetypes!$D$14-1))/(1+Assumptions!$B$29*(Archetypes!$D$12-1))))+(((AI7*Archetypes!$D$17*IF(AI7&gt;0,AM7/AI7,1)*Archetypes!$D$31)/100)*Assumptions!$B$30))*Assumptions!$B$62,((AM7*(Assumptions!$B$27*(1+Assumptions!$B$28*(Archetypes!$D$14-1))/(1+Assumptions!$B$29*(Archetypes!$D$12-1))))+(((AI7*Archetypes!$D$17*IF(AI7&gt;0,AM7/AI7,1)*Archetypes!$D$31)/100)*Assumptions!$B$30)))-(Assumptions!$B$25*Assumptions!$B$26*E7))*E7</f>
        <v>5.6897333773924332</v>
      </c>
      <c r="AI7" s="21">
        <f>(Archetypes!$D$11*(IF(AF7&lt;0,1+Assumptions!$B$32*MIN(1,ABS(AF7)/ABS(Assumptions!$B$21)),MAX(0.1,1-Assumptions!$B$31*(AF7/50)))))*$E7</f>
        <v>1.6475873909024477</v>
      </c>
      <c r="AJ7" s="26">
        <f>Archetypes!$D$30</f>
        <v>0.10400000000000001</v>
      </c>
      <c r="AK7" s="21">
        <f t="shared" si="6"/>
        <v>0.17134908865385456</v>
      </c>
      <c r="AL7" s="21">
        <f>((AI7-AK7)*Archetypes!$D$15)+(AK7*Archetypes!$D$15*Archetypes!$D$22)</f>
        <v>2.5741905395459845</v>
      </c>
      <c r="AM7" s="21">
        <f>AI7*Archetypes!$D$16</f>
        <v>0.32951747818048954</v>
      </c>
      <c r="AN7" s="21">
        <f>(IF(AF7&lt;0,Assumptions!$B$8,IF(AF7&lt;10,Assumptions!$B$34,IF(AF7&lt;25,Assumptions!$B$35,Assumptions!$B$36))))*((((Archetypes!$D$5*Assumptions!$B$4+Archetypes!$D$6*Assumptions!$B$5)*60))+(Assumptions!$B$6*(((Archetypes!$D$11*(IF(AF7&lt;0,1+Assumptions!$B$32*MIN(1,ABS(AF7)/ABS(Assumptions!$B$21)),MAX(0.1,1-Assumptions!$B$31*(AF7/50)))))-((Archetypes!$D$11*(IF(AF7&lt;0,1+Assumptions!$B$32*MIN(1,ABS(AF7)/ABS(Assumptions!$B$21)),MAX(0.1,1-Assumptions!$B$31*(AF7/50)))))*AJ7)*Archetypes!$D$20)+((Archetypes!$D$11*(IF(AF7&lt;0,1+Assumptions!$B$32*MIN(1,ABS(AF7)/ABS(Assumptions!$B$21)),MAX(0.1,1-Assumptions!$B$31*(AF7/50)))))*AJ7*Archetypes!$D$20*Archetypes!$D$21)*Assumptions!$B$18)*(IF($D7=1,1,Assumptions!$B$7)))+(((((Archetypes!$D$11*(IF(AF7&lt;0,1+Assumptions!$B$32*MIN(1,ABS(AF7)/ABS(Assumptions!$B$21)),MAX(0.1,1-Assumptions!$B$31*(AF7/50)))))-((Archetypes!$D$11*(IF(AF7&lt;0,1+Assumptions!$B$32*MIN(1,ABS(AF7)/ABS(Assumptions!$B$21)),MAX(0.1,1-Assumptions!$B$31*(AF7/50)))))*AJ7)*Archetypes!$D$15)*(Archetypes!$D$13*IF(AF7&lt;0,1-Assumptions!$B$33*MIN(1,ABS(AF7)/ABS(Assumptions!$B$21)),1))*5)+(((Archetypes!$D$11*(IF(AF7&lt;0,1+Assumptions!$B$32*MIN(1,ABS(AF7)/ABS(Assumptions!$B$21)),MAX(0.1,1-Assumptions!$B$31*(AF7/50)))))*AJ7*Archetypes!$D$15*Archetypes!$D$22)*(Archetypes!$D$13*IF(AF7&lt;0,1-Assumptions!$B$33*MIN(1,ABS(AF7)/ABS(Assumptions!$B$21)),1))*5*Assumptions!$B$18))*IF(AF7&lt;0,Assumptions!$B$9,1)))*$E7</f>
        <v>1265.9179780537779</v>
      </c>
      <c r="AO7" s="21">
        <f>(AO6)+(AN7)-(MAX(0,((AO6)+(AN7)-(AP7)))*(IF(Archetypes!$D$27="",Assumptions!$B$11,Archetypes!$D$27)))</f>
        <v>7407.5841299707408</v>
      </c>
      <c r="AP7" s="21">
        <f>Archetypes!$D$36 + (Assumptions!$B$67*(IF($E7=0,0,AI7/$E7))*Assumptions!$B$71*(1+Assumptions!$B$68*(Archetypes!$D$14-1))) + (Assumptions!$B$69*Archetypes!$D$34*(IF($E7=0,0,AI7/$E7))*Assumptions!$B$72*POWER(Assumptions!$B$70,Archetypes!$D$18-1))</f>
        <v>21033.537428013271</v>
      </c>
      <c r="AQ7" s="21">
        <f t="shared" si="7"/>
        <v>0</v>
      </c>
    </row>
    <row r="8" spans="1:52" x14ac:dyDescent="0.25">
      <c r="A8" s="20">
        <v>4</v>
      </c>
      <c r="B8" s="20">
        <f t="shared" si="0"/>
        <v>1</v>
      </c>
      <c r="C8" s="20">
        <f t="shared" si="1"/>
        <v>4</v>
      </c>
      <c r="D8" s="6">
        <f>IF(C8&lt;Assumptions!$B$10,1,0)</f>
        <v>0</v>
      </c>
      <c r="E8" s="6">
        <v>1</v>
      </c>
      <c r="F8" s="21">
        <f t="shared" si="8"/>
        <v>-8.9384556493960279</v>
      </c>
      <c r="G8" s="21">
        <f>MAX(Assumptions!$B$21,F8+H8)</f>
        <v>-11.466255208108519</v>
      </c>
      <c r="H8" s="21">
        <f>((L8*(Assumptions!$B$22+((Assumptions!$B$23-Assumptions!$B$22)*IF(I8&gt;0,K8/I8,0)))*(1+Assumptions!$B$60*(Archetypes!$B$13-1)))+IF(L8&gt;I8,I8*Assumptions!$B$24,0)-IF(IF(I8&gt;0,M8/I8,1)&lt;Assumptions!$B$61,((M8*(Assumptions!$B$27*(1+Assumptions!$B$28*(Archetypes!$B$14-1))/(1+Assumptions!$B$29*(Archetypes!$B$12-1))))+(((I8*Archetypes!$B$17*IF(I8&gt;0,M8/I8,1)*Archetypes!$B$31)/100)*Assumptions!$B$30))*Assumptions!$B$62,((M8*(Assumptions!$B$27*(1+Assumptions!$B$28*(Archetypes!$B$14-1))/(1+Assumptions!$B$29*(Archetypes!$B$12-1))))+(((I8*Archetypes!$B$17*IF(I8&gt;0,M8/I8,1)*Archetypes!$B$31)/100)*Assumptions!$B$30)))-(Assumptions!$B$25*Assumptions!$B$26*E8))*E8</f>
        <v>-2.5277995587124917</v>
      </c>
      <c r="I8" s="21">
        <f>(Archetypes!$B$11*(IF(F8&lt;0,1+Assumptions!$B$32*MIN(1,ABS(F8)/ABS(Assumptions!$B$21)),MAX(0.1,1-Assumptions!$B$31*(F8/50)))))*$E8</f>
        <v>12.383588173172274</v>
      </c>
      <c r="J8" s="26">
        <f>Archetypes!$B$30</f>
        <v>2.1999999999999999E-2</v>
      </c>
      <c r="K8" s="21">
        <f t="shared" si="2"/>
        <v>0.27243893980979</v>
      </c>
      <c r="L8" s="21">
        <f>((I8-K8)*Archetypes!$B$15)+(K8*Archetypes!$B$15*Archetypes!$B$22)</f>
        <v>1.2438075961134234</v>
      </c>
      <c r="M8" s="21">
        <f>I8*Archetypes!$B$16</f>
        <v>9.2876911298792066</v>
      </c>
      <c r="N8" s="21">
        <f>(IF(F8&lt;0,Assumptions!$B$8,IF(F8&lt;10,Assumptions!$B$34,IF(F8&lt;25,Assumptions!$B$35,Assumptions!$B$36))))*((((Archetypes!$B$5*Assumptions!$B$4+Archetypes!$B$6*Assumptions!$B$5)*60))+(Assumptions!$B$6*(((Archetypes!$B$11*(IF(F8&lt;0,1+Assumptions!$B$32*MIN(1,ABS(F8)/ABS(Assumptions!$B$21)),MAX(0.1,1-Assumptions!$B$31*(F8/50)))))-((Archetypes!$B$11*(IF(F8&lt;0,1+Assumptions!$B$32*MIN(1,ABS(F8)/ABS(Assumptions!$B$21)),MAX(0.1,1-Assumptions!$B$31*(F8/50)))))*J8)*Archetypes!$B$20)+((Archetypes!$B$11*(IF(F8&lt;0,1+Assumptions!$B$32*MIN(1,ABS(F8)/ABS(Assumptions!$B$21)),MAX(0.1,1-Assumptions!$B$31*(F8/50)))))*J8*Archetypes!$B$20*Archetypes!$B$21)*Assumptions!$B$18)*(IF($D8=1,1,Assumptions!$B$7)))+(((((Archetypes!$B$11*(IF(F8&lt;0,1+Assumptions!$B$32*MIN(1,ABS(F8)/ABS(Assumptions!$B$21)),MAX(0.1,1-Assumptions!$B$31*(F8/50)))))-((Archetypes!$B$11*(IF(F8&lt;0,1+Assumptions!$B$32*MIN(1,ABS(F8)/ABS(Assumptions!$B$21)),MAX(0.1,1-Assumptions!$B$31*(F8/50)))))*J8)*Archetypes!$B$15)*(Archetypes!$B$13*IF(F8&lt;0,1-Assumptions!$B$33*MIN(1,ABS(F8)/ABS(Assumptions!$B$21)),1))*5)+(((Archetypes!$B$11*(IF(F8&lt;0,1+Assumptions!$B$32*MIN(1,ABS(F8)/ABS(Assumptions!$B$21)),MAX(0.1,1-Assumptions!$B$31*(F8/50)))))*J8*Archetypes!$B$15*Archetypes!$B$22)*(Archetypes!$B$13*IF(F8&lt;0,1-Assumptions!$B$33*MIN(1,ABS(F8)/ABS(Assumptions!$B$21)),1))*5*Assumptions!$B$18))*IF(F8&lt;0,Assumptions!$B$9,1)))*$E8</f>
        <v>500.66953436713715</v>
      </c>
      <c r="O8" s="21">
        <f>(O7)+(N8)-(MAX(0,((O7)+(N8)-(P8)))*(IF(Archetypes!$B$27="",Assumptions!$B$11,Archetypes!$B$27)))</f>
        <v>2790.7871434903154</v>
      </c>
      <c r="P8" s="21">
        <f>Archetypes!$B$36 + (Assumptions!$B$67*(IF($E8=0,0,I8/$E8))*Assumptions!$B$71*(1+Assumptions!$B$68*(Archetypes!$B$14-1))) + (Assumptions!$B$69*Archetypes!$B$34*(IF($E8=0,0,I8/$E8))*Assumptions!$B$72*POWER(Assumptions!$B$70,Archetypes!$B$18-1))</f>
        <v>2590.9722323122687</v>
      </c>
      <c r="Q8" s="21">
        <f t="shared" si="3"/>
        <v>199.81491117804671</v>
      </c>
      <c r="S8" s="21">
        <f t="shared" si="9"/>
        <v>19.977490954045628</v>
      </c>
      <c r="T8" s="21">
        <f>MAX(Assumptions!$B$21,S8+U8)</f>
        <v>23.232633389697451</v>
      </c>
      <c r="U8" s="21">
        <f>((Y8*(Assumptions!$B$22+((Assumptions!$B$23-Assumptions!$B$22)*IF(V8&gt;0,X8/V8,0)))*(1+Assumptions!$B$60*(Archetypes!$C$13-1)))+IF(Y8&gt;V8,V8*Assumptions!$B$24,0)-IF(IF(V8&gt;0,Z8/V8,1)&lt;Assumptions!$B$61,((Z8*(Assumptions!$B$27*(1+Assumptions!$B$28*(Archetypes!$C$14-1))/(1+Assumptions!$B$29*(Archetypes!$C$12-1))))+(((V8*Archetypes!$C$17*IF(V8&gt;0,Z8/V8,1)*Archetypes!$C$31)/100)*Assumptions!$B$30))*Assumptions!$B$62,((Z8*(Assumptions!$B$27*(1+Assumptions!$B$28*(Archetypes!$C$14-1))/(1+Assumptions!$B$29*(Archetypes!$C$12-1))))+(((V8*Archetypes!$C$17*IF(V8&gt;0,Z8/V8,1)*Archetypes!$C$31)/100)*Assumptions!$B$30)))-(Assumptions!$B$25*Assumptions!$B$26*E8))*E8</f>
        <v>3.2551424356518246</v>
      </c>
      <c r="V8" s="21">
        <f>(Archetypes!$C$11*(IF(S8&lt;0,1+Assumptions!$B$32*MIN(1,ABS(S8)/ABS(Assumptions!$B$21)),MAX(0.1,1-Assumptions!$B$31*(S8/50)))))*$E8</f>
        <v>4.561620651308715</v>
      </c>
      <c r="W8" s="26">
        <f>Archetypes!$C$30</f>
        <v>3.7999999999999999E-2</v>
      </c>
      <c r="X8" s="21">
        <f t="shared" si="4"/>
        <v>0.17334158474973116</v>
      </c>
      <c r="Y8" s="21">
        <f>((V8-X8)*Archetypes!$C$15)+(X8*Archetypes!$C$15*Archetypes!$C$22)</f>
        <v>2.3068115633668174</v>
      </c>
      <c r="Z8" s="21">
        <f>V8*Archetypes!$C$16</f>
        <v>2.0527292930889218</v>
      </c>
      <c r="AA8" s="21">
        <f>(IF(S8&lt;0,Assumptions!$B$8,IF(S8&lt;10,Assumptions!$B$34,IF(S8&lt;25,Assumptions!$B$35,Assumptions!$B$36))))*((((Archetypes!$C$5*Assumptions!$B$4+Archetypes!$C$6*Assumptions!$B$5)*60))+(Assumptions!$B$6*(((Archetypes!$C$11*(IF(S8&lt;0,1+Assumptions!$B$32*MIN(1,ABS(S8)/ABS(Assumptions!$B$21)),MAX(0.1,1-Assumptions!$B$31*(S8/50)))))-((Archetypes!$C$11*(IF(S8&lt;0,1+Assumptions!$B$32*MIN(1,ABS(S8)/ABS(Assumptions!$B$21)),MAX(0.1,1-Assumptions!$B$31*(S8/50)))))*W8)*Archetypes!$C$20)+((Archetypes!$C$11*(IF(S8&lt;0,1+Assumptions!$B$32*MIN(1,ABS(S8)/ABS(Assumptions!$B$21)),MAX(0.1,1-Assumptions!$B$31*(S8/50)))))*W8*Archetypes!$C$20*Archetypes!$C$21)*Assumptions!$B$18)*(IF($D8=1,1,Assumptions!$B$7)))+(((((Archetypes!$C$11*(IF(S8&lt;0,1+Assumptions!$B$32*MIN(1,ABS(S8)/ABS(Assumptions!$B$21)),MAX(0.1,1-Assumptions!$B$31*(S8/50)))))-((Archetypes!$C$11*(IF(S8&lt;0,1+Assumptions!$B$32*MIN(1,ABS(S8)/ABS(Assumptions!$B$21)),MAX(0.1,1-Assumptions!$B$31*(S8/50)))))*W8)*Archetypes!$C$15)*(Archetypes!$C$13*IF(S8&lt;0,1-Assumptions!$B$33*MIN(1,ABS(S8)/ABS(Assumptions!$B$21)),1))*5)+(((Archetypes!$C$11*(IF(S8&lt;0,1+Assumptions!$B$32*MIN(1,ABS(S8)/ABS(Assumptions!$B$21)),MAX(0.1,1-Assumptions!$B$31*(S8/50)))))*W8*Archetypes!$C$15*Archetypes!$C$22)*(Archetypes!$C$13*IF(S8&lt;0,1-Assumptions!$B$33*MIN(1,ABS(S8)/ABS(Assumptions!$B$21)),1))*5*Assumptions!$B$18))*IF(S8&lt;0,Assumptions!$B$9,1)))*$E8</f>
        <v>994.31684169677362</v>
      </c>
      <c r="AB8" s="21">
        <f>(AB7)+(AA8)-(MAX(0,((AB7)+(AA8)-(AC8)))*(IF(Archetypes!$C$27="",Assumptions!$B$11,Archetypes!$C$27)))</f>
        <v>6049.9173541061054</v>
      </c>
      <c r="AC8" s="21">
        <f>Archetypes!$C$36 + (Assumptions!$B$67*(IF($E8=0,0,V8/$E8))*Assumptions!$B$71*(1+Assumptions!$B$68*(Archetypes!$C$14-1))) + (Assumptions!$B$69*Archetypes!$C$34*(IF($E8=0,0,V8/$E8))*Assumptions!$B$72*POWER(Assumptions!$B$70,Archetypes!$C$18-1))</f>
        <v>9464.9058586177853</v>
      </c>
      <c r="AD8" s="21">
        <f t="shared" si="5"/>
        <v>0</v>
      </c>
      <c r="AF8" s="21">
        <f t="shared" si="10"/>
        <v>43.256750296768892</v>
      </c>
      <c r="AG8" s="21">
        <f>MAX(Assumptions!$B$21,AF8+AH8)</f>
        <v>48.22047973685757</v>
      </c>
      <c r="AH8" s="21">
        <f>((AL8*(Assumptions!$B$22+((Assumptions!$B$23-Assumptions!$B$22)*IF(AI8&gt;0,AK8/AI8,0)))*(1+Assumptions!$B$60*(Archetypes!$D$13-1)))+IF(AL8&gt;AI8,AI8*Assumptions!$B$24,0)-IF(IF(AI8&gt;0,AM8/AI8,1)&lt;Assumptions!$B$61,((AM8*(Assumptions!$B$27*(1+Assumptions!$B$28*(Archetypes!$D$14-1))/(1+Assumptions!$B$29*(Archetypes!$D$12-1))))+(((AI8*Archetypes!$D$17*IF(AI8&gt;0,AM8/AI8,1)*Archetypes!$D$31)/100)*Assumptions!$B$30))*Assumptions!$B$62,((AM8*(Assumptions!$B$27*(1+Assumptions!$B$28*(Archetypes!$D$14-1))/(1+Assumptions!$B$29*(Archetypes!$D$12-1))))+(((AI8*Archetypes!$D$17*IF(AI8&gt;0,AM8/AI8,1)*Archetypes!$D$31)/100)*Assumptions!$B$30)))-(Assumptions!$B$25*Assumptions!$B$26*E8))*E8</f>
        <v>4.9637294400886747</v>
      </c>
      <c r="AI8" s="21">
        <f>(Archetypes!$D$11*(IF(AF8&lt;0,1+Assumptions!$B$32*MIN(1,ABS(AF8)/ABS(Assumptions!$B$21)),MAX(0.1,1-Assumptions!$B$31*(AF8/50)))))*$E8</f>
        <v>1.4427569893163201</v>
      </c>
      <c r="AJ8" s="26">
        <f>Archetypes!$D$30</f>
        <v>0.10400000000000001</v>
      </c>
      <c r="AK8" s="21">
        <f t="shared" si="6"/>
        <v>0.15004672688889731</v>
      </c>
      <c r="AL8" s="21">
        <f>((AI8-AK8)*Archetypes!$D$15)+(AK8*Archetypes!$D$15*Archetypes!$D$22)</f>
        <v>2.2541635201078187</v>
      </c>
      <c r="AM8" s="21">
        <f>AI8*Archetypes!$D$16</f>
        <v>0.28855139786326406</v>
      </c>
      <c r="AN8" s="21">
        <f>(IF(AF8&lt;0,Assumptions!$B$8,IF(AF8&lt;10,Assumptions!$B$34,IF(AF8&lt;25,Assumptions!$B$35,Assumptions!$B$36))))*((((Archetypes!$D$5*Assumptions!$B$4+Archetypes!$D$6*Assumptions!$B$5)*60))+(Assumptions!$B$6*(((Archetypes!$D$11*(IF(AF8&lt;0,1+Assumptions!$B$32*MIN(1,ABS(AF8)/ABS(Assumptions!$B$21)),MAX(0.1,1-Assumptions!$B$31*(AF8/50)))))-((Archetypes!$D$11*(IF(AF8&lt;0,1+Assumptions!$B$32*MIN(1,ABS(AF8)/ABS(Assumptions!$B$21)),MAX(0.1,1-Assumptions!$B$31*(AF8/50)))))*AJ8)*Archetypes!$D$20)+((Archetypes!$D$11*(IF(AF8&lt;0,1+Assumptions!$B$32*MIN(1,ABS(AF8)/ABS(Assumptions!$B$21)),MAX(0.1,1-Assumptions!$B$31*(AF8/50)))))*AJ8*Archetypes!$D$20*Archetypes!$D$21)*Assumptions!$B$18)*(IF($D8=1,1,Assumptions!$B$7)))+(((((Archetypes!$D$11*(IF(AF8&lt;0,1+Assumptions!$B$32*MIN(1,ABS(AF8)/ABS(Assumptions!$B$21)),MAX(0.1,1-Assumptions!$B$31*(AF8/50)))))-((Archetypes!$D$11*(IF(AF8&lt;0,1+Assumptions!$B$32*MIN(1,ABS(AF8)/ABS(Assumptions!$B$21)),MAX(0.1,1-Assumptions!$B$31*(AF8/50)))))*AJ8)*Archetypes!$D$15)*(Archetypes!$D$13*IF(AF8&lt;0,1-Assumptions!$B$33*MIN(1,ABS(AF8)/ABS(Assumptions!$B$21)),1))*5)+(((Archetypes!$D$11*(IF(AF8&lt;0,1+Assumptions!$B$32*MIN(1,ABS(AF8)/ABS(Assumptions!$B$21)),MAX(0.1,1-Assumptions!$B$31*(AF8/50)))))*AJ8*Archetypes!$D$15*Archetypes!$D$22)*(Archetypes!$D$13*IF(AF8&lt;0,1-Assumptions!$B$33*MIN(1,ABS(AF8)/ABS(Assumptions!$B$21)),1))*5*Assumptions!$B$18))*IF(AF8&lt;0,Assumptions!$B$9,1)))*$E8</f>
        <v>1216.3239291457407</v>
      </c>
      <c r="AO8" s="21">
        <f>(AO7)+(AN8)-(MAX(0,((AO7)+(AN8)-(AP8)))*(IF(Archetypes!$D$27="",Assumptions!$B$11,Archetypes!$D$27)))</f>
        <v>8623.908059116482</v>
      </c>
      <c r="AP8" s="21">
        <f>Archetypes!$D$36 + (Assumptions!$B$67*(IF($E8=0,0,AI8/$E8))*Assumptions!$B$71*(1+Assumptions!$B$68*(Archetypes!$D$14-1))) + (Assumptions!$B$69*Archetypes!$D$34*(IF($E8=0,0,AI8/$E8))*Assumptions!$B$72*POWER(Assumptions!$B$70,Archetypes!$D$18-1))</f>
        <v>20994.209990908737</v>
      </c>
      <c r="AQ8" s="21">
        <f t="shared" si="7"/>
        <v>0</v>
      </c>
    </row>
    <row r="9" spans="1:52" x14ac:dyDescent="0.25">
      <c r="A9" s="20">
        <v>5</v>
      </c>
      <c r="B9" s="20">
        <f t="shared" si="0"/>
        <v>1</v>
      </c>
      <c r="C9" s="20">
        <f t="shared" si="1"/>
        <v>5</v>
      </c>
      <c r="D9" s="6">
        <f>IF(C9&lt;Assumptions!$B$10,1,0)</f>
        <v>0</v>
      </c>
      <c r="E9" s="6">
        <v>1</v>
      </c>
      <c r="F9" s="21">
        <f t="shared" si="8"/>
        <v>-11.466255208108519</v>
      </c>
      <c r="G9" s="21">
        <f>MAX(Assumptions!$B$21,F9+H9)</f>
        <v>-14.12348630348966</v>
      </c>
      <c r="H9" s="21">
        <f>((L9*(Assumptions!$B$22+((Assumptions!$B$23-Assumptions!$B$22)*IF(I9&gt;0,K9/I9,0)))*(1+Assumptions!$B$60*(Archetypes!$B$13-1)))+IF(L9&gt;I9,I9*Assumptions!$B$24,0)-IF(IF(I9&gt;0,M9/I9,1)&lt;Assumptions!$B$61,((M9*(Assumptions!$B$27*(1+Assumptions!$B$28*(Archetypes!$B$14-1))/(1+Assumptions!$B$29*(Archetypes!$B$12-1))))+(((I9*Archetypes!$B$17*IF(I9&gt;0,M9/I9,1)*Archetypes!$B$31)/100)*Assumptions!$B$30))*Assumptions!$B$62,((M9*(Assumptions!$B$27*(1+Assumptions!$B$28*(Archetypes!$B$14-1))/(1+Assumptions!$B$29*(Archetypes!$B$12-1))))+(((I9*Archetypes!$B$17*IF(I9&gt;0,M9/I9,1)*Archetypes!$B$31)/100)*Assumptions!$B$30)))-(Assumptions!$B$25*Assumptions!$B$26*E9))*E9</f>
        <v>-2.6572310953811402</v>
      </c>
      <c r="I9" s="21">
        <f>(Archetypes!$B$11*(IF(F9&lt;0,1+Assumptions!$B$32*MIN(1,ABS(F9)/ABS(Assumptions!$B$21)),MAX(0.1,1-Assumptions!$B$31*(F9/50)))))*$E9</f>
        <v>13.057668055495606</v>
      </c>
      <c r="J9" s="26">
        <f>Archetypes!$B$30</f>
        <v>2.1999999999999999E-2</v>
      </c>
      <c r="K9" s="21">
        <f t="shared" si="2"/>
        <v>0.28726869722090331</v>
      </c>
      <c r="L9" s="21">
        <f>((I9-K9)*Archetypes!$B$15)+(K9*Archetypes!$B$15*Archetypes!$B$22)</f>
        <v>1.3115121794939786</v>
      </c>
      <c r="M9" s="21">
        <f>I9*Archetypes!$B$16</f>
        <v>9.7932510416217049</v>
      </c>
      <c r="N9" s="21">
        <f>(IF(F9&lt;0,Assumptions!$B$8,IF(F9&lt;10,Assumptions!$B$34,IF(F9&lt;25,Assumptions!$B$35,Assumptions!$B$36))))*((((Archetypes!$B$5*Assumptions!$B$4+Archetypes!$B$6*Assumptions!$B$5)*60))+(Assumptions!$B$6*(((Archetypes!$B$11*(IF(F9&lt;0,1+Assumptions!$B$32*MIN(1,ABS(F9)/ABS(Assumptions!$B$21)),MAX(0.1,1-Assumptions!$B$31*(F9/50)))))-((Archetypes!$B$11*(IF(F9&lt;0,1+Assumptions!$B$32*MIN(1,ABS(F9)/ABS(Assumptions!$B$21)),MAX(0.1,1-Assumptions!$B$31*(F9/50)))))*J9)*Archetypes!$B$20)+((Archetypes!$B$11*(IF(F9&lt;0,1+Assumptions!$B$32*MIN(1,ABS(F9)/ABS(Assumptions!$B$21)),MAX(0.1,1-Assumptions!$B$31*(F9/50)))))*J9*Archetypes!$B$20*Archetypes!$B$21)*Assumptions!$B$18)*(IF($D9=1,1,Assumptions!$B$7)))+(((((Archetypes!$B$11*(IF(F9&lt;0,1+Assumptions!$B$32*MIN(1,ABS(F9)/ABS(Assumptions!$B$21)),MAX(0.1,1-Assumptions!$B$31*(F9/50)))))-((Archetypes!$B$11*(IF(F9&lt;0,1+Assumptions!$B$32*MIN(1,ABS(F9)/ABS(Assumptions!$B$21)),MAX(0.1,1-Assumptions!$B$31*(F9/50)))))*J9)*Archetypes!$B$15)*(Archetypes!$B$13*IF(F9&lt;0,1-Assumptions!$B$33*MIN(1,ABS(F9)/ABS(Assumptions!$B$21)),1))*5)+(((Archetypes!$B$11*(IF(F9&lt;0,1+Assumptions!$B$32*MIN(1,ABS(F9)/ABS(Assumptions!$B$21)),MAX(0.1,1-Assumptions!$B$31*(F9/50)))))*J9*Archetypes!$B$15*Archetypes!$B$22)*(Archetypes!$B$13*IF(F9&lt;0,1-Assumptions!$B$33*MIN(1,ABS(F9)/ABS(Assumptions!$B$21)),1))*5*Assumptions!$B$18))*IF(F9&lt;0,Assumptions!$B$9,1)))*$E9</f>
        <v>495.60185433880719</v>
      </c>
      <c r="O9" s="21">
        <f>(O8)+(N9)-(MAX(0,((O8)+(N9)-(P9)))*(IF(Archetypes!$B$27="",Assumptions!$B$11,Archetypes!$B$27)))</f>
        <v>3153.7768115960562</v>
      </c>
      <c r="P9" s="21">
        <f>Archetypes!$B$36 + (Assumptions!$B$67*(IF($E9=0,0,I9/$E9))*Assumptions!$B$71*(1+Assumptions!$B$68*(Archetypes!$B$14-1))) + (Assumptions!$B$69*Archetypes!$B$34*(IF($E9=0,0,I9/$E9))*Assumptions!$B$72*POWER(Assumptions!$B$70,Archetypes!$B$18-1))</f>
        <v>2623.3280666637893</v>
      </c>
      <c r="Q9" s="21">
        <f t="shared" si="3"/>
        <v>530.44874493226689</v>
      </c>
      <c r="S9" s="21">
        <f t="shared" si="9"/>
        <v>23.232633389697451</v>
      </c>
      <c r="T9" s="21">
        <f>MAX(Assumptions!$B$21,S9+U9)</f>
        <v>26.312823946793674</v>
      </c>
      <c r="U9" s="21">
        <f>((Y9*(Assumptions!$B$22+((Assumptions!$B$23-Assumptions!$B$22)*IF(V9&gt;0,X9/V9,0)))*(1+Assumptions!$B$60*(Archetypes!$C$13-1)))+IF(Y9&gt;V9,V9*Assumptions!$B$24,0)-IF(IF(V9&gt;0,Z9/V9,1)&lt;Assumptions!$B$61,((Z9*(Assumptions!$B$27*(1+Assumptions!$B$28*(Archetypes!$C$14-1))/(1+Assumptions!$B$29*(Archetypes!$C$12-1))))+(((V9*Archetypes!$C$17*IF(V9&gt;0,Z9/V9,1)*Archetypes!$C$31)/100)*Assumptions!$B$30))*Assumptions!$B$62,((Z9*(Assumptions!$B$27*(1+Assumptions!$B$28*(Archetypes!$C$14-1))/(1+Assumptions!$B$29*(Archetypes!$C$12-1))))+(((V9*Archetypes!$C$17*IF(V9&gt;0,Z9/V9,1)*Archetypes!$C$31)/100)*Assumptions!$B$30)))-(Assumptions!$B$25*Assumptions!$B$26*E9))*E9</f>
        <v>3.080190557096222</v>
      </c>
      <c r="V9" s="21">
        <f>(Archetypes!$C$11*(IF(S9&lt;0,1+Assumptions!$B$32*MIN(1,ABS(S9)/ABS(Assumptions!$B$21)),MAX(0.1,1-Assumptions!$B$31*(S9/50)))))*$E9</f>
        <v>4.3272503959417836</v>
      </c>
      <c r="W9" s="26">
        <f>Archetypes!$C$30</f>
        <v>3.7999999999999999E-2</v>
      </c>
      <c r="X9" s="21">
        <f t="shared" si="4"/>
        <v>0.16443551504578777</v>
      </c>
      <c r="Y9" s="21">
        <f>((V9-X9)*Archetypes!$C$15)+(X9*Archetypes!$C$15*Archetypes!$C$22)</f>
        <v>2.1882905252277602</v>
      </c>
      <c r="Z9" s="21">
        <f>V9*Archetypes!$C$16</f>
        <v>1.9472626781738027</v>
      </c>
      <c r="AA9" s="21">
        <f>(IF(S9&lt;0,Assumptions!$B$8,IF(S9&lt;10,Assumptions!$B$34,IF(S9&lt;25,Assumptions!$B$35,Assumptions!$B$36))))*((((Archetypes!$C$5*Assumptions!$B$4+Archetypes!$C$6*Assumptions!$B$5)*60))+(Assumptions!$B$6*(((Archetypes!$C$11*(IF(S9&lt;0,1+Assumptions!$B$32*MIN(1,ABS(S9)/ABS(Assumptions!$B$21)),MAX(0.1,1-Assumptions!$B$31*(S9/50)))))-((Archetypes!$C$11*(IF(S9&lt;0,1+Assumptions!$B$32*MIN(1,ABS(S9)/ABS(Assumptions!$B$21)),MAX(0.1,1-Assumptions!$B$31*(S9/50)))))*W9)*Archetypes!$C$20)+((Archetypes!$C$11*(IF(S9&lt;0,1+Assumptions!$B$32*MIN(1,ABS(S9)/ABS(Assumptions!$B$21)),MAX(0.1,1-Assumptions!$B$31*(S9/50)))))*W9*Archetypes!$C$20*Archetypes!$C$21)*Assumptions!$B$18)*(IF($D9=1,1,Assumptions!$B$7)))+(((((Archetypes!$C$11*(IF(S9&lt;0,1+Assumptions!$B$32*MIN(1,ABS(S9)/ABS(Assumptions!$B$21)),MAX(0.1,1-Assumptions!$B$31*(S9/50)))))-((Archetypes!$C$11*(IF(S9&lt;0,1+Assumptions!$B$32*MIN(1,ABS(S9)/ABS(Assumptions!$B$21)),MAX(0.1,1-Assumptions!$B$31*(S9/50)))))*W9)*Archetypes!$C$15)*(Archetypes!$C$13*IF(S9&lt;0,1-Assumptions!$B$33*MIN(1,ABS(S9)/ABS(Assumptions!$B$21)),1))*5)+(((Archetypes!$C$11*(IF(S9&lt;0,1+Assumptions!$B$32*MIN(1,ABS(S9)/ABS(Assumptions!$B$21)),MAX(0.1,1-Assumptions!$B$31*(S9/50)))))*W9*Archetypes!$C$15*Archetypes!$C$22)*(Archetypes!$C$13*IF(S9&lt;0,1-Assumptions!$B$33*MIN(1,ABS(S9)/ABS(Assumptions!$B$21)),1))*5*Assumptions!$B$18))*IF(S9&lt;0,Assumptions!$B$9,1)))*$E9</f>
        <v>973.98027683130397</v>
      </c>
      <c r="AB9" s="21">
        <f>(AB8)+(AA9)-(MAX(0,((AB8)+(AA9)-(AC9)))*(IF(Archetypes!$C$27="",Assumptions!$B$11,Archetypes!$C$27)))</f>
        <v>7023.8976309374093</v>
      </c>
      <c r="AC9" s="21">
        <f>Archetypes!$C$36 + (Assumptions!$B$67*(IF($E9=0,0,V9/$E9))*Assumptions!$B$71*(1+Assumptions!$B$68*(Archetypes!$C$14-1))) + (Assumptions!$B$69*Archetypes!$C$34*(IF($E9=0,0,V9/$E9))*Assumptions!$B$72*POWER(Assumptions!$B$70,Archetypes!$C$18-1))</f>
        <v>9443.8125356347628</v>
      </c>
      <c r="AD9" s="21">
        <f t="shared" si="5"/>
        <v>0</v>
      </c>
      <c r="AF9" s="21">
        <f t="shared" si="10"/>
        <v>48.22047973685757</v>
      </c>
      <c r="AG9" s="21">
        <f>MAX(Assumptions!$B$21,AF9+AH9)</f>
        <v>52.550842571134126</v>
      </c>
      <c r="AH9" s="21">
        <f>((AL9*(Assumptions!$B$22+((Assumptions!$B$23-Assumptions!$B$22)*IF(AI9&gt;0,AK9/AI9,0)))*(1+Assumptions!$B$60*(Archetypes!$D$13-1)))+IF(AL9&gt;AI9,AI9*Assumptions!$B$24,0)-IF(IF(AI9&gt;0,AM9/AI9,1)&lt;Assumptions!$B$61,((AM9*(Assumptions!$B$27*(1+Assumptions!$B$28*(Archetypes!$D$14-1))/(1+Assumptions!$B$29*(Archetypes!$D$12-1))))+(((AI9*Archetypes!$D$17*IF(AI9&gt;0,AM9/AI9,1)*Archetypes!$D$31)/100)*Assumptions!$B$30))*Assumptions!$B$62,((AM9*(Assumptions!$B$27*(1+Assumptions!$B$28*(Archetypes!$D$14-1))/(1+Assumptions!$B$29*(Archetypes!$D$12-1))))+(((AI9*Archetypes!$D$17*IF(AI9&gt;0,AM9/AI9,1)*Archetypes!$D$31)/100)*Assumptions!$B$30)))-(Assumptions!$B$25*Assumptions!$B$26*E9))*E9</f>
        <v>4.3303628342765546</v>
      </c>
      <c r="AI9" s="21">
        <f>(Archetypes!$D$11*(IF(AF9&lt;0,1+Assumptions!$B$32*MIN(1,ABS(AF9)/ABS(Assumptions!$B$21)),MAX(0.1,1-Assumptions!$B$31*(AF9/50)))))*$E9</f>
        <v>1.2640627294731277</v>
      </c>
      <c r="AJ9" s="26">
        <f>Archetypes!$D$30</f>
        <v>0.10400000000000001</v>
      </c>
      <c r="AK9" s="21">
        <f t="shared" si="6"/>
        <v>0.13146252386520529</v>
      </c>
      <c r="AL9" s="21">
        <f>((AI9-AK9)*Archetypes!$D$15)+(AK9*Archetypes!$D$15*Archetypes!$D$22)</f>
        <v>1.9749716085288145</v>
      </c>
      <c r="AM9" s="21">
        <f>AI9*Archetypes!$D$16</f>
        <v>0.25281254589462554</v>
      </c>
      <c r="AN9" s="21">
        <f>(IF(AF9&lt;0,Assumptions!$B$8,IF(AF9&lt;10,Assumptions!$B$34,IF(AF9&lt;25,Assumptions!$B$35,Assumptions!$B$36))))*((((Archetypes!$D$5*Assumptions!$B$4+Archetypes!$D$6*Assumptions!$B$5)*60))+(Assumptions!$B$6*(((Archetypes!$D$11*(IF(AF9&lt;0,1+Assumptions!$B$32*MIN(1,ABS(AF9)/ABS(Assumptions!$B$21)),MAX(0.1,1-Assumptions!$B$31*(AF9/50)))))-((Archetypes!$D$11*(IF(AF9&lt;0,1+Assumptions!$B$32*MIN(1,ABS(AF9)/ABS(Assumptions!$B$21)),MAX(0.1,1-Assumptions!$B$31*(AF9/50)))))*AJ9)*Archetypes!$D$20)+((Archetypes!$D$11*(IF(AF9&lt;0,1+Assumptions!$B$32*MIN(1,ABS(AF9)/ABS(Assumptions!$B$21)),MAX(0.1,1-Assumptions!$B$31*(AF9/50)))))*AJ9*Archetypes!$D$20*Archetypes!$D$21)*Assumptions!$B$18)*(IF($D9=1,1,Assumptions!$B$7)))+(((((Archetypes!$D$11*(IF(AF9&lt;0,1+Assumptions!$B$32*MIN(1,ABS(AF9)/ABS(Assumptions!$B$21)),MAX(0.1,1-Assumptions!$B$31*(AF9/50)))))-((Archetypes!$D$11*(IF(AF9&lt;0,1+Assumptions!$B$32*MIN(1,ABS(AF9)/ABS(Assumptions!$B$21)),MAX(0.1,1-Assumptions!$B$31*(AF9/50)))))*AJ9)*Archetypes!$D$15)*(Archetypes!$D$13*IF(AF9&lt;0,1-Assumptions!$B$33*MIN(1,ABS(AF9)/ABS(Assumptions!$B$21)),1))*5)+(((Archetypes!$D$11*(IF(AF9&lt;0,1+Assumptions!$B$32*MIN(1,ABS(AF9)/ABS(Assumptions!$B$21)),MAX(0.1,1-Assumptions!$B$31*(AF9/50)))))*AJ9*Archetypes!$D$15*Archetypes!$D$22)*(Archetypes!$D$13*IF(AF9&lt;0,1-Assumptions!$B$33*MIN(1,ABS(AF9)/ABS(Assumptions!$B$21)),1))*5*Assumptions!$B$18))*IF(AF9&lt;0,Assumptions!$B$9,1)))*$E9</f>
        <v>1173.0580282168573</v>
      </c>
      <c r="AO9" s="21">
        <f>(AO8)+(AN9)-(MAX(0,((AO8)+(AN9)-(AP9)))*(IF(Archetypes!$D$27="",Assumptions!$B$11,Archetypes!$D$27)))</f>
        <v>9796.9660873333396</v>
      </c>
      <c r="AP9" s="21">
        <f>Archetypes!$D$36 + (Assumptions!$B$67*(IF($E9=0,0,AI9/$E9))*Assumptions!$B$71*(1+Assumptions!$B$68*(Archetypes!$D$14-1))) + (Assumptions!$B$69*Archetypes!$D$34*(IF($E9=0,0,AI9/$E9))*Assumptions!$B$72*POWER(Assumptions!$B$70,Archetypes!$D$18-1))</f>
        <v>20959.900693018844</v>
      </c>
      <c r="AQ9" s="21">
        <f t="shared" si="7"/>
        <v>0</v>
      </c>
    </row>
    <row r="10" spans="1:52" x14ac:dyDescent="0.25">
      <c r="A10" s="20">
        <v>6</v>
      </c>
      <c r="B10" s="20">
        <f t="shared" si="0"/>
        <v>1</v>
      </c>
      <c r="C10" s="20">
        <f t="shared" si="1"/>
        <v>6</v>
      </c>
      <c r="D10" s="6">
        <f>IF(C10&lt;Assumptions!$B$10,1,0)</f>
        <v>0</v>
      </c>
      <c r="E10" s="6">
        <v>1</v>
      </c>
      <c r="F10" s="21">
        <f t="shared" si="8"/>
        <v>-14.12348630348966</v>
      </c>
      <c r="G10" s="21">
        <f>MAX(Assumptions!$B$21,F10+H10)</f>
        <v>-15</v>
      </c>
      <c r="H10" s="21">
        <f>((L10*(Assumptions!$B$22+((Assumptions!$B$23-Assumptions!$B$22)*IF(I10&gt;0,K10/I10,0)))*(1+Assumptions!$B$60*(Archetypes!$B$13-1)))+IF(L10&gt;I10,I10*Assumptions!$B$24,0)-IF(IF(I10&gt;0,M10/I10,1)&lt;Assumptions!$B$61,((M10*(Assumptions!$B$27*(1+Assumptions!$B$28*(Archetypes!$B$14-1))/(1+Assumptions!$B$29*(Archetypes!$B$12-1))))+(((I10*Archetypes!$B$17*IF(I10&gt;0,M10/I10,1)*Archetypes!$B$31)/100)*Assumptions!$B$30))*Assumptions!$B$62,((M10*(Assumptions!$B$27*(1+Assumptions!$B$28*(Archetypes!$B$14-1))/(1+Assumptions!$B$29*(Archetypes!$B$12-1))))+(((I10*Archetypes!$B$17*IF(I10&gt;0,M10/I10,1)*Archetypes!$B$31)/100)*Assumptions!$B$30)))-(Assumptions!$B$25*Assumptions!$B$26*E10))*E10</f>
        <v>-2.7932899465560612</v>
      </c>
      <c r="I10" s="21">
        <f>(Archetypes!$B$11*(IF(F10&lt;0,1+Assumptions!$B$32*MIN(1,ABS(F10)/ABS(Assumptions!$B$21)),MAX(0.1,1-Assumptions!$B$31*(F10/50)))))*$E10</f>
        <v>13.76626301426391</v>
      </c>
      <c r="J10" s="26">
        <f>Archetypes!$B$30</f>
        <v>2.1999999999999999E-2</v>
      </c>
      <c r="K10" s="21">
        <f t="shared" si="2"/>
        <v>0.302857786313806</v>
      </c>
      <c r="L10" s="21">
        <f>((I10-K10)*Archetypes!$B$15)+(K10*Archetypes!$B$15*Archetypes!$B$22)</f>
        <v>1.3826834571526672</v>
      </c>
      <c r="M10" s="21">
        <f>I10*Archetypes!$B$16</f>
        <v>10.324697260697931</v>
      </c>
      <c r="N10" s="21">
        <f>(IF(F10&lt;0,Assumptions!$B$8,IF(F10&lt;10,Assumptions!$B$34,IF(F10&lt;25,Assumptions!$B$35,Assumptions!$B$36))))*((((Archetypes!$B$5*Assumptions!$B$4+Archetypes!$B$6*Assumptions!$B$5)*60))+(Assumptions!$B$6*(((Archetypes!$B$11*(IF(F10&lt;0,1+Assumptions!$B$32*MIN(1,ABS(F10)/ABS(Assumptions!$B$21)),MAX(0.1,1-Assumptions!$B$31*(F10/50)))))-((Archetypes!$B$11*(IF(F10&lt;0,1+Assumptions!$B$32*MIN(1,ABS(F10)/ABS(Assumptions!$B$21)),MAX(0.1,1-Assumptions!$B$31*(F10/50)))))*J10)*Archetypes!$B$20)+((Archetypes!$B$11*(IF(F10&lt;0,1+Assumptions!$B$32*MIN(1,ABS(F10)/ABS(Assumptions!$B$21)),MAX(0.1,1-Assumptions!$B$31*(F10/50)))))*J10*Archetypes!$B$20*Archetypes!$B$21)*Assumptions!$B$18)*(IF($D10=1,1,Assumptions!$B$7)))+(((((Archetypes!$B$11*(IF(F10&lt;0,1+Assumptions!$B$32*MIN(1,ABS(F10)/ABS(Assumptions!$B$21)),MAX(0.1,1-Assumptions!$B$31*(F10/50)))))-((Archetypes!$B$11*(IF(F10&lt;0,1+Assumptions!$B$32*MIN(1,ABS(F10)/ABS(Assumptions!$B$21)),MAX(0.1,1-Assumptions!$B$31*(F10/50)))))*J10)*Archetypes!$B$15)*(Archetypes!$B$13*IF(F10&lt;0,1-Assumptions!$B$33*MIN(1,ABS(F10)/ABS(Assumptions!$B$21)),1))*5)+(((Archetypes!$B$11*(IF(F10&lt;0,1+Assumptions!$B$32*MIN(1,ABS(F10)/ABS(Assumptions!$B$21)),MAX(0.1,1-Assumptions!$B$31*(F10/50)))))*J10*Archetypes!$B$15*Archetypes!$B$22)*(Archetypes!$B$13*IF(F10&lt;0,1-Assumptions!$B$33*MIN(1,ABS(F10)/ABS(Assumptions!$B$21)),1))*5*Assumptions!$B$18))*IF(F10&lt;0,Assumptions!$B$9,1)))*$E10</f>
        <v>487.67675485060238</v>
      </c>
      <c r="O10" s="21">
        <f>(O9)+(N10)-(MAX(0,((O9)+(N10)-(P10)))*(IF(Archetypes!$B$27="",Assumptions!$B$11,Archetypes!$B$27)))</f>
        <v>3444.6309780942602</v>
      </c>
      <c r="P10" s="21">
        <f>Archetypes!$B$36 + (Assumptions!$B$67*(IF($E10=0,0,I10/$E10))*Assumptions!$B$71*(1+Assumptions!$B$68*(Archetypes!$B$14-1))) + (Assumptions!$B$69*Archetypes!$B$34*(IF($E10=0,0,I10/$E10))*Assumptions!$B$72*POWER(Assumptions!$B$70,Archetypes!$B$18-1))</f>
        <v>2657.340624684668</v>
      </c>
      <c r="Q10" s="21">
        <f t="shared" si="3"/>
        <v>787.29035340959217</v>
      </c>
      <c r="S10" s="21">
        <f t="shared" si="9"/>
        <v>26.312823946793674</v>
      </c>
      <c r="T10" s="21">
        <f>MAX(Assumptions!$B$21,S10+U10)</f>
        <v>29.227465642380459</v>
      </c>
      <c r="U10" s="21">
        <f>((Y10*(Assumptions!$B$22+((Assumptions!$B$23-Assumptions!$B$22)*IF(V10&gt;0,X10/V10,0)))*(1+Assumptions!$B$60*(Archetypes!$C$13-1)))+IF(Y10&gt;V10,V10*Assumptions!$B$24,0)-IF(IF(V10&gt;0,Z10/V10,1)&lt;Assumptions!$B$61,((Z10*(Assumptions!$B$27*(1+Assumptions!$B$28*(Archetypes!$C$14-1))/(1+Assumptions!$B$29*(Archetypes!$C$12-1))))+(((V10*Archetypes!$C$17*IF(V10&gt;0,Z10/V10,1)*Archetypes!$C$31)/100)*Assumptions!$B$30))*Assumptions!$B$62,((Z10*(Assumptions!$B$27*(1+Assumptions!$B$28*(Archetypes!$C$14-1))/(1+Assumptions!$B$29*(Archetypes!$C$12-1))))+(((V10*Archetypes!$C$17*IF(V10&gt;0,Z10/V10,1)*Archetypes!$C$31)/100)*Assumptions!$B$30)))-(Assumptions!$B$25*Assumptions!$B$26*E10))*E10</f>
        <v>2.9146416955867855</v>
      </c>
      <c r="V10" s="21">
        <f>(Archetypes!$C$11*(IF(S10&lt;0,1+Assumptions!$B$32*MIN(1,ABS(S10)/ABS(Assumptions!$B$21)),MAX(0.1,1-Assumptions!$B$31*(S10/50)))))*$E10</f>
        <v>4.1054766758308556</v>
      </c>
      <c r="W10" s="26">
        <f>Archetypes!$C$30</f>
        <v>3.7999999999999999E-2</v>
      </c>
      <c r="X10" s="21">
        <f t="shared" si="4"/>
        <v>0.1560081136815725</v>
      </c>
      <c r="Y10" s="21">
        <f>((V10-X10)*Archetypes!$C$15)+(X10*Archetypes!$C$15*Archetypes!$C$22)</f>
        <v>2.0761395549676638</v>
      </c>
      <c r="Z10" s="21">
        <f>V10*Archetypes!$C$16</f>
        <v>1.8474645041238851</v>
      </c>
      <c r="AA10" s="21">
        <f>(IF(S10&lt;0,Assumptions!$B$8,IF(S10&lt;10,Assumptions!$B$34,IF(S10&lt;25,Assumptions!$B$35,Assumptions!$B$36))))*((((Archetypes!$C$5*Assumptions!$B$4+Archetypes!$C$6*Assumptions!$B$5)*60))+(Assumptions!$B$6*(((Archetypes!$C$11*(IF(S10&lt;0,1+Assumptions!$B$32*MIN(1,ABS(S10)/ABS(Assumptions!$B$21)),MAX(0.1,1-Assumptions!$B$31*(S10/50)))))-((Archetypes!$C$11*(IF(S10&lt;0,1+Assumptions!$B$32*MIN(1,ABS(S10)/ABS(Assumptions!$B$21)),MAX(0.1,1-Assumptions!$B$31*(S10/50)))))*W10)*Archetypes!$C$20)+((Archetypes!$C$11*(IF(S10&lt;0,1+Assumptions!$B$32*MIN(1,ABS(S10)/ABS(Assumptions!$B$21)),MAX(0.1,1-Assumptions!$B$31*(S10/50)))))*W10*Archetypes!$C$20*Archetypes!$C$21)*Assumptions!$B$18)*(IF($D10=1,1,Assumptions!$B$7)))+(((((Archetypes!$C$11*(IF(S10&lt;0,1+Assumptions!$B$32*MIN(1,ABS(S10)/ABS(Assumptions!$B$21)),MAX(0.1,1-Assumptions!$B$31*(S10/50)))))-((Archetypes!$C$11*(IF(S10&lt;0,1+Assumptions!$B$32*MIN(1,ABS(S10)/ABS(Assumptions!$B$21)),MAX(0.1,1-Assumptions!$B$31*(S10/50)))))*W10)*Archetypes!$C$15)*(Archetypes!$C$13*IF(S10&lt;0,1-Assumptions!$B$33*MIN(1,ABS(S10)/ABS(Assumptions!$B$21)),1))*5)+(((Archetypes!$C$11*(IF(S10&lt;0,1+Assumptions!$B$32*MIN(1,ABS(S10)/ABS(Assumptions!$B$21)),MAX(0.1,1-Assumptions!$B$31*(S10/50)))))*W10*Archetypes!$C$15*Archetypes!$C$22)*(Archetypes!$C$13*IF(S10&lt;0,1-Assumptions!$B$33*MIN(1,ABS(S10)/ABS(Assumptions!$B$21)),1))*5*Assumptions!$B$18))*IF(S10&lt;0,Assumptions!$B$9,1)))*$E10</f>
        <v>854.23812432448278</v>
      </c>
      <c r="AB10" s="21">
        <f>(AB9)+(AA10)-(MAX(0,((AB9)+(AA10)-(AC10)))*(IF(Archetypes!$C$27="",Assumptions!$B$11,Archetypes!$C$27)))</f>
        <v>7878.135755261892</v>
      </c>
      <c r="AC10" s="21">
        <f>Archetypes!$C$36 + (Assumptions!$B$67*(IF($E10=0,0,V10/$E10))*Assumptions!$B$71*(1+Assumptions!$B$68*(Archetypes!$C$14-1))) + (Assumptions!$B$69*Archetypes!$C$34*(IF($E10=0,0,V10/$E10))*Assumptions!$B$72*POWER(Assumptions!$B$70,Archetypes!$C$18-1))</f>
        <v>9423.8529008247788</v>
      </c>
      <c r="AD10" s="21">
        <f t="shared" si="5"/>
        <v>0</v>
      </c>
      <c r="AF10" s="21">
        <f t="shared" si="10"/>
        <v>52.550842571134126</v>
      </c>
      <c r="AG10" s="21">
        <f>MAX(Assumptions!$B$21,AF10+AH10)</f>
        <v>56.328655705958951</v>
      </c>
      <c r="AH10" s="21">
        <f>((AL10*(Assumptions!$B$22+((Assumptions!$B$23-Assumptions!$B$22)*IF(AI10&gt;0,AK10/AI10,0)))*(1+Assumptions!$B$60*(Archetypes!$D$13-1)))+IF(AL10&gt;AI10,AI10*Assumptions!$B$24,0)-IF(IF(AI10&gt;0,AM10/AI10,1)&lt;Assumptions!$B$61,((AM10*(Assumptions!$B$27*(1+Assumptions!$B$28*(Archetypes!$D$14-1))/(1+Assumptions!$B$29*(Archetypes!$D$12-1))))+(((AI10*Archetypes!$D$17*IF(AI10&gt;0,AM10/AI10,1)*Archetypes!$D$31)/100)*Assumptions!$B$30))*Assumptions!$B$62,((AM10*(Assumptions!$B$27*(1+Assumptions!$B$28*(Archetypes!$D$14-1))/(1+Assumptions!$B$29*(Archetypes!$D$12-1))))+(((AI10*Archetypes!$D$17*IF(AI10&gt;0,AM10/AI10,1)*Archetypes!$D$31)/100)*Assumptions!$B$30)))-(Assumptions!$B$25*Assumptions!$B$26*E10))*E10</f>
        <v>3.7778131348248283</v>
      </c>
      <c r="AI10" s="21">
        <f>(Archetypes!$D$11*(IF(AF10&lt;0,1+Assumptions!$B$32*MIN(1,ABS(AF10)/ABS(Assumptions!$B$21)),MAX(0.1,1-Assumptions!$B$31*(AF10/50)))))*$E10</f>
        <v>1.1081696674391714</v>
      </c>
      <c r="AJ10" s="26">
        <f>Archetypes!$D$30</f>
        <v>0.10400000000000001</v>
      </c>
      <c r="AK10" s="21">
        <f t="shared" si="6"/>
        <v>0.11524964541367384</v>
      </c>
      <c r="AL10" s="21">
        <f>((AI10-AK10)*Archetypes!$D$15)+(AK10*Archetypes!$D$15*Archetypes!$D$22)</f>
        <v>1.7314042884069614</v>
      </c>
      <c r="AM10" s="21">
        <f>AI10*Archetypes!$D$16</f>
        <v>0.22163393348783431</v>
      </c>
      <c r="AN10" s="21">
        <f>(IF(AF10&lt;0,Assumptions!$B$8,IF(AF10&lt;10,Assumptions!$B$34,IF(AF10&lt;25,Assumptions!$B$35,Assumptions!$B$36))))*((((Archetypes!$D$5*Assumptions!$B$4+Archetypes!$D$6*Assumptions!$B$5)*60))+(Assumptions!$B$6*(((Archetypes!$D$11*(IF(AF10&lt;0,1+Assumptions!$B$32*MIN(1,ABS(AF10)/ABS(Assumptions!$B$21)),MAX(0.1,1-Assumptions!$B$31*(AF10/50)))))-((Archetypes!$D$11*(IF(AF10&lt;0,1+Assumptions!$B$32*MIN(1,ABS(AF10)/ABS(Assumptions!$B$21)),MAX(0.1,1-Assumptions!$B$31*(AF10/50)))))*AJ10)*Archetypes!$D$20)+((Archetypes!$D$11*(IF(AF10&lt;0,1+Assumptions!$B$32*MIN(1,ABS(AF10)/ABS(Assumptions!$B$21)),MAX(0.1,1-Assumptions!$B$31*(AF10/50)))))*AJ10*Archetypes!$D$20*Archetypes!$D$21)*Assumptions!$B$18)*(IF($D10=1,1,Assumptions!$B$7)))+(((((Archetypes!$D$11*(IF(AF10&lt;0,1+Assumptions!$B$32*MIN(1,ABS(AF10)/ABS(Assumptions!$B$21)),MAX(0.1,1-Assumptions!$B$31*(AF10/50)))))-((Archetypes!$D$11*(IF(AF10&lt;0,1+Assumptions!$B$32*MIN(1,ABS(AF10)/ABS(Assumptions!$B$21)),MAX(0.1,1-Assumptions!$B$31*(AF10/50)))))*AJ10)*Archetypes!$D$15)*(Archetypes!$D$13*IF(AF10&lt;0,1-Assumptions!$B$33*MIN(1,ABS(AF10)/ABS(Assumptions!$B$21)),1))*5)+(((Archetypes!$D$11*(IF(AF10&lt;0,1+Assumptions!$B$32*MIN(1,ABS(AF10)/ABS(Assumptions!$B$21)),MAX(0.1,1-Assumptions!$B$31*(AF10/50)))))*AJ10*Archetypes!$D$15*Archetypes!$D$22)*(Archetypes!$D$13*IF(AF10&lt;0,1-Assumptions!$B$33*MIN(1,ABS(AF10)/ABS(Assumptions!$B$21)),1))*5*Assumptions!$B$18))*IF(AF10&lt;0,Assumptions!$B$9,1)))*$E10</f>
        <v>1135.3128103045406</v>
      </c>
      <c r="AO10" s="21">
        <f>(AO9)+(AN10)-(MAX(0,((AO9)+(AN10)-(AP10)))*(IF(Archetypes!$D$27="",Assumptions!$B$11,Archetypes!$D$27)))</f>
        <v>10932.27889763788</v>
      </c>
      <c r="AP10" s="21">
        <f>Archetypes!$D$36 + (Assumptions!$B$67*(IF($E10=0,0,AI10/$E10))*Assumptions!$B$71*(1+Assumptions!$B$68*(Archetypes!$D$14-1))) + (Assumptions!$B$69*Archetypes!$D$34*(IF($E10=0,0,AI10/$E10))*Assumptions!$B$72*POWER(Assumptions!$B$70,Archetypes!$D$18-1))</f>
        <v>20929.969225108322</v>
      </c>
      <c r="AQ10" s="21">
        <f t="shared" si="7"/>
        <v>0</v>
      </c>
    </row>
    <row r="11" spans="1:52" x14ac:dyDescent="0.25">
      <c r="A11" s="20">
        <v>7</v>
      </c>
      <c r="B11" s="20">
        <f t="shared" si="0"/>
        <v>1</v>
      </c>
      <c r="C11" s="20">
        <f t="shared" si="1"/>
        <v>7</v>
      </c>
      <c r="D11" s="6">
        <f>IF(C11&lt;Assumptions!$B$10,1,0)</f>
        <v>0</v>
      </c>
      <c r="E11" s="6">
        <v>1</v>
      </c>
      <c r="F11" s="21">
        <f t="shared" si="8"/>
        <v>-15</v>
      </c>
      <c r="G11" s="21">
        <f>MAX(Assumptions!$B$21,F11+H11)</f>
        <v>-15</v>
      </c>
      <c r="H11" s="21">
        <f>((L11*(Assumptions!$B$22+((Assumptions!$B$23-Assumptions!$B$22)*IF(I11&gt;0,K11/I11,0)))*(1+Assumptions!$B$60*(Archetypes!$B$13-1)))+IF(L11&gt;I11,I11*Assumptions!$B$24,0)-IF(IF(I11&gt;0,M11/I11,1)&lt;Assumptions!$B$61,((M11*(Assumptions!$B$27*(1+Assumptions!$B$28*(Archetypes!$B$14-1))/(1+Assumptions!$B$29*(Archetypes!$B$12-1))))+(((I11*Archetypes!$B$17*IF(I11&gt;0,M11/I11,1)*Archetypes!$B$31)/100)*Assumptions!$B$30))*Assumptions!$B$62,((M11*(Assumptions!$B$27*(1+Assumptions!$B$28*(Archetypes!$B$14-1))/(1+Assumptions!$B$29*(Archetypes!$B$12-1))))+(((I11*Archetypes!$B$17*IF(I11&gt;0,M11/I11,1)*Archetypes!$B$31)/100)*Assumptions!$B$30)))-(Assumptions!$B$25*Assumptions!$B$26*E11))*E11</f>
        <v>-2.8381702909090891</v>
      </c>
      <c r="I11" s="21">
        <f>(Archetypes!$B$11*(IF(F11&lt;0,1+Assumptions!$B$32*MIN(1,ABS(F11)/ABS(Assumptions!$B$21)),MAX(0.1,1-Assumptions!$B$31*(F11/50)))))*$E11</f>
        <v>14</v>
      </c>
      <c r="J11" s="26">
        <f>Archetypes!$B$30</f>
        <v>2.1999999999999999E-2</v>
      </c>
      <c r="K11" s="21">
        <f t="shared" si="2"/>
        <v>0.308</v>
      </c>
      <c r="L11" s="21">
        <f>((I11-K11)*Archetypes!$B$15)+(K11*Archetypes!$B$15*Archetypes!$B$22)</f>
        <v>1.4061600000000003</v>
      </c>
      <c r="M11" s="21">
        <f>I11*Archetypes!$B$16</f>
        <v>10.5</v>
      </c>
      <c r="N11" s="21">
        <f>(IF(F11&lt;0,Assumptions!$B$8,IF(F11&lt;10,Assumptions!$B$34,IF(F11&lt;25,Assumptions!$B$35,Assumptions!$B$36))))*((((Archetypes!$B$5*Assumptions!$B$4+Archetypes!$B$6*Assumptions!$B$5)*60))+(Assumptions!$B$6*(((Archetypes!$B$11*(IF(F11&lt;0,1+Assumptions!$B$32*MIN(1,ABS(F11)/ABS(Assumptions!$B$21)),MAX(0.1,1-Assumptions!$B$31*(F11/50)))))-((Archetypes!$B$11*(IF(F11&lt;0,1+Assumptions!$B$32*MIN(1,ABS(F11)/ABS(Assumptions!$B$21)),MAX(0.1,1-Assumptions!$B$31*(F11/50)))))*J11)*Archetypes!$B$20)+((Archetypes!$B$11*(IF(F11&lt;0,1+Assumptions!$B$32*MIN(1,ABS(F11)/ABS(Assumptions!$B$21)),MAX(0.1,1-Assumptions!$B$31*(F11/50)))))*J11*Archetypes!$B$20*Archetypes!$B$21)*Assumptions!$B$18)*(IF($D11=1,1,Assumptions!$B$7)))+(((((Archetypes!$B$11*(IF(F11&lt;0,1+Assumptions!$B$32*MIN(1,ABS(F11)/ABS(Assumptions!$B$21)),MAX(0.1,1-Assumptions!$B$31*(F11/50)))))-((Archetypes!$B$11*(IF(F11&lt;0,1+Assumptions!$B$32*MIN(1,ABS(F11)/ABS(Assumptions!$B$21)),MAX(0.1,1-Assumptions!$B$31*(F11/50)))))*J11)*Archetypes!$B$15)*(Archetypes!$B$13*IF(F11&lt;0,1-Assumptions!$B$33*MIN(1,ABS(F11)/ABS(Assumptions!$B$21)),1))*5)+(((Archetypes!$B$11*(IF(F11&lt;0,1+Assumptions!$B$32*MIN(1,ABS(F11)/ABS(Assumptions!$B$21)),MAX(0.1,1-Assumptions!$B$31*(F11/50)))))*J11*Archetypes!$B$15*Archetypes!$B$22)*(Archetypes!$B$13*IF(F11&lt;0,1-Assumptions!$B$33*MIN(1,ABS(F11)/ABS(Assumptions!$B$21)),1))*5*Assumptions!$B$18))*IF(F11&lt;0,Assumptions!$B$9,1)))*$E11</f>
        <v>484.478544</v>
      </c>
      <c r="O11" s="21">
        <f>(O10)+(N11)-(MAX(0,((O10)+(N11)-(P11)))*(IF(Archetypes!$B$27="",Assumptions!$B$11,Archetypes!$B$27)))</f>
        <v>3676.999617675408</v>
      </c>
      <c r="P11" s="21">
        <f>Archetypes!$B$36 + (Assumptions!$B$67*(IF($E11=0,0,I11/$E11))*Assumptions!$B$71*(1+Assumptions!$B$68*(Archetypes!$B$14-1))) + (Assumptions!$B$69*Archetypes!$B$34*(IF($E11=0,0,I11/$E11))*Assumptions!$B$72*POWER(Assumptions!$B$70,Archetypes!$B$18-1))</f>
        <v>2668.56</v>
      </c>
      <c r="Q11" s="21">
        <f t="shared" si="3"/>
        <v>1008.439617675408</v>
      </c>
      <c r="S11" s="21">
        <f t="shared" si="9"/>
        <v>29.227465642380459</v>
      </c>
      <c r="T11" s="21">
        <f>MAX(Assumptions!$B$21,S11+U11)</f>
        <v>31.985456116080762</v>
      </c>
      <c r="U11" s="21">
        <f>((Y11*(Assumptions!$B$22+((Assumptions!$B$23-Assumptions!$B$22)*IF(V11&gt;0,X11/V11,0)))*(1+Assumptions!$B$60*(Archetypes!$C$13-1)))+IF(Y11&gt;V11,V11*Assumptions!$B$24,0)-IF(IF(V11&gt;0,Z11/V11,1)&lt;Assumptions!$B$61,((Z11*(Assumptions!$B$27*(1+Assumptions!$B$28*(Archetypes!$C$14-1))/(1+Assumptions!$B$29*(Archetypes!$C$12-1))))+(((V11*Archetypes!$C$17*IF(V11&gt;0,Z11/V11,1)*Archetypes!$C$31)/100)*Assumptions!$B$30))*Assumptions!$B$62,((Z11*(Assumptions!$B$27*(1+Assumptions!$B$28*(Archetypes!$C$14-1))/(1+Assumptions!$B$29*(Archetypes!$C$12-1))))+(((V11*Archetypes!$C$17*IF(V11&gt;0,Z11/V11,1)*Archetypes!$C$31)/100)*Assumptions!$B$30)))-(Assumptions!$B$25*Assumptions!$B$26*E11))*E11</f>
        <v>2.7579904737003038</v>
      </c>
      <c r="V11" s="21">
        <f>(Archetypes!$C$11*(IF(S11&lt;0,1+Assumptions!$B$32*MIN(1,ABS(S11)/ABS(Assumptions!$B$21)),MAX(0.1,1-Assumptions!$B$31*(S11/50)))))*$E11</f>
        <v>3.8956224737486074</v>
      </c>
      <c r="W11" s="26">
        <f>Archetypes!$C$30</f>
        <v>3.7999999999999999E-2</v>
      </c>
      <c r="X11" s="21">
        <f t="shared" si="4"/>
        <v>0.14803365400244708</v>
      </c>
      <c r="Y11" s="21">
        <f>((V11-X11)*Archetypes!$C$15)+(X11*Archetypes!$C$15*Archetypes!$C$22)</f>
        <v>1.9700162849746707</v>
      </c>
      <c r="Z11" s="21">
        <f>V11*Archetypes!$C$16</f>
        <v>1.7530301131868733</v>
      </c>
      <c r="AA11" s="21">
        <f>(IF(S11&lt;0,Assumptions!$B$8,IF(S11&lt;10,Assumptions!$B$34,IF(S11&lt;25,Assumptions!$B$35,Assumptions!$B$36))))*((((Archetypes!$C$5*Assumptions!$B$4+Archetypes!$C$6*Assumptions!$B$5)*60))+(Assumptions!$B$6*(((Archetypes!$C$11*(IF(S11&lt;0,1+Assumptions!$B$32*MIN(1,ABS(S11)/ABS(Assumptions!$B$21)),MAX(0.1,1-Assumptions!$B$31*(S11/50)))))-((Archetypes!$C$11*(IF(S11&lt;0,1+Assumptions!$B$32*MIN(1,ABS(S11)/ABS(Assumptions!$B$21)),MAX(0.1,1-Assumptions!$B$31*(S11/50)))))*W11)*Archetypes!$C$20)+((Archetypes!$C$11*(IF(S11&lt;0,1+Assumptions!$B$32*MIN(1,ABS(S11)/ABS(Assumptions!$B$21)),MAX(0.1,1-Assumptions!$B$31*(S11/50)))))*W11*Archetypes!$C$20*Archetypes!$C$21)*Assumptions!$B$18)*(IF($D11=1,1,Assumptions!$B$7)))+(((((Archetypes!$C$11*(IF(S11&lt;0,1+Assumptions!$B$32*MIN(1,ABS(S11)/ABS(Assumptions!$B$21)),MAX(0.1,1-Assumptions!$B$31*(S11/50)))))-((Archetypes!$C$11*(IF(S11&lt;0,1+Assumptions!$B$32*MIN(1,ABS(S11)/ABS(Assumptions!$B$21)),MAX(0.1,1-Assumptions!$B$31*(S11/50)))))*W11)*Archetypes!$C$15)*(Archetypes!$C$13*IF(S11&lt;0,1-Assumptions!$B$33*MIN(1,ABS(S11)/ABS(Assumptions!$B$21)),1))*5)+(((Archetypes!$C$11*(IF(S11&lt;0,1+Assumptions!$B$32*MIN(1,ABS(S11)/ABS(Assumptions!$B$21)),MAX(0.1,1-Assumptions!$B$31*(S11/50)))))*W11*Archetypes!$C$15*Archetypes!$C$22)*(Archetypes!$C$13*IF(S11&lt;0,1-Assumptions!$B$33*MIN(1,ABS(S11)/ABS(Assumptions!$B$21)),1))*5*Assumptions!$B$18))*IF(S11&lt;0,Assumptions!$B$9,1)))*$E11</f>
        <v>837.94561068116275</v>
      </c>
      <c r="AB11" s="21">
        <f>(AB10)+(AA11)-(MAX(0,((AB10)+(AA11)-(AC11)))*(IF(Archetypes!$C$27="",Assumptions!$B$11,Archetypes!$C$27)))</f>
        <v>8716.0813659430551</v>
      </c>
      <c r="AC11" s="21">
        <f>Archetypes!$C$36 + (Assumptions!$B$67*(IF($E11=0,0,V11/$E11))*Assumptions!$B$71*(1+Assumptions!$B$68*(Archetypes!$C$14-1))) + (Assumptions!$B$69*Archetypes!$C$34*(IF($E11=0,0,V11/$E11))*Assumptions!$B$72*POWER(Assumptions!$B$70,Archetypes!$C$18-1))</f>
        <v>9404.9660226373762</v>
      </c>
      <c r="AD11" s="21">
        <f t="shared" si="5"/>
        <v>0</v>
      </c>
      <c r="AF11" s="21">
        <f t="shared" si="10"/>
        <v>56.328655705958951</v>
      </c>
      <c r="AG11" s="21">
        <f>MAX(Assumptions!$B$21,AF11+AH11)</f>
        <v>59.624423896256403</v>
      </c>
      <c r="AH11" s="21">
        <f>((AL11*(Assumptions!$B$22+((Assumptions!$B$23-Assumptions!$B$22)*IF(AI11&gt;0,AK11/AI11,0)))*(1+Assumptions!$B$60*(Archetypes!$D$13-1)))+IF(AL11&gt;AI11,AI11*Assumptions!$B$24,0)-IF(IF(AI11&gt;0,AM11/AI11,1)&lt;Assumptions!$B$61,((AM11*(Assumptions!$B$27*(1+Assumptions!$B$28*(Archetypes!$D$14-1))/(1+Assumptions!$B$29*(Archetypes!$D$12-1))))+(((AI11*Archetypes!$D$17*IF(AI11&gt;0,AM11/AI11,1)*Archetypes!$D$31)/100)*Assumptions!$B$30))*Assumptions!$B$62,((AM11*(Assumptions!$B$27*(1+Assumptions!$B$28*(Archetypes!$D$14-1))/(1+Assumptions!$B$29*(Archetypes!$D$12-1))))+(((AI11*Archetypes!$D$17*IF(AI11&gt;0,AM11/AI11,1)*Archetypes!$D$31)/100)*Assumptions!$B$30)))-(Assumptions!$B$25*Assumptions!$B$26*E11))*E11</f>
        <v>3.295768190297454</v>
      </c>
      <c r="AI11" s="21">
        <f>(Archetypes!$D$11*(IF(AF11&lt;0,1+Assumptions!$B$32*MIN(1,ABS(AF11)/ABS(Assumptions!$B$21)),MAX(0.1,1-Assumptions!$B$31*(AF11/50)))))*$E11</f>
        <v>0.97216839458547766</v>
      </c>
      <c r="AJ11" s="26">
        <f>Archetypes!$D$30</f>
        <v>0.10400000000000001</v>
      </c>
      <c r="AK11" s="21">
        <f t="shared" si="6"/>
        <v>0.10110551303688968</v>
      </c>
      <c r="AL11" s="21">
        <f>((AI11-AK11)*Archetypes!$D$15)+(AK11*Archetypes!$D$15*Archetypes!$D$22)</f>
        <v>1.5189158997003502</v>
      </c>
      <c r="AM11" s="21">
        <f>AI11*Archetypes!$D$16</f>
        <v>0.19443367891709554</v>
      </c>
      <c r="AN11" s="21">
        <f>(IF(AF11&lt;0,Assumptions!$B$8,IF(AF11&lt;10,Assumptions!$B$34,IF(AF11&lt;25,Assumptions!$B$35,Assumptions!$B$36))))*((((Archetypes!$D$5*Assumptions!$B$4+Archetypes!$D$6*Assumptions!$B$5)*60))+(Assumptions!$B$6*(((Archetypes!$D$11*(IF(AF11&lt;0,1+Assumptions!$B$32*MIN(1,ABS(AF11)/ABS(Assumptions!$B$21)),MAX(0.1,1-Assumptions!$B$31*(AF11/50)))))-((Archetypes!$D$11*(IF(AF11&lt;0,1+Assumptions!$B$32*MIN(1,ABS(AF11)/ABS(Assumptions!$B$21)),MAX(0.1,1-Assumptions!$B$31*(AF11/50)))))*AJ11)*Archetypes!$D$20)+((Archetypes!$D$11*(IF(AF11&lt;0,1+Assumptions!$B$32*MIN(1,ABS(AF11)/ABS(Assumptions!$B$21)),MAX(0.1,1-Assumptions!$B$31*(AF11/50)))))*AJ11*Archetypes!$D$20*Archetypes!$D$21)*Assumptions!$B$18)*(IF($D11=1,1,Assumptions!$B$7)))+(((((Archetypes!$D$11*(IF(AF11&lt;0,1+Assumptions!$B$32*MIN(1,ABS(AF11)/ABS(Assumptions!$B$21)),MAX(0.1,1-Assumptions!$B$31*(AF11/50)))))-((Archetypes!$D$11*(IF(AF11&lt;0,1+Assumptions!$B$32*MIN(1,ABS(AF11)/ABS(Assumptions!$B$21)),MAX(0.1,1-Assumptions!$B$31*(AF11/50)))))*AJ11)*Archetypes!$D$15)*(Archetypes!$D$13*IF(AF11&lt;0,1-Assumptions!$B$33*MIN(1,ABS(AF11)/ABS(Assumptions!$B$21)),1))*5)+(((Archetypes!$D$11*(IF(AF11&lt;0,1+Assumptions!$B$32*MIN(1,ABS(AF11)/ABS(Assumptions!$B$21)),MAX(0.1,1-Assumptions!$B$31*(AF11/50)))))*AJ11*Archetypes!$D$15*Archetypes!$D$22)*(Archetypes!$D$13*IF(AF11&lt;0,1-Assumptions!$B$33*MIN(1,ABS(AF11)/ABS(Assumptions!$B$21)),1))*5*Assumptions!$B$18))*IF(AF11&lt;0,Assumptions!$B$9,1)))*$E11</f>
        <v>1102.3838421180224</v>
      </c>
      <c r="AO11" s="21">
        <f>(AO10)+(AN11)-(MAX(0,((AO10)+(AN11)-(AP11)))*(IF(Archetypes!$D$27="",Assumptions!$B$11,Archetypes!$D$27)))</f>
        <v>12034.662739755902</v>
      </c>
      <c r="AP11" s="21">
        <f>Archetypes!$D$36 + (Assumptions!$B$67*(IF($E11=0,0,AI11/$E11))*Assumptions!$B$71*(1+Assumptions!$B$68*(Archetypes!$D$14-1))) + (Assumptions!$B$69*Archetypes!$D$34*(IF($E11=0,0,AI11/$E11))*Assumptions!$B$72*POWER(Assumptions!$B$70,Archetypes!$D$18-1))</f>
        <v>20903.856980720415</v>
      </c>
      <c r="AQ11" s="21">
        <f t="shared" si="7"/>
        <v>0</v>
      </c>
    </row>
    <row r="12" spans="1:52" x14ac:dyDescent="0.25">
      <c r="A12" s="20">
        <v>8</v>
      </c>
      <c r="B12" s="20">
        <f t="shared" si="0"/>
        <v>1</v>
      </c>
      <c r="C12" s="20">
        <f t="shared" si="1"/>
        <v>8</v>
      </c>
      <c r="D12" s="6">
        <f>IF(C12&lt;Assumptions!$B$10,1,0)</f>
        <v>0</v>
      </c>
      <c r="E12" s="6">
        <v>1</v>
      </c>
      <c r="F12" s="21">
        <f t="shared" si="8"/>
        <v>-15</v>
      </c>
      <c r="G12" s="21">
        <f>MAX(Assumptions!$B$21,F12+H12)</f>
        <v>-15</v>
      </c>
      <c r="H12" s="21">
        <f>((L12*(Assumptions!$B$22+((Assumptions!$B$23-Assumptions!$B$22)*IF(I12&gt;0,K12/I12,0)))*(1+Assumptions!$B$60*(Archetypes!$B$13-1)))+IF(L12&gt;I12,I12*Assumptions!$B$24,0)-IF(IF(I12&gt;0,M12/I12,1)&lt;Assumptions!$B$61,((M12*(Assumptions!$B$27*(1+Assumptions!$B$28*(Archetypes!$B$14-1))/(1+Assumptions!$B$29*(Archetypes!$B$12-1))))+(((I12*Archetypes!$B$17*IF(I12&gt;0,M12/I12,1)*Archetypes!$B$31)/100)*Assumptions!$B$30))*Assumptions!$B$62,((M12*(Assumptions!$B$27*(1+Assumptions!$B$28*(Archetypes!$B$14-1))/(1+Assumptions!$B$29*(Archetypes!$B$12-1))))+(((I12*Archetypes!$B$17*IF(I12&gt;0,M12/I12,1)*Archetypes!$B$31)/100)*Assumptions!$B$30)))-(Assumptions!$B$25*Assumptions!$B$26*E12))*E12</f>
        <v>-2.8381702909090891</v>
      </c>
      <c r="I12" s="21">
        <f>(Archetypes!$B$11*(IF(F12&lt;0,1+Assumptions!$B$32*MIN(1,ABS(F12)/ABS(Assumptions!$B$21)),MAX(0.1,1-Assumptions!$B$31*(F12/50)))))*$E12</f>
        <v>14</v>
      </c>
      <c r="J12" s="26">
        <f>Archetypes!$B$30</f>
        <v>2.1999999999999999E-2</v>
      </c>
      <c r="K12" s="21">
        <f t="shared" si="2"/>
        <v>0.308</v>
      </c>
      <c r="L12" s="21">
        <f>((I12-K12)*Archetypes!$B$15)+(K12*Archetypes!$B$15*Archetypes!$B$22)</f>
        <v>1.4061600000000003</v>
      </c>
      <c r="M12" s="21">
        <f>I12*Archetypes!$B$16</f>
        <v>10.5</v>
      </c>
      <c r="N12" s="21">
        <f>(IF(F12&lt;0,Assumptions!$B$8,IF(F12&lt;10,Assumptions!$B$34,IF(F12&lt;25,Assumptions!$B$35,Assumptions!$B$36))))*((((Archetypes!$B$5*Assumptions!$B$4+Archetypes!$B$6*Assumptions!$B$5)*60))+(Assumptions!$B$6*(((Archetypes!$B$11*(IF(F12&lt;0,1+Assumptions!$B$32*MIN(1,ABS(F12)/ABS(Assumptions!$B$21)),MAX(0.1,1-Assumptions!$B$31*(F12/50)))))-((Archetypes!$B$11*(IF(F12&lt;0,1+Assumptions!$B$32*MIN(1,ABS(F12)/ABS(Assumptions!$B$21)),MAX(0.1,1-Assumptions!$B$31*(F12/50)))))*J12)*Archetypes!$B$20)+((Archetypes!$B$11*(IF(F12&lt;0,1+Assumptions!$B$32*MIN(1,ABS(F12)/ABS(Assumptions!$B$21)),MAX(0.1,1-Assumptions!$B$31*(F12/50)))))*J12*Archetypes!$B$20*Archetypes!$B$21)*Assumptions!$B$18)*(IF($D12=1,1,Assumptions!$B$7)))+(((((Archetypes!$B$11*(IF(F12&lt;0,1+Assumptions!$B$32*MIN(1,ABS(F12)/ABS(Assumptions!$B$21)),MAX(0.1,1-Assumptions!$B$31*(F12/50)))))-((Archetypes!$B$11*(IF(F12&lt;0,1+Assumptions!$B$32*MIN(1,ABS(F12)/ABS(Assumptions!$B$21)),MAX(0.1,1-Assumptions!$B$31*(F12/50)))))*J12)*Archetypes!$B$15)*(Archetypes!$B$13*IF(F12&lt;0,1-Assumptions!$B$33*MIN(1,ABS(F12)/ABS(Assumptions!$B$21)),1))*5)+(((Archetypes!$B$11*(IF(F12&lt;0,1+Assumptions!$B$32*MIN(1,ABS(F12)/ABS(Assumptions!$B$21)),MAX(0.1,1-Assumptions!$B$31*(F12/50)))))*J12*Archetypes!$B$15*Archetypes!$B$22)*(Archetypes!$B$13*IF(F12&lt;0,1-Assumptions!$B$33*MIN(1,ABS(F12)/ABS(Assumptions!$B$21)),1))*5*Assumptions!$B$18))*IF(F12&lt;0,Assumptions!$B$9,1)))*$E12</f>
        <v>484.478544</v>
      </c>
      <c r="O12" s="21">
        <f>(O11)+(N12)-(MAX(0,((O11)+(N12)-(P12)))*(IF(Archetypes!$B$27="",Assumptions!$B$11,Archetypes!$B$27)))</f>
        <v>3862.8945293403262</v>
      </c>
      <c r="P12" s="21">
        <f>Archetypes!$B$36 + (Assumptions!$B$67*(IF($E12=0,0,I12/$E12))*Assumptions!$B$71*(1+Assumptions!$B$68*(Archetypes!$B$14-1))) + (Assumptions!$B$69*Archetypes!$B$34*(IF($E12=0,0,I12/$E12))*Assumptions!$B$72*POWER(Assumptions!$B$70,Archetypes!$B$18-1))</f>
        <v>2668.56</v>
      </c>
      <c r="Q12" s="21">
        <f t="shared" si="3"/>
        <v>1194.3345293403263</v>
      </c>
      <c r="S12" s="21">
        <f t="shared" si="9"/>
        <v>31.985456116080762</v>
      </c>
      <c r="T12" s="21">
        <f>MAX(Assumptions!$B$21,S12+U12)</f>
        <v>34.595214792263519</v>
      </c>
      <c r="U12" s="21">
        <f>((Y12*(Assumptions!$B$22+((Assumptions!$B$23-Assumptions!$B$22)*IF(V12&gt;0,X12/V12,0)))*(1+Assumptions!$B$60*(Archetypes!$C$13-1)))+IF(Y12&gt;V12,V12*Assumptions!$B$24,0)-IF(IF(V12&gt;0,Z12/V12,1)&lt;Assumptions!$B$61,((Z12*(Assumptions!$B$27*(1+Assumptions!$B$28*(Archetypes!$C$14-1))/(1+Assumptions!$B$29*(Archetypes!$C$12-1))))+(((V12*Archetypes!$C$17*IF(V12&gt;0,Z12/V12,1)*Archetypes!$C$31)/100)*Assumptions!$B$30))*Assumptions!$B$62,((Z12*(Assumptions!$B$27*(1+Assumptions!$B$28*(Archetypes!$C$14-1))/(1+Assumptions!$B$29*(Archetypes!$C$12-1))))+(((V12*Archetypes!$C$17*IF(V12&gt;0,Z12/V12,1)*Archetypes!$C$31)/100)*Assumptions!$B$30)))-(Assumptions!$B$25*Assumptions!$B$26*E12))*E12</f>
        <v>2.609758676182754</v>
      </c>
      <c r="V12" s="21">
        <f>(Archetypes!$C$11*(IF(S12&lt;0,1+Assumptions!$B$32*MIN(1,ABS(S12)/ABS(Assumptions!$B$21)),MAX(0.1,1-Assumptions!$B$31*(S12/50)))))*$E12</f>
        <v>3.6970471596421852</v>
      </c>
      <c r="W12" s="26">
        <f>Archetypes!$C$30</f>
        <v>3.7999999999999999E-2</v>
      </c>
      <c r="X12" s="21">
        <f t="shared" si="4"/>
        <v>0.14048779206640302</v>
      </c>
      <c r="Y12" s="21">
        <f>((V12-X12)*Archetypes!$C$15)+(X12*Archetypes!$C$15*Archetypes!$C$22)</f>
        <v>1.8695967486310532</v>
      </c>
      <c r="Z12" s="21">
        <f>V12*Archetypes!$C$16</f>
        <v>1.6636712218389833</v>
      </c>
      <c r="AA12" s="21">
        <f>(IF(S12&lt;0,Assumptions!$B$8,IF(S12&lt;10,Assumptions!$B$34,IF(S12&lt;25,Assumptions!$B$35,Assumptions!$B$36))))*((((Archetypes!$C$5*Assumptions!$B$4+Archetypes!$C$6*Assumptions!$B$5)*60))+(Assumptions!$B$6*(((Archetypes!$C$11*(IF(S12&lt;0,1+Assumptions!$B$32*MIN(1,ABS(S12)/ABS(Assumptions!$B$21)),MAX(0.1,1-Assumptions!$B$31*(S12/50)))))-((Archetypes!$C$11*(IF(S12&lt;0,1+Assumptions!$B$32*MIN(1,ABS(S12)/ABS(Assumptions!$B$21)),MAX(0.1,1-Assumptions!$B$31*(S12/50)))))*W12)*Archetypes!$C$20)+((Archetypes!$C$11*(IF(S12&lt;0,1+Assumptions!$B$32*MIN(1,ABS(S12)/ABS(Assumptions!$B$21)),MAX(0.1,1-Assumptions!$B$31*(S12/50)))))*W12*Archetypes!$C$20*Archetypes!$C$21)*Assumptions!$B$18)*(IF($D12=1,1,Assumptions!$B$7)))+(((((Archetypes!$C$11*(IF(S12&lt;0,1+Assumptions!$B$32*MIN(1,ABS(S12)/ABS(Assumptions!$B$21)),MAX(0.1,1-Assumptions!$B$31*(S12/50)))))-((Archetypes!$C$11*(IF(S12&lt;0,1+Assumptions!$B$32*MIN(1,ABS(S12)/ABS(Assumptions!$B$21)),MAX(0.1,1-Assumptions!$B$31*(S12/50)))))*W12)*Archetypes!$C$15)*(Archetypes!$C$13*IF(S12&lt;0,1-Assumptions!$B$33*MIN(1,ABS(S12)/ABS(Assumptions!$B$21)),1))*5)+(((Archetypes!$C$11*(IF(S12&lt;0,1+Assumptions!$B$32*MIN(1,ABS(S12)/ABS(Assumptions!$B$21)),MAX(0.1,1-Assumptions!$B$31*(S12/50)))))*W12*Archetypes!$C$15*Archetypes!$C$22)*(Archetypes!$C$13*IF(S12&lt;0,1-Assumptions!$B$33*MIN(1,ABS(S12)/ABS(Assumptions!$B$21)),1))*5*Assumptions!$B$18))*IF(S12&lt;0,Assumptions!$B$9,1)))*$E12</f>
        <v>822.52875944728828</v>
      </c>
      <c r="AB12" s="21">
        <f>(AB11)+(AA12)-(MAX(0,((AB11)+(AA12)-(AC12)))*(IF(Archetypes!$C$27="",Assumptions!$B$11,Archetypes!$C$27)))</f>
        <v>9500.7311551347084</v>
      </c>
      <c r="AC12" s="21">
        <f>Archetypes!$C$36 + (Assumptions!$B$67*(IF($E12=0,0,V12/$E12))*Assumptions!$B$71*(1+Assumptions!$B$68*(Archetypes!$C$14-1))) + (Assumptions!$B$69*Archetypes!$C$34*(IF($E12=0,0,V12/$E12))*Assumptions!$B$72*POWER(Assumptions!$B$70,Archetypes!$C$18-1))</f>
        <v>9387.0942443677995</v>
      </c>
      <c r="AD12" s="21">
        <f t="shared" si="5"/>
        <v>113.63691076690884</v>
      </c>
      <c r="AF12" s="21">
        <f t="shared" si="10"/>
        <v>59.624423896256403</v>
      </c>
      <c r="AG12" s="21">
        <f>MAX(Assumptions!$B$21,AF12+AH12)</f>
        <v>62.499655565088062</v>
      </c>
      <c r="AH12" s="21">
        <f>((AL12*(Assumptions!$B$22+((Assumptions!$B$23-Assumptions!$B$22)*IF(AI12&gt;0,AK12/AI12,0)))*(1+Assumptions!$B$60*(Archetypes!$D$13-1)))+IF(AL12&gt;AI12,AI12*Assumptions!$B$24,0)-IF(IF(AI12&gt;0,AM12/AI12,1)&lt;Assumptions!$B$61,((AM12*(Assumptions!$B$27*(1+Assumptions!$B$28*(Archetypes!$D$14-1))/(1+Assumptions!$B$29*(Archetypes!$D$12-1))))+(((AI12*Archetypes!$D$17*IF(AI12&gt;0,AM12/AI12,1)*Archetypes!$D$31)/100)*Assumptions!$B$30))*Assumptions!$B$62,((AM12*(Assumptions!$B$27*(1+Assumptions!$B$28*(Archetypes!$D$14-1))/(1+Assumptions!$B$29*(Archetypes!$D$12-1))))+(((AI12*Archetypes!$D$17*IF(AI12&gt;0,AM12/AI12,1)*Archetypes!$D$31)/100)*Assumptions!$B$30)))-(Assumptions!$B$25*Assumptions!$B$26*E12))*E12</f>
        <v>2.875231668831661</v>
      </c>
      <c r="AI12" s="21">
        <f>(Archetypes!$D$11*(IF(AF12&lt;0,1+Assumptions!$B$32*MIN(1,ABS(AF12)/ABS(Assumptions!$B$21)),MAX(0.1,1-Assumptions!$B$31*(AF12/50)))))*$E12</f>
        <v>0.8535207397347695</v>
      </c>
      <c r="AJ12" s="26">
        <f>Archetypes!$D$30</f>
        <v>0.10400000000000001</v>
      </c>
      <c r="AK12" s="21">
        <f t="shared" si="6"/>
        <v>8.8766156932416032E-2</v>
      </c>
      <c r="AL12" s="21">
        <f>((AI12-AK12)*Archetypes!$D$15)+(AK12*Archetypes!$D$15*Archetypes!$D$22)</f>
        <v>1.3335408037616039</v>
      </c>
      <c r="AM12" s="21">
        <f>AI12*Archetypes!$D$16</f>
        <v>0.1707041479469539</v>
      </c>
      <c r="AN12" s="21">
        <f>(IF(AF12&lt;0,Assumptions!$B$8,IF(AF12&lt;10,Assumptions!$B$34,IF(AF12&lt;25,Assumptions!$B$35,Assumptions!$B$36))))*((((Archetypes!$D$5*Assumptions!$B$4+Archetypes!$D$6*Assumptions!$B$5)*60))+(Assumptions!$B$6*(((Archetypes!$D$11*(IF(AF12&lt;0,1+Assumptions!$B$32*MIN(1,ABS(AF12)/ABS(Assumptions!$B$21)),MAX(0.1,1-Assumptions!$B$31*(AF12/50)))))-((Archetypes!$D$11*(IF(AF12&lt;0,1+Assumptions!$B$32*MIN(1,ABS(AF12)/ABS(Assumptions!$B$21)),MAX(0.1,1-Assumptions!$B$31*(AF12/50)))))*AJ12)*Archetypes!$D$20)+((Archetypes!$D$11*(IF(AF12&lt;0,1+Assumptions!$B$32*MIN(1,ABS(AF12)/ABS(Assumptions!$B$21)),MAX(0.1,1-Assumptions!$B$31*(AF12/50)))))*AJ12*Archetypes!$D$20*Archetypes!$D$21)*Assumptions!$B$18)*(IF($D12=1,1,Assumptions!$B$7)))+(((((Archetypes!$D$11*(IF(AF12&lt;0,1+Assumptions!$B$32*MIN(1,ABS(AF12)/ABS(Assumptions!$B$21)),MAX(0.1,1-Assumptions!$B$31*(AF12/50)))))-((Archetypes!$D$11*(IF(AF12&lt;0,1+Assumptions!$B$32*MIN(1,ABS(AF12)/ABS(Assumptions!$B$21)),MAX(0.1,1-Assumptions!$B$31*(AF12/50)))))*AJ12)*Archetypes!$D$15)*(Archetypes!$D$13*IF(AF12&lt;0,1-Assumptions!$B$33*MIN(1,ABS(AF12)/ABS(Assumptions!$B$21)),1))*5)+(((Archetypes!$D$11*(IF(AF12&lt;0,1+Assumptions!$B$32*MIN(1,ABS(AF12)/ABS(Assumptions!$B$21)),MAX(0.1,1-Assumptions!$B$31*(AF12/50)))))*AJ12*Archetypes!$D$15*Archetypes!$D$22)*(Archetypes!$D$13*IF(AF12&lt;0,1-Assumptions!$B$33*MIN(1,ABS(AF12)/ABS(Assumptions!$B$21)),1))*5*Assumptions!$B$18))*IF(AF12&lt;0,Assumptions!$B$9,1)))*$E12</f>
        <v>1073.6565753064317</v>
      </c>
      <c r="AO12" s="21">
        <f>(AO11)+(AN12)-(MAX(0,((AO11)+(AN12)-(AP12)))*(IF(Archetypes!$D$27="",Assumptions!$B$11,Archetypes!$D$27)))</f>
        <v>13108.319315062334</v>
      </c>
      <c r="AP12" s="21">
        <f>Archetypes!$D$36 + (Assumptions!$B$67*(IF($E12=0,0,AI12/$E12))*Assumptions!$B$71*(1+Assumptions!$B$68*(Archetypes!$D$14-1))) + (Assumptions!$B$69*Archetypes!$D$34*(IF($E12=0,0,AI12/$E12))*Assumptions!$B$72*POWER(Assumptions!$B$70,Archetypes!$D$18-1))</f>
        <v>20881.076630989079</v>
      </c>
      <c r="AQ12" s="21">
        <f t="shared" si="7"/>
        <v>0</v>
      </c>
    </row>
    <row r="13" spans="1:52" x14ac:dyDescent="0.25">
      <c r="A13" s="20">
        <v>9</v>
      </c>
      <c r="B13" s="20">
        <f t="shared" si="0"/>
        <v>1</v>
      </c>
      <c r="C13" s="20">
        <f t="shared" si="1"/>
        <v>9</v>
      </c>
      <c r="D13" s="6">
        <f>IF(C13&lt;Assumptions!$B$10,1,0)</f>
        <v>0</v>
      </c>
      <c r="E13" s="6">
        <v>1</v>
      </c>
      <c r="F13" s="21">
        <f t="shared" si="8"/>
        <v>-15</v>
      </c>
      <c r="G13" s="21">
        <f>MAX(Assumptions!$B$21,F13+H13)</f>
        <v>-15</v>
      </c>
      <c r="H13" s="21">
        <f>((L13*(Assumptions!$B$22+((Assumptions!$B$23-Assumptions!$B$22)*IF(I13&gt;0,K13/I13,0)))*(1+Assumptions!$B$60*(Archetypes!$B$13-1)))+IF(L13&gt;I13,I13*Assumptions!$B$24,0)-IF(IF(I13&gt;0,M13/I13,1)&lt;Assumptions!$B$61,((M13*(Assumptions!$B$27*(1+Assumptions!$B$28*(Archetypes!$B$14-1))/(1+Assumptions!$B$29*(Archetypes!$B$12-1))))+(((I13*Archetypes!$B$17*IF(I13&gt;0,M13/I13,1)*Archetypes!$B$31)/100)*Assumptions!$B$30))*Assumptions!$B$62,((M13*(Assumptions!$B$27*(1+Assumptions!$B$28*(Archetypes!$B$14-1))/(1+Assumptions!$B$29*(Archetypes!$B$12-1))))+(((I13*Archetypes!$B$17*IF(I13&gt;0,M13/I13,1)*Archetypes!$B$31)/100)*Assumptions!$B$30)))-(Assumptions!$B$25*Assumptions!$B$26*E13))*E13</f>
        <v>-2.8381702909090891</v>
      </c>
      <c r="I13" s="21">
        <f>(Archetypes!$B$11*(IF(F13&lt;0,1+Assumptions!$B$32*MIN(1,ABS(F13)/ABS(Assumptions!$B$21)),MAX(0.1,1-Assumptions!$B$31*(F13/50)))))*$E13</f>
        <v>14</v>
      </c>
      <c r="J13" s="26">
        <f>Archetypes!$B$30</f>
        <v>2.1999999999999999E-2</v>
      </c>
      <c r="K13" s="21">
        <f t="shared" si="2"/>
        <v>0.308</v>
      </c>
      <c r="L13" s="21">
        <f>((I13-K13)*Archetypes!$B$15)+(K13*Archetypes!$B$15*Archetypes!$B$22)</f>
        <v>1.4061600000000003</v>
      </c>
      <c r="M13" s="21">
        <f>I13*Archetypes!$B$16</f>
        <v>10.5</v>
      </c>
      <c r="N13" s="21">
        <f>(IF(F13&lt;0,Assumptions!$B$8,IF(F13&lt;10,Assumptions!$B$34,IF(F13&lt;25,Assumptions!$B$35,Assumptions!$B$36))))*((((Archetypes!$B$5*Assumptions!$B$4+Archetypes!$B$6*Assumptions!$B$5)*60))+(Assumptions!$B$6*(((Archetypes!$B$11*(IF(F13&lt;0,1+Assumptions!$B$32*MIN(1,ABS(F13)/ABS(Assumptions!$B$21)),MAX(0.1,1-Assumptions!$B$31*(F13/50)))))-((Archetypes!$B$11*(IF(F13&lt;0,1+Assumptions!$B$32*MIN(1,ABS(F13)/ABS(Assumptions!$B$21)),MAX(0.1,1-Assumptions!$B$31*(F13/50)))))*J13)*Archetypes!$B$20)+((Archetypes!$B$11*(IF(F13&lt;0,1+Assumptions!$B$32*MIN(1,ABS(F13)/ABS(Assumptions!$B$21)),MAX(0.1,1-Assumptions!$B$31*(F13/50)))))*J13*Archetypes!$B$20*Archetypes!$B$21)*Assumptions!$B$18)*(IF($D13=1,1,Assumptions!$B$7)))+(((((Archetypes!$B$11*(IF(F13&lt;0,1+Assumptions!$B$32*MIN(1,ABS(F13)/ABS(Assumptions!$B$21)),MAX(0.1,1-Assumptions!$B$31*(F13/50)))))-((Archetypes!$B$11*(IF(F13&lt;0,1+Assumptions!$B$32*MIN(1,ABS(F13)/ABS(Assumptions!$B$21)),MAX(0.1,1-Assumptions!$B$31*(F13/50)))))*J13)*Archetypes!$B$15)*(Archetypes!$B$13*IF(F13&lt;0,1-Assumptions!$B$33*MIN(1,ABS(F13)/ABS(Assumptions!$B$21)),1))*5)+(((Archetypes!$B$11*(IF(F13&lt;0,1+Assumptions!$B$32*MIN(1,ABS(F13)/ABS(Assumptions!$B$21)),MAX(0.1,1-Assumptions!$B$31*(F13/50)))))*J13*Archetypes!$B$15*Archetypes!$B$22)*(Archetypes!$B$13*IF(F13&lt;0,1-Assumptions!$B$33*MIN(1,ABS(F13)/ABS(Assumptions!$B$21)),1))*5*Assumptions!$B$18))*IF(F13&lt;0,Assumptions!$B$9,1)))*$E13</f>
        <v>484.478544</v>
      </c>
      <c r="O13" s="21">
        <f>(O12)+(N13)-(MAX(0,((O12)+(N13)-(P13)))*(IF(Archetypes!$B$27="",Assumptions!$B$11,Archetypes!$B$27)))</f>
        <v>4011.6104586722608</v>
      </c>
      <c r="P13" s="21">
        <f>Archetypes!$B$36 + (Assumptions!$B$67*(IF($E13=0,0,I13/$E13))*Assumptions!$B$71*(1+Assumptions!$B$68*(Archetypes!$B$14-1))) + (Assumptions!$B$69*Archetypes!$B$34*(IF($E13=0,0,I13/$E13))*Assumptions!$B$72*POWER(Assumptions!$B$70,Archetypes!$B$18-1))</f>
        <v>2668.56</v>
      </c>
      <c r="Q13" s="21">
        <f t="shared" si="3"/>
        <v>1343.0504586722609</v>
      </c>
      <c r="S13" s="21">
        <f t="shared" si="9"/>
        <v>34.595214792263519</v>
      </c>
      <c r="T13" s="21">
        <f>MAX(Assumptions!$B$21,S13+U13)</f>
        <v>37.06470858234659</v>
      </c>
      <c r="U13" s="21">
        <f>((Y13*(Assumptions!$B$22+((Assumptions!$B$23-Assumptions!$B$22)*IF(V13&gt;0,X13/V13,0)))*(1+Assumptions!$B$60*(Archetypes!$C$13-1)))+IF(Y13&gt;V13,V13*Assumptions!$B$24,0)-IF(IF(V13&gt;0,Z13/V13,1)&lt;Assumptions!$B$61,((Z13*(Assumptions!$B$27*(1+Assumptions!$B$28*(Archetypes!$C$14-1))/(1+Assumptions!$B$29*(Archetypes!$C$12-1))))+(((V13*Archetypes!$C$17*IF(V13&gt;0,Z13/V13,1)*Archetypes!$C$31)/100)*Assumptions!$B$30))*Assumptions!$B$62,((Z13*(Assumptions!$B$27*(1+Assumptions!$B$28*(Archetypes!$C$14-1))/(1+Assumptions!$B$29*(Archetypes!$C$12-1))))+(((V13*Archetypes!$C$17*IF(V13&gt;0,Z13/V13,1)*Archetypes!$C$31)/100)*Assumptions!$B$30)))-(Assumptions!$B$25*Assumptions!$B$26*E13))*E13</f>
        <v>2.4694937900830678</v>
      </c>
      <c r="V13" s="21">
        <f>(Archetypes!$C$11*(IF(S13&lt;0,1+Assumptions!$B$32*MIN(1,ABS(S13)/ABS(Assumptions!$B$21)),MAX(0.1,1-Assumptions!$B$31*(S13/50)))))*$E13</f>
        <v>3.5091445349570267</v>
      </c>
      <c r="W13" s="26">
        <f>Archetypes!$C$30</f>
        <v>3.7999999999999999E-2</v>
      </c>
      <c r="X13" s="21">
        <f t="shared" si="4"/>
        <v>0.13334749232836701</v>
      </c>
      <c r="Y13" s="21">
        <f>((V13-X13)*Archetypes!$C$15)+(X13*Archetypes!$C$15*Archetypes!$C$22)</f>
        <v>1.7745743913277683</v>
      </c>
      <c r="Z13" s="21">
        <f>V13*Archetypes!$C$16</f>
        <v>1.579115040730662</v>
      </c>
      <c r="AA13" s="21">
        <f>(IF(S13&lt;0,Assumptions!$B$8,IF(S13&lt;10,Assumptions!$B$34,IF(S13&lt;25,Assumptions!$B$35,Assumptions!$B$36))))*((((Archetypes!$C$5*Assumptions!$B$4+Archetypes!$C$6*Assumptions!$B$5)*60))+(Assumptions!$B$6*(((Archetypes!$C$11*(IF(S13&lt;0,1+Assumptions!$B$32*MIN(1,ABS(S13)/ABS(Assumptions!$B$21)),MAX(0.1,1-Assumptions!$B$31*(S13/50)))))-((Archetypes!$C$11*(IF(S13&lt;0,1+Assumptions!$B$32*MIN(1,ABS(S13)/ABS(Assumptions!$B$21)),MAX(0.1,1-Assumptions!$B$31*(S13/50)))))*W13)*Archetypes!$C$20)+((Archetypes!$C$11*(IF(S13&lt;0,1+Assumptions!$B$32*MIN(1,ABS(S13)/ABS(Assumptions!$B$21)),MAX(0.1,1-Assumptions!$B$31*(S13/50)))))*W13*Archetypes!$C$20*Archetypes!$C$21)*Assumptions!$B$18)*(IF($D13=1,1,Assumptions!$B$7)))+(((((Archetypes!$C$11*(IF(S13&lt;0,1+Assumptions!$B$32*MIN(1,ABS(S13)/ABS(Assumptions!$B$21)),MAX(0.1,1-Assumptions!$B$31*(S13/50)))))-((Archetypes!$C$11*(IF(S13&lt;0,1+Assumptions!$B$32*MIN(1,ABS(S13)/ABS(Assumptions!$B$21)),MAX(0.1,1-Assumptions!$B$31*(S13/50)))))*W13)*Archetypes!$C$15)*(Archetypes!$C$13*IF(S13&lt;0,1-Assumptions!$B$33*MIN(1,ABS(S13)/ABS(Assumptions!$B$21)),1))*5)+(((Archetypes!$C$11*(IF(S13&lt;0,1+Assumptions!$B$32*MIN(1,ABS(S13)/ABS(Assumptions!$B$21)),MAX(0.1,1-Assumptions!$B$31*(S13/50)))))*W13*Archetypes!$C$15*Archetypes!$C$22)*(Archetypes!$C$13*IF(S13&lt;0,1-Assumptions!$B$33*MIN(1,ABS(S13)/ABS(Assumptions!$B$21)),1))*5*Assumptions!$B$18))*IF(S13&lt;0,Assumptions!$B$9,1)))*$E13</f>
        <v>807.94050700381911</v>
      </c>
      <c r="AB13" s="21">
        <f>(AB12)+(AA13)-(MAX(0,((AB12)+(AA13)-(AC13)))*(IF(Archetypes!$C$27="",Assumptions!$B$11,Archetypes!$C$27)))</f>
        <v>10074.04949864043</v>
      </c>
      <c r="AC13" s="21">
        <f>Archetypes!$C$36 + (Assumptions!$B$67*(IF($E13=0,0,V13/$E13))*Assumptions!$B$71*(1+Assumptions!$B$68*(Archetypes!$C$14-1))) + (Assumptions!$B$69*Archetypes!$C$34*(IF($E13=0,0,V13/$E13))*Assumptions!$B$72*POWER(Assumptions!$B$70,Archetypes!$C$18-1))</f>
        <v>9370.1830081461358</v>
      </c>
      <c r="AD13" s="21">
        <f t="shared" si="5"/>
        <v>703.86649049429434</v>
      </c>
      <c r="AF13" s="21">
        <f t="shared" si="10"/>
        <v>62.499655565088062</v>
      </c>
      <c r="AG13" s="21">
        <f>MAX(Assumptions!$B$21,AF13+AH13)</f>
        <v>65.008010726045654</v>
      </c>
      <c r="AH13" s="21">
        <f>((AL13*(Assumptions!$B$22+((Assumptions!$B$23-Assumptions!$B$22)*IF(AI13&gt;0,AK13/AI13,0)))*(1+Assumptions!$B$60*(Archetypes!$D$13-1)))+IF(AL13&gt;AI13,AI13*Assumptions!$B$24,0)-IF(IF(AI13&gt;0,AM13/AI13,1)&lt;Assumptions!$B$61,((AM13*(Assumptions!$B$27*(1+Assumptions!$B$28*(Archetypes!$D$14-1))/(1+Assumptions!$B$29*(Archetypes!$D$12-1))))+(((AI13*Archetypes!$D$17*IF(AI13&gt;0,AM13/AI13,1)*Archetypes!$D$31)/100)*Assumptions!$B$30))*Assumptions!$B$62,((AM13*(Assumptions!$B$27*(1+Assumptions!$B$28*(Archetypes!$D$14-1))/(1+Assumptions!$B$29*(Archetypes!$D$12-1))))+(((AI13*Archetypes!$D$17*IF(AI13&gt;0,AM13/AI13,1)*Archetypes!$D$31)/100)*Assumptions!$B$30)))-(Assumptions!$B$25*Assumptions!$B$26*E13))*E13</f>
        <v>2.508355160957596</v>
      </c>
      <c r="AI13" s="21">
        <f>(Archetypes!$D$11*(IF(AF13&lt;0,1+Assumptions!$B$32*MIN(1,ABS(AF13)/ABS(Assumptions!$B$21)),MAX(0.1,1-Assumptions!$B$31*(AF13/50)))))*$E13</f>
        <v>0.75001239965682964</v>
      </c>
      <c r="AJ13" s="26">
        <f>Archetypes!$D$30</f>
        <v>0.10400000000000001</v>
      </c>
      <c r="AK13" s="21">
        <f t="shared" si="6"/>
        <v>7.8001289564310294E-2</v>
      </c>
      <c r="AL13" s="21">
        <f>((AI13-AK13)*Archetypes!$D$15)+(AK13*Archetypes!$D$15*Archetypes!$D$22)</f>
        <v>1.1718193732238307</v>
      </c>
      <c r="AM13" s="21">
        <f>AI13*Archetypes!$D$16</f>
        <v>0.15000247993136595</v>
      </c>
      <c r="AN13" s="21">
        <f>(IF(AF13&lt;0,Assumptions!$B$8,IF(AF13&lt;10,Assumptions!$B$34,IF(AF13&lt;25,Assumptions!$B$35,Assumptions!$B$36))))*((((Archetypes!$D$5*Assumptions!$B$4+Archetypes!$D$6*Assumptions!$B$5)*60))+(Assumptions!$B$6*(((Archetypes!$D$11*(IF(AF13&lt;0,1+Assumptions!$B$32*MIN(1,ABS(AF13)/ABS(Assumptions!$B$21)),MAX(0.1,1-Assumptions!$B$31*(AF13/50)))))-((Archetypes!$D$11*(IF(AF13&lt;0,1+Assumptions!$B$32*MIN(1,ABS(AF13)/ABS(Assumptions!$B$21)),MAX(0.1,1-Assumptions!$B$31*(AF13/50)))))*AJ13)*Archetypes!$D$20)+((Archetypes!$D$11*(IF(AF13&lt;0,1+Assumptions!$B$32*MIN(1,ABS(AF13)/ABS(Assumptions!$B$21)),MAX(0.1,1-Assumptions!$B$31*(AF13/50)))))*AJ13*Archetypes!$D$20*Archetypes!$D$21)*Assumptions!$B$18)*(IF($D13=1,1,Assumptions!$B$7)))+(((((Archetypes!$D$11*(IF(AF13&lt;0,1+Assumptions!$B$32*MIN(1,ABS(AF13)/ABS(Assumptions!$B$21)),MAX(0.1,1-Assumptions!$B$31*(AF13/50)))))-((Archetypes!$D$11*(IF(AF13&lt;0,1+Assumptions!$B$32*MIN(1,ABS(AF13)/ABS(Assumptions!$B$21)),MAX(0.1,1-Assumptions!$B$31*(AF13/50)))))*AJ13)*Archetypes!$D$15)*(Archetypes!$D$13*IF(AF13&lt;0,1-Assumptions!$B$33*MIN(1,ABS(AF13)/ABS(Assumptions!$B$21)),1))*5)+(((Archetypes!$D$11*(IF(AF13&lt;0,1+Assumptions!$B$32*MIN(1,ABS(AF13)/ABS(Assumptions!$B$21)),MAX(0.1,1-Assumptions!$B$31*(AF13/50)))))*AJ13*Archetypes!$D$15*Archetypes!$D$22)*(Archetypes!$D$13*IF(AF13&lt;0,1-Assumptions!$B$33*MIN(1,ABS(AF13)/ABS(Assumptions!$B$21)),1))*5*Assumptions!$B$18))*IF(AF13&lt;0,Assumptions!$B$9,1)))*$E13</f>
        <v>1048.5948772359109</v>
      </c>
      <c r="AO13" s="21">
        <f>(AO12)+(AN13)-(MAX(0,((AO12)+(AN13)-(AP13)))*(IF(Archetypes!$D$27="",Assumptions!$B$11,Archetypes!$D$27)))</f>
        <v>14156.914192298245</v>
      </c>
      <c r="AP13" s="21">
        <f>Archetypes!$D$36 + (Assumptions!$B$67*(IF($E13=0,0,AI13/$E13))*Assumptions!$B$71*(1+Assumptions!$B$68*(Archetypes!$D$14-1))) + (Assumptions!$B$69*Archetypes!$D$34*(IF($E13=0,0,AI13/$E13))*Assumptions!$B$72*POWER(Assumptions!$B$70,Archetypes!$D$18-1))</f>
        <v>20861.203029694112</v>
      </c>
      <c r="AQ13" s="21">
        <f t="shared" si="7"/>
        <v>0</v>
      </c>
    </row>
    <row r="14" spans="1:52" x14ac:dyDescent="0.25">
      <c r="A14" s="20">
        <v>10</v>
      </c>
      <c r="B14" s="20">
        <f t="shared" si="0"/>
        <v>1</v>
      </c>
      <c r="C14" s="20">
        <f t="shared" si="1"/>
        <v>10</v>
      </c>
      <c r="D14" s="6">
        <f>IF(C14&lt;Assumptions!$B$10,1,0)</f>
        <v>0</v>
      </c>
      <c r="E14" s="6">
        <v>1</v>
      </c>
      <c r="F14" s="21">
        <f t="shared" si="8"/>
        <v>-15</v>
      </c>
      <c r="G14" s="21">
        <f>MAX(Assumptions!$B$21,F14+H14)</f>
        <v>-15</v>
      </c>
      <c r="H14" s="21">
        <f>((L14*(Assumptions!$B$22+((Assumptions!$B$23-Assumptions!$B$22)*IF(I14&gt;0,K14/I14,0)))*(1+Assumptions!$B$60*(Archetypes!$B$13-1)))+IF(L14&gt;I14,I14*Assumptions!$B$24,0)-IF(IF(I14&gt;0,M14/I14,1)&lt;Assumptions!$B$61,((M14*(Assumptions!$B$27*(1+Assumptions!$B$28*(Archetypes!$B$14-1))/(1+Assumptions!$B$29*(Archetypes!$B$12-1))))+(((I14*Archetypes!$B$17*IF(I14&gt;0,M14/I14,1)*Archetypes!$B$31)/100)*Assumptions!$B$30))*Assumptions!$B$62,((M14*(Assumptions!$B$27*(1+Assumptions!$B$28*(Archetypes!$B$14-1))/(1+Assumptions!$B$29*(Archetypes!$B$12-1))))+(((I14*Archetypes!$B$17*IF(I14&gt;0,M14/I14,1)*Archetypes!$B$31)/100)*Assumptions!$B$30)))-(Assumptions!$B$25*Assumptions!$B$26*E14))*E14</f>
        <v>-2.8381702909090891</v>
      </c>
      <c r="I14" s="21">
        <f>(Archetypes!$B$11*(IF(F14&lt;0,1+Assumptions!$B$32*MIN(1,ABS(F14)/ABS(Assumptions!$B$21)),MAX(0.1,1-Assumptions!$B$31*(F14/50)))))*$E14</f>
        <v>14</v>
      </c>
      <c r="J14" s="26">
        <f>Archetypes!$B$30</f>
        <v>2.1999999999999999E-2</v>
      </c>
      <c r="K14" s="21">
        <f t="shared" si="2"/>
        <v>0.308</v>
      </c>
      <c r="L14" s="21">
        <f>((I14-K14)*Archetypes!$B$15)+(K14*Archetypes!$B$15*Archetypes!$B$22)</f>
        <v>1.4061600000000003</v>
      </c>
      <c r="M14" s="21">
        <f>I14*Archetypes!$B$16</f>
        <v>10.5</v>
      </c>
      <c r="N14" s="21">
        <f>(IF(F14&lt;0,Assumptions!$B$8,IF(F14&lt;10,Assumptions!$B$34,IF(F14&lt;25,Assumptions!$B$35,Assumptions!$B$36))))*((((Archetypes!$B$5*Assumptions!$B$4+Archetypes!$B$6*Assumptions!$B$5)*60))+(Assumptions!$B$6*(((Archetypes!$B$11*(IF(F14&lt;0,1+Assumptions!$B$32*MIN(1,ABS(F14)/ABS(Assumptions!$B$21)),MAX(0.1,1-Assumptions!$B$31*(F14/50)))))-((Archetypes!$B$11*(IF(F14&lt;0,1+Assumptions!$B$32*MIN(1,ABS(F14)/ABS(Assumptions!$B$21)),MAX(0.1,1-Assumptions!$B$31*(F14/50)))))*J14)*Archetypes!$B$20)+((Archetypes!$B$11*(IF(F14&lt;0,1+Assumptions!$B$32*MIN(1,ABS(F14)/ABS(Assumptions!$B$21)),MAX(0.1,1-Assumptions!$B$31*(F14/50)))))*J14*Archetypes!$B$20*Archetypes!$B$21)*Assumptions!$B$18)*(IF($D14=1,1,Assumptions!$B$7)))+(((((Archetypes!$B$11*(IF(F14&lt;0,1+Assumptions!$B$32*MIN(1,ABS(F14)/ABS(Assumptions!$B$21)),MAX(0.1,1-Assumptions!$B$31*(F14/50)))))-((Archetypes!$B$11*(IF(F14&lt;0,1+Assumptions!$B$32*MIN(1,ABS(F14)/ABS(Assumptions!$B$21)),MAX(0.1,1-Assumptions!$B$31*(F14/50)))))*J14)*Archetypes!$B$15)*(Archetypes!$B$13*IF(F14&lt;0,1-Assumptions!$B$33*MIN(1,ABS(F14)/ABS(Assumptions!$B$21)),1))*5)+(((Archetypes!$B$11*(IF(F14&lt;0,1+Assumptions!$B$32*MIN(1,ABS(F14)/ABS(Assumptions!$B$21)),MAX(0.1,1-Assumptions!$B$31*(F14/50)))))*J14*Archetypes!$B$15*Archetypes!$B$22)*(Archetypes!$B$13*IF(F14&lt;0,1-Assumptions!$B$33*MIN(1,ABS(F14)/ABS(Assumptions!$B$21)),1))*5*Assumptions!$B$18))*IF(F14&lt;0,Assumptions!$B$9,1)))*$E14</f>
        <v>484.478544</v>
      </c>
      <c r="O14" s="21">
        <f>(O13)+(N14)-(MAX(0,((O13)+(N14)-(P14)))*(IF(Archetypes!$B$27="",Assumptions!$B$11,Archetypes!$B$27)))</f>
        <v>4130.5832021378083</v>
      </c>
      <c r="P14" s="21">
        <f>Archetypes!$B$36 + (Assumptions!$B$67*(IF($E14=0,0,I14/$E14))*Assumptions!$B$71*(1+Assumptions!$B$68*(Archetypes!$B$14-1))) + (Assumptions!$B$69*Archetypes!$B$34*(IF($E14=0,0,I14/$E14))*Assumptions!$B$72*POWER(Assumptions!$B$70,Archetypes!$B$18-1))</f>
        <v>2668.56</v>
      </c>
      <c r="Q14" s="21">
        <f t="shared" si="3"/>
        <v>1462.0232021378083</v>
      </c>
      <c r="S14" s="21">
        <f t="shared" si="9"/>
        <v>37.06470858234659</v>
      </c>
      <c r="T14" s="21">
        <f>MAX(Assumptions!$B$21,S14+U14)</f>
        <v>39.401476205695907</v>
      </c>
      <c r="U14" s="21">
        <f>((Y14*(Assumptions!$B$22+((Assumptions!$B$23-Assumptions!$B$22)*IF(V14&gt;0,X14/V14,0)))*(1+Assumptions!$B$60*(Archetypes!$C$13-1)))+IF(Y14&gt;V14,V14*Assumptions!$B$24,0)-IF(IF(V14&gt;0,Z14/V14,1)&lt;Assumptions!$B$61,((Z14*(Assumptions!$B$27*(1+Assumptions!$B$28*(Archetypes!$C$14-1))/(1+Assumptions!$B$29*(Archetypes!$C$12-1))))+(((V14*Archetypes!$C$17*IF(V14&gt;0,Z14/V14,1)*Archetypes!$C$31)/100)*Assumptions!$B$30))*Assumptions!$B$62,((Z14*(Assumptions!$B$27*(1+Assumptions!$B$28*(Archetypes!$C$14-1))/(1+Assumptions!$B$29*(Archetypes!$C$12-1))))+(((V14*Archetypes!$C$17*IF(V14&gt;0,Z14/V14,1)*Archetypes!$C$31)/100)*Assumptions!$B$30)))-(Assumptions!$B$25*Assumptions!$B$26*E14))*E14</f>
        <v>2.336767623349318</v>
      </c>
      <c r="V14" s="21">
        <f>(Archetypes!$C$11*(IF(S14&lt;0,1+Assumptions!$B$32*MIN(1,ABS(S14)/ABS(Assumptions!$B$21)),MAX(0.1,1-Assumptions!$B$31*(S14/50)))))*$E14</f>
        <v>3.3313409820710458</v>
      </c>
      <c r="W14" s="26">
        <f>Archetypes!$C$30</f>
        <v>3.7999999999999999E-2</v>
      </c>
      <c r="X14" s="21">
        <f t="shared" si="4"/>
        <v>0.12659095731869974</v>
      </c>
      <c r="Y14" s="21">
        <f>((V14-X14)*Archetypes!$C$15)+(X14*Archetypes!$C$15*Archetypes!$C$22)</f>
        <v>1.6846591346333279</v>
      </c>
      <c r="Z14" s="21">
        <f>V14*Archetypes!$C$16</f>
        <v>1.4991034419319706</v>
      </c>
      <c r="AA14" s="21">
        <f>(IF(S14&lt;0,Assumptions!$B$8,IF(S14&lt;10,Assumptions!$B$34,IF(S14&lt;25,Assumptions!$B$35,Assumptions!$B$36))))*((((Archetypes!$C$5*Assumptions!$B$4+Archetypes!$C$6*Assumptions!$B$5)*60))+(Assumptions!$B$6*(((Archetypes!$C$11*(IF(S14&lt;0,1+Assumptions!$B$32*MIN(1,ABS(S14)/ABS(Assumptions!$B$21)),MAX(0.1,1-Assumptions!$B$31*(S14/50)))))-((Archetypes!$C$11*(IF(S14&lt;0,1+Assumptions!$B$32*MIN(1,ABS(S14)/ABS(Assumptions!$B$21)),MAX(0.1,1-Assumptions!$B$31*(S14/50)))))*W14)*Archetypes!$C$20)+((Archetypes!$C$11*(IF(S14&lt;0,1+Assumptions!$B$32*MIN(1,ABS(S14)/ABS(Assumptions!$B$21)),MAX(0.1,1-Assumptions!$B$31*(S14/50)))))*W14*Archetypes!$C$20*Archetypes!$C$21)*Assumptions!$B$18)*(IF($D14=1,1,Assumptions!$B$7)))+(((((Archetypes!$C$11*(IF(S14&lt;0,1+Assumptions!$B$32*MIN(1,ABS(S14)/ABS(Assumptions!$B$21)),MAX(0.1,1-Assumptions!$B$31*(S14/50)))))-((Archetypes!$C$11*(IF(S14&lt;0,1+Assumptions!$B$32*MIN(1,ABS(S14)/ABS(Assumptions!$B$21)),MAX(0.1,1-Assumptions!$B$31*(S14/50)))))*W14)*Archetypes!$C$15)*(Archetypes!$C$13*IF(S14&lt;0,1-Assumptions!$B$33*MIN(1,ABS(S14)/ABS(Assumptions!$B$21)),1))*5)+(((Archetypes!$C$11*(IF(S14&lt;0,1+Assumptions!$B$32*MIN(1,ABS(S14)/ABS(Assumptions!$B$21)),MAX(0.1,1-Assumptions!$B$31*(S14/50)))))*W14*Archetypes!$C$15*Archetypes!$C$22)*(Archetypes!$C$13*IF(S14&lt;0,1-Assumptions!$B$33*MIN(1,ABS(S14)/ABS(Assumptions!$B$21)),1))*5*Assumptions!$B$18))*IF(S14&lt;0,Assumptions!$B$9,1)))*$E14</f>
        <v>794.13631922734442</v>
      </c>
      <c r="AB14" s="21">
        <f>(AB13)+(AA14)-(MAX(0,((AB13)+(AA14)-(AC14)))*(IF(Archetypes!$C$27="",Assumptions!$B$11,Archetypes!$C$27)))</f>
        <v>10489.68453549743</v>
      </c>
      <c r="AC14" s="21">
        <f>Archetypes!$C$36 + (Assumptions!$B$67*(IF($E14=0,0,V14/$E14))*Assumptions!$B$71*(1+Assumptions!$B$68*(Archetypes!$C$14-1))) + (Assumptions!$B$69*Archetypes!$C$34*(IF($E14=0,0,V14/$E14))*Assumptions!$B$72*POWER(Assumptions!$B$70,Archetypes!$C$18-1))</f>
        <v>9354.1806883863974</v>
      </c>
      <c r="AD14" s="21">
        <f t="shared" si="5"/>
        <v>1135.5038471110329</v>
      </c>
      <c r="AF14" s="21">
        <f t="shared" si="10"/>
        <v>65.008010726045654</v>
      </c>
      <c r="AG14" s="21">
        <f>MAX(Assumptions!$B$21,AF14+AH14)</f>
        <v>67.196302431965577</v>
      </c>
      <c r="AH14" s="21">
        <f>((AL14*(Assumptions!$B$22+((Assumptions!$B$23-Assumptions!$B$22)*IF(AI14&gt;0,AK14/AI14,0)))*(1+Assumptions!$B$60*(Archetypes!$D$13-1)))+IF(AL14&gt;AI14,AI14*Assumptions!$B$24,0)-IF(IF(AI14&gt;0,AM14/AI14,1)&lt;Assumptions!$B$61,((AM14*(Assumptions!$B$27*(1+Assumptions!$B$28*(Archetypes!$D$14-1))/(1+Assumptions!$B$29*(Archetypes!$D$12-1))))+(((AI14*Archetypes!$D$17*IF(AI14&gt;0,AM14/AI14,1)*Archetypes!$D$31)/100)*Assumptions!$B$30))*Assumptions!$B$62,((AM14*(Assumptions!$B$27*(1+Assumptions!$B$28*(Archetypes!$D$14-1))/(1+Assumptions!$B$29*(Archetypes!$D$12-1))))+(((AI14*Archetypes!$D$17*IF(AI14&gt;0,AM14/AI14,1)*Archetypes!$D$31)/100)*Assumptions!$B$30)))-(Assumptions!$B$25*Assumptions!$B$26*E14))*E14</f>
        <v>2.1882917059199198</v>
      </c>
      <c r="AI14" s="21">
        <f>(Archetypes!$D$11*(IF(AF14&lt;0,1+Assumptions!$B$32*MIN(1,ABS(AF14)/ABS(Assumptions!$B$21)),MAX(0.1,1-Assumptions!$B$31*(AF14/50)))))*$E14</f>
        <v>0.65971161386235677</v>
      </c>
      <c r="AJ14" s="26">
        <f>Archetypes!$D$30</f>
        <v>0.10400000000000001</v>
      </c>
      <c r="AK14" s="21">
        <f t="shared" si="6"/>
        <v>6.8610007841685111E-2</v>
      </c>
      <c r="AL14" s="21">
        <f>((AI14-AK14)*Archetypes!$D$15)+(AK14*Archetypes!$D$15*Archetypes!$D$22)</f>
        <v>1.0307334254985463</v>
      </c>
      <c r="AM14" s="21">
        <f>AI14*Archetypes!$D$16</f>
        <v>0.13194232277247137</v>
      </c>
      <c r="AN14" s="21">
        <f>(IF(AF14&lt;0,Assumptions!$B$8,IF(AF14&lt;10,Assumptions!$B$34,IF(AF14&lt;25,Assumptions!$B$35,Assumptions!$B$36))))*((((Archetypes!$D$5*Assumptions!$B$4+Archetypes!$D$6*Assumptions!$B$5)*60))+(Assumptions!$B$6*(((Archetypes!$D$11*(IF(AF14&lt;0,1+Assumptions!$B$32*MIN(1,ABS(AF14)/ABS(Assumptions!$B$21)),MAX(0.1,1-Assumptions!$B$31*(AF14/50)))))-((Archetypes!$D$11*(IF(AF14&lt;0,1+Assumptions!$B$32*MIN(1,ABS(AF14)/ABS(Assumptions!$B$21)),MAX(0.1,1-Assumptions!$B$31*(AF14/50)))))*AJ14)*Archetypes!$D$20)+((Archetypes!$D$11*(IF(AF14&lt;0,1+Assumptions!$B$32*MIN(1,ABS(AF14)/ABS(Assumptions!$B$21)),MAX(0.1,1-Assumptions!$B$31*(AF14/50)))))*AJ14*Archetypes!$D$20*Archetypes!$D$21)*Assumptions!$B$18)*(IF($D14=1,1,Assumptions!$B$7)))+(((((Archetypes!$D$11*(IF(AF14&lt;0,1+Assumptions!$B$32*MIN(1,ABS(AF14)/ABS(Assumptions!$B$21)),MAX(0.1,1-Assumptions!$B$31*(AF14/50)))))-((Archetypes!$D$11*(IF(AF14&lt;0,1+Assumptions!$B$32*MIN(1,ABS(AF14)/ABS(Assumptions!$B$21)),MAX(0.1,1-Assumptions!$B$31*(AF14/50)))))*AJ14)*Archetypes!$D$15)*(Archetypes!$D$13*IF(AF14&lt;0,1-Assumptions!$B$33*MIN(1,ABS(AF14)/ABS(Assumptions!$B$21)),1))*5)+(((Archetypes!$D$11*(IF(AF14&lt;0,1+Assumptions!$B$32*MIN(1,ABS(AF14)/ABS(Assumptions!$B$21)),MAX(0.1,1-Assumptions!$B$31*(AF14/50)))))*AJ14*Archetypes!$D$15*Archetypes!$D$22)*(Archetypes!$D$13*IF(AF14&lt;0,1-Assumptions!$B$33*MIN(1,ABS(AF14)/ABS(Assumptions!$B$21)),1))*5*Assumptions!$B$18))*IF(AF14&lt;0,Assumptions!$B$9,1)))*$E14</f>
        <v>1026.7310252273885</v>
      </c>
      <c r="AO14" s="21">
        <f>(AO13)+(AN14)-(MAX(0,((AO13)+(AN14)-(AP14)))*(IF(Archetypes!$D$27="",Assumptions!$B$11,Archetypes!$D$27)))</f>
        <v>15183.645217525635</v>
      </c>
      <c r="AP14" s="21">
        <f>Archetypes!$D$36 + (Assumptions!$B$67*(IF($E14=0,0,AI14/$E14))*Assumptions!$B$71*(1+Assumptions!$B$68*(Archetypes!$D$14-1))) + (Assumptions!$B$69*Archetypes!$D$34*(IF($E14=0,0,AI14/$E14))*Assumptions!$B$72*POWER(Assumptions!$B$70,Archetypes!$D$18-1))</f>
        <v>20843.865278821573</v>
      </c>
      <c r="AQ14" s="21">
        <f t="shared" si="7"/>
        <v>0</v>
      </c>
    </row>
    <row r="15" spans="1:52" x14ac:dyDescent="0.25">
      <c r="A15" s="20">
        <v>11</v>
      </c>
      <c r="B15" s="20">
        <f t="shared" si="0"/>
        <v>1</v>
      </c>
      <c r="C15" s="20">
        <f t="shared" si="1"/>
        <v>11</v>
      </c>
      <c r="D15" s="6">
        <f>IF(C15&lt;Assumptions!$B$10,1,0)</f>
        <v>0</v>
      </c>
      <c r="E15" s="6">
        <v>1</v>
      </c>
      <c r="F15" s="21">
        <f t="shared" si="8"/>
        <v>-15</v>
      </c>
      <c r="G15" s="21">
        <f>MAX(Assumptions!$B$21,F15+H15)</f>
        <v>-15</v>
      </c>
      <c r="H15" s="21">
        <f>((L15*(Assumptions!$B$22+((Assumptions!$B$23-Assumptions!$B$22)*IF(I15&gt;0,K15/I15,0)))*(1+Assumptions!$B$60*(Archetypes!$B$13-1)))+IF(L15&gt;I15,I15*Assumptions!$B$24,0)-IF(IF(I15&gt;0,M15/I15,1)&lt;Assumptions!$B$61,((M15*(Assumptions!$B$27*(1+Assumptions!$B$28*(Archetypes!$B$14-1))/(1+Assumptions!$B$29*(Archetypes!$B$12-1))))+(((I15*Archetypes!$B$17*IF(I15&gt;0,M15/I15,1)*Archetypes!$B$31)/100)*Assumptions!$B$30))*Assumptions!$B$62,((M15*(Assumptions!$B$27*(1+Assumptions!$B$28*(Archetypes!$B$14-1))/(1+Assumptions!$B$29*(Archetypes!$B$12-1))))+(((I15*Archetypes!$B$17*IF(I15&gt;0,M15/I15,1)*Archetypes!$B$31)/100)*Assumptions!$B$30)))-(Assumptions!$B$25*Assumptions!$B$26*E15))*E15</f>
        <v>-2.8381702909090891</v>
      </c>
      <c r="I15" s="21">
        <f>(Archetypes!$B$11*(IF(F15&lt;0,1+Assumptions!$B$32*MIN(1,ABS(F15)/ABS(Assumptions!$B$21)),MAX(0.1,1-Assumptions!$B$31*(F15/50)))))*$E15</f>
        <v>14</v>
      </c>
      <c r="J15" s="26">
        <f>Archetypes!$B$30</f>
        <v>2.1999999999999999E-2</v>
      </c>
      <c r="K15" s="21">
        <f t="shared" si="2"/>
        <v>0.308</v>
      </c>
      <c r="L15" s="21">
        <f>((I15-K15)*Archetypes!$B$15)+(K15*Archetypes!$B$15*Archetypes!$B$22)</f>
        <v>1.4061600000000003</v>
      </c>
      <c r="M15" s="21">
        <f>I15*Archetypes!$B$16</f>
        <v>10.5</v>
      </c>
      <c r="N15" s="21">
        <f>(IF(F15&lt;0,Assumptions!$B$8,IF(F15&lt;10,Assumptions!$B$34,IF(F15&lt;25,Assumptions!$B$35,Assumptions!$B$36))))*((((Archetypes!$B$5*Assumptions!$B$4+Archetypes!$B$6*Assumptions!$B$5)*60))+(Assumptions!$B$6*(((Archetypes!$B$11*(IF(F15&lt;0,1+Assumptions!$B$32*MIN(1,ABS(F15)/ABS(Assumptions!$B$21)),MAX(0.1,1-Assumptions!$B$31*(F15/50)))))-((Archetypes!$B$11*(IF(F15&lt;0,1+Assumptions!$B$32*MIN(1,ABS(F15)/ABS(Assumptions!$B$21)),MAX(0.1,1-Assumptions!$B$31*(F15/50)))))*J15)*Archetypes!$B$20)+((Archetypes!$B$11*(IF(F15&lt;0,1+Assumptions!$B$32*MIN(1,ABS(F15)/ABS(Assumptions!$B$21)),MAX(0.1,1-Assumptions!$B$31*(F15/50)))))*J15*Archetypes!$B$20*Archetypes!$B$21)*Assumptions!$B$18)*(IF($D15=1,1,Assumptions!$B$7)))+(((((Archetypes!$B$11*(IF(F15&lt;0,1+Assumptions!$B$32*MIN(1,ABS(F15)/ABS(Assumptions!$B$21)),MAX(0.1,1-Assumptions!$B$31*(F15/50)))))-((Archetypes!$B$11*(IF(F15&lt;0,1+Assumptions!$B$32*MIN(1,ABS(F15)/ABS(Assumptions!$B$21)),MAX(0.1,1-Assumptions!$B$31*(F15/50)))))*J15)*Archetypes!$B$15)*(Archetypes!$B$13*IF(F15&lt;0,1-Assumptions!$B$33*MIN(1,ABS(F15)/ABS(Assumptions!$B$21)),1))*5)+(((Archetypes!$B$11*(IF(F15&lt;0,1+Assumptions!$B$32*MIN(1,ABS(F15)/ABS(Assumptions!$B$21)),MAX(0.1,1-Assumptions!$B$31*(F15/50)))))*J15*Archetypes!$B$15*Archetypes!$B$22)*(Archetypes!$B$13*IF(F15&lt;0,1-Assumptions!$B$33*MIN(1,ABS(F15)/ABS(Assumptions!$B$21)),1))*5*Assumptions!$B$18))*IF(F15&lt;0,Assumptions!$B$9,1)))*$E15</f>
        <v>484.478544</v>
      </c>
      <c r="O15" s="21">
        <f>(O14)+(N15)-(MAX(0,((O14)+(N15)-(P15)))*(IF(Archetypes!$B$27="",Assumptions!$B$11,Archetypes!$B$27)))</f>
        <v>4225.7613969102458</v>
      </c>
      <c r="P15" s="21">
        <f>Archetypes!$B$36 + (Assumptions!$B$67*(IF($E15=0,0,I15/$E15))*Assumptions!$B$71*(1+Assumptions!$B$68*(Archetypes!$B$14-1))) + (Assumptions!$B$69*Archetypes!$B$34*(IF($E15=0,0,I15/$E15))*Assumptions!$B$72*POWER(Assumptions!$B$70,Archetypes!$B$18-1))</f>
        <v>2668.56</v>
      </c>
      <c r="Q15" s="21">
        <f t="shared" si="3"/>
        <v>1557.2013969102459</v>
      </c>
      <c r="S15" s="21">
        <f t="shared" si="9"/>
        <v>39.401476205695907</v>
      </c>
      <c r="T15" s="21">
        <f>MAX(Assumptions!$B$21,S15+U15)</f>
        <v>41.612651203366156</v>
      </c>
      <c r="U15" s="21">
        <f>((Y15*(Assumptions!$B$22+((Assumptions!$B$23-Assumptions!$B$22)*IF(V15&gt;0,X15/V15,0)))*(1+Assumptions!$B$60*(Archetypes!$C$13-1)))+IF(Y15&gt;V15,V15*Assumptions!$B$24,0)-IF(IF(V15&gt;0,Z15/V15,1)&lt;Assumptions!$B$61,((Z15*(Assumptions!$B$27*(1+Assumptions!$B$28*(Archetypes!$C$14-1))/(1+Assumptions!$B$29*(Archetypes!$C$12-1))))+(((V15*Archetypes!$C$17*IF(V15&gt;0,Z15/V15,1)*Archetypes!$C$31)/100)*Assumptions!$B$30))*Assumptions!$B$62,((Z15*(Assumptions!$B$27*(1+Assumptions!$B$28*(Archetypes!$C$14-1))/(1+Assumptions!$B$29*(Archetypes!$C$12-1))))+(((V15*Archetypes!$C$17*IF(V15&gt;0,Z15/V15,1)*Archetypes!$C$31)/100)*Assumptions!$B$30)))-(Assumptions!$B$25*Assumptions!$B$26*E15))*E15</f>
        <v>2.2111749976702484</v>
      </c>
      <c r="V15" s="21">
        <f>(Archetypes!$C$11*(IF(S15&lt;0,1+Assumptions!$B$32*MIN(1,ABS(S15)/ABS(Assumptions!$B$21)),MAX(0.1,1-Assumptions!$B$31*(S15/50)))))*$E15</f>
        <v>3.1630937131898946</v>
      </c>
      <c r="W15" s="26">
        <f>Archetypes!$C$30</f>
        <v>3.7999999999999999E-2</v>
      </c>
      <c r="X15" s="21">
        <f t="shared" si="4"/>
        <v>0.12019756110121599</v>
      </c>
      <c r="Y15" s="21">
        <f>((V15-X15)*Archetypes!$C$15)+(X15*Archetypes!$C$15*Archetypes!$C$22)</f>
        <v>1.5995764907601298</v>
      </c>
      <c r="Z15" s="21">
        <f>V15*Archetypes!$C$16</f>
        <v>1.4233921709354527</v>
      </c>
      <c r="AA15" s="21">
        <f>(IF(S15&lt;0,Assumptions!$B$8,IF(S15&lt;10,Assumptions!$B$34,IF(S15&lt;25,Assumptions!$B$35,Assumptions!$B$36))))*((((Archetypes!$C$5*Assumptions!$B$4+Archetypes!$C$6*Assumptions!$B$5)*60))+(Assumptions!$B$6*(((Archetypes!$C$11*(IF(S15&lt;0,1+Assumptions!$B$32*MIN(1,ABS(S15)/ABS(Assumptions!$B$21)),MAX(0.1,1-Assumptions!$B$31*(S15/50)))))-((Archetypes!$C$11*(IF(S15&lt;0,1+Assumptions!$B$32*MIN(1,ABS(S15)/ABS(Assumptions!$B$21)),MAX(0.1,1-Assumptions!$B$31*(S15/50)))))*W15)*Archetypes!$C$20)+((Archetypes!$C$11*(IF(S15&lt;0,1+Assumptions!$B$32*MIN(1,ABS(S15)/ABS(Assumptions!$B$21)),MAX(0.1,1-Assumptions!$B$31*(S15/50)))))*W15*Archetypes!$C$20*Archetypes!$C$21)*Assumptions!$B$18)*(IF($D15=1,1,Assumptions!$B$7)))+(((((Archetypes!$C$11*(IF(S15&lt;0,1+Assumptions!$B$32*MIN(1,ABS(S15)/ABS(Assumptions!$B$21)),MAX(0.1,1-Assumptions!$B$31*(S15/50)))))-((Archetypes!$C$11*(IF(S15&lt;0,1+Assumptions!$B$32*MIN(1,ABS(S15)/ABS(Assumptions!$B$21)),MAX(0.1,1-Assumptions!$B$31*(S15/50)))))*W15)*Archetypes!$C$15)*(Archetypes!$C$13*IF(S15&lt;0,1-Assumptions!$B$33*MIN(1,ABS(S15)/ABS(Assumptions!$B$21)),1))*5)+(((Archetypes!$C$11*(IF(S15&lt;0,1+Assumptions!$B$32*MIN(1,ABS(S15)/ABS(Assumptions!$B$21)),MAX(0.1,1-Assumptions!$B$31*(S15/50)))))*W15*Archetypes!$C$15*Archetypes!$C$22)*(Archetypes!$C$13*IF(S15&lt;0,1-Assumptions!$B$33*MIN(1,ABS(S15)/ABS(Assumptions!$B$21)),1))*5*Assumptions!$B$18))*IF(S15&lt;0,Assumptions!$B$9,1)))*$E15</f>
        <v>781.07405553903777</v>
      </c>
      <c r="AB15" s="21">
        <f>(AB14)+(AA15)-(MAX(0,((AB14)+(AA15)-(AC15)))*(IF(Archetypes!$C$27="",Assumptions!$B$11,Archetypes!$C$27)))</f>
        <v>10787.828551824125</v>
      </c>
      <c r="AC15" s="21">
        <f>Archetypes!$C$36 + (Assumptions!$B$67*(IF($E15=0,0,V15/$E15))*Assumptions!$B$71*(1+Assumptions!$B$68*(Archetypes!$C$14-1))) + (Assumptions!$B$69*Archetypes!$C$34*(IF($E15=0,0,V15/$E15))*Assumptions!$B$72*POWER(Assumptions!$B$70,Archetypes!$C$18-1))</f>
        <v>9339.038434187094</v>
      </c>
      <c r="AD15" s="21">
        <f t="shared" si="5"/>
        <v>1448.7901176370306</v>
      </c>
      <c r="AF15" s="21">
        <f t="shared" si="10"/>
        <v>67.196302431965577</v>
      </c>
      <c r="AG15" s="21">
        <f>MAX(Assumptions!$B$21,AF15+AH15)</f>
        <v>69.105370439850788</v>
      </c>
      <c r="AH15" s="21">
        <f>((AL15*(Assumptions!$B$22+((Assumptions!$B$23-Assumptions!$B$22)*IF(AI15&gt;0,AK15/AI15,0)))*(1+Assumptions!$B$60*(Archetypes!$D$13-1)))+IF(AL15&gt;AI15,AI15*Assumptions!$B$24,0)-IF(IF(AI15&gt;0,AM15/AI15,1)&lt;Assumptions!$B$61,((AM15*(Assumptions!$B$27*(1+Assumptions!$B$28*(Archetypes!$D$14-1))/(1+Assumptions!$B$29*(Archetypes!$D$12-1))))+(((AI15*Archetypes!$D$17*IF(AI15&gt;0,AM15/AI15,1)*Archetypes!$D$31)/100)*Assumptions!$B$30))*Assumptions!$B$62,((AM15*(Assumptions!$B$27*(1+Assumptions!$B$28*(Archetypes!$D$14-1))/(1+Assumptions!$B$29*(Archetypes!$D$12-1))))+(((AI15*Archetypes!$D$17*IF(AI15&gt;0,AM15/AI15,1)*Archetypes!$D$31)/100)*Assumptions!$B$30)))-(Assumptions!$B$25*Assumptions!$B$26*E15))*E15</f>
        <v>1.9090680078852102</v>
      </c>
      <c r="AI15" s="21">
        <f>(Archetypes!$D$11*(IF(AF15&lt;0,1+Assumptions!$B$32*MIN(1,ABS(AF15)/ABS(Assumptions!$B$21)),MAX(0.1,1-Assumptions!$B$31*(AF15/50)))))*$E15</f>
        <v>0.58093311244923918</v>
      </c>
      <c r="AJ15" s="26">
        <f>Archetypes!$D$30</f>
        <v>0.10400000000000001</v>
      </c>
      <c r="AK15" s="21">
        <f t="shared" si="6"/>
        <v>6.0417043694720882E-2</v>
      </c>
      <c r="AL15" s="21">
        <f>((AI15-AK15)*Archetypes!$D$15)+(AK15*Archetypes!$D$15*Archetypes!$D$22)</f>
        <v>0.90764989489069126</v>
      </c>
      <c r="AM15" s="21">
        <f>AI15*Archetypes!$D$16</f>
        <v>0.11618662248984785</v>
      </c>
      <c r="AN15" s="21">
        <f>(IF(AF15&lt;0,Assumptions!$B$8,IF(AF15&lt;10,Assumptions!$B$34,IF(AF15&lt;25,Assumptions!$B$35,Assumptions!$B$36))))*((((Archetypes!$D$5*Assumptions!$B$4+Archetypes!$D$6*Assumptions!$B$5)*60))+(Assumptions!$B$6*(((Archetypes!$D$11*(IF(AF15&lt;0,1+Assumptions!$B$32*MIN(1,ABS(AF15)/ABS(Assumptions!$B$21)),MAX(0.1,1-Assumptions!$B$31*(AF15/50)))))-((Archetypes!$D$11*(IF(AF15&lt;0,1+Assumptions!$B$32*MIN(1,ABS(AF15)/ABS(Assumptions!$B$21)),MAX(0.1,1-Assumptions!$B$31*(AF15/50)))))*AJ15)*Archetypes!$D$20)+((Archetypes!$D$11*(IF(AF15&lt;0,1+Assumptions!$B$32*MIN(1,ABS(AF15)/ABS(Assumptions!$B$21)),MAX(0.1,1-Assumptions!$B$31*(AF15/50)))))*AJ15*Archetypes!$D$20*Archetypes!$D$21)*Assumptions!$B$18)*(IF($D15=1,1,Assumptions!$B$7)))+(((((Archetypes!$D$11*(IF(AF15&lt;0,1+Assumptions!$B$32*MIN(1,ABS(AF15)/ABS(Assumptions!$B$21)),MAX(0.1,1-Assumptions!$B$31*(AF15/50)))))-((Archetypes!$D$11*(IF(AF15&lt;0,1+Assumptions!$B$32*MIN(1,ABS(AF15)/ABS(Assumptions!$B$21)),MAX(0.1,1-Assumptions!$B$31*(AF15/50)))))*AJ15)*Archetypes!$D$15)*(Archetypes!$D$13*IF(AF15&lt;0,1-Assumptions!$B$33*MIN(1,ABS(AF15)/ABS(Assumptions!$B$21)),1))*5)+(((Archetypes!$D$11*(IF(AF15&lt;0,1+Assumptions!$B$32*MIN(1,ABS(AF15)/ABS(Assumptions!$B$21)),MAX(0.1,1-Assumptions!$B$31*(AF15/50)))))*AJ15*Archetypes!$D$15*Archetypes!$D$22)*(Archetypes!$D$13*IF(AF15&lt;0,1-Assumptions!$B$33*MIN(1,ABS(AF15)/ABS(Assumptions!$B$21)),1))*5*Assumptions!$B$18))*IF(AF15&lt;0,Assumptions!$B$9,1)))*$E15</f>
        <v>1007.6569775189909</v>
      </c>
      <c r="AO15" s="21">
        <f>(AO14)+(AN15)-(MAX(0,((AO14)+(AN15)-(AP15)))*(IF(Archetypes!$D$27="",Assumptions!$B$11,Archetypes!$D$27)))</f>
        <v>16191.302195044625</v>
      </c>
      <c r="AP15" s="21">
        <f>Archetypes!$D$36 + (Assumptions!$B$67*(IF($E15=0,0,AI15/$E15))*Assumptions!$B$71*(1+Assumptions!$B$68*(Archetypes!$D$14-1))) + (Assumptions!$B$69*Archetypes!$D$34*(IF($E15=0,0,AI15/$E15))*Assumptions!$B$72*POWER(Assumptions!$B$70,Archetypes!$D$18-1))</f>
        <v>20828.739806550253</v>
      </c>
      <c r="AQ15" s="21">
        <f t="shared" si="7"/>
        <v>0</v>
      </c>
    </row>
    <row r="16" spans="1:52" x14ac:dyDescent="0.25">
      <c r="A16" s="20">
        <v>12</v>
      </c>
      <c r="B16" s="20">
        <f t="shared" si="0"/>
        <v>1</v>
      </c>
      <c r="C16" s="20">
        <f t="shared" si="1"/>
        <v>12</v>
      </c>
      <c r="D16" s="6">
        <f>IF(C16&lt;Assumptions!$B$10,1,0)</f>
        <v>0</v>
      </c>
      <c r="E16" s="6">
        <v>1</v>
      </c>
      <c r="F16" s="21">
        <f t="shared" si="8"/>
        <v>-15</v>
      </c>
      <c r="G16" s="21">
        <f>MAX(Assumptions!$B$21,F16+H16)</f>
        <v>-15</v>
      </c>
      <c r="H16" s="21">
        <f>((L16*(Assumptions!$B$22+((Assumptions!$B$23-Assumptions!$B$22)*IF(I16&gt;0,K16/I16,0)))*(1+Assumptions!$B$60*(Archetypes!$B$13-1)))+IF(L16&gt;I16,I16*Assumptions!$B$24,0)-IF(IF(I16&gt;0,M16/I16,1)&lt;Assumptions!$B$61,((M16*(Assumptions!$B$27*(1+Assumptions!$B$28*(Archetypes!$B$14-1))/(1+Assumptions!$B$29*(Archetypes!$B$12-1))))+(((I16*Archetypes!$B$17*IF(I16&gt;0,M16/I16,1)*Archetypes!$B$31)/100)*Assumptions!$B$30))*Assumptions!$B$62,((M16*(Assumptions!$B$27*(1+Assumptions!$B$28*(Archetypes!$B$14-1))/(1+Assumptions!$B$29*(Archetypes!$B$12-1))))+(((I16*Archetypes!$B$17*IF(I16&gt;0,M16/I16,1)*Archetypes!$B$31)/100)*Assumptions!$B$30)))-(Assumptions!$B$25*Assumptions!$B$26*E16))*E16</f>
        <v>-2.8381702909090891</v>
      </c>
      <c r="I16" s="21">
        <f>(Archetypes!$B$11*(IF(F16&lt;0,1+Assumptions!$B$32*MIN(1,ABS(F16)/ABS(Assumptions!$B$21)),MAX(0.1,1-Assumptions!$B$31*(F16/50)))))*$E16</f>
        <v>14</v>
      </c>
      <c r="J16" s="26">
        <f>Archetypes!$B$30</f>
        <v>2.1999999999999999E-2</v>
      </c>
      <c r="K16" s="21">
        <f t="shared" si="2"/>
        <v>0.308</v>
      </c>
      <c r="L16" s="21">
        <f>((I16-K16)*Archetypes!$B$15)+(K16*Archetypes!$B$15*Archetypes!$B$22)</f>
        <v>1.4061600000000003</v>
      </c>
      <c r="M16" s="21">
        <f>I16*Archetypes!$B$16</f>
        <v>10.5</v>
      </c>
      <c r="N16" s="21">
        <f>(IF(F16&lt;0,Assumptions!$B$8,IF(F16&lt;10,Assumptions!$B$34,IF(F16&lt;25,Assumptions!$B$35,Assumptions!$B$36))))*((((Archetypes!$B$5*Assumptions!$B$4+Archetypes!$B$6*Assumptions!$B$5)*60))+(Assumptions!$B$6*(((Archetypes!$B$11*(IF(F16&lt;0,1+Assumptions!$B$32*MIN(1,ABS(F16)/ABS(Assumptions!$B$21)),MAX(0.1,1-Assumptions!$B$31*(F16/50)))))-((Archetypes!$B$11*(IF(F16&lt;0,1+Assumptions!$B$32*MIN(1,ABS(F16)/ABS(Assumptions!$B$21)),MAX(0.1,1-Assumptions!$B$31*(F16/50)))))*J16)*Archetypes!$B$20)+((Archetypes!$B$11*(IF(F16&lt;0,1+Assumptions!$B$32*MIN(1,ABS(F16)/ABS(Assumptions!$B$21)),MAX(0.1,1-Assumptions!$B$31*(F16/50)))))*J16*Archetypes!$B$20*Archetypes!$B$21)*Assumptions!$B$18)*(IF($D16=1,1,Assumptions!$B$7)))+(((((Archetypes!$B$11*(IF(F16&lt;0,1+Assumptions!$B$32*MIN(1,ABS(F16)/ABS(Assumptions!$B$21)),MAX(0.1,1-Assumptions!$B$31*(F16/50)))))-((Archetypes!$B$11*(IF(F16&lt;0,1+Assumptions!$B$32*MIN(1,ABS(F16)/ABS(Assumptions!$B$21)),MAX(0.1,1-Assumptions!$B$31*(F16/50)))))*J16)*Archetypes!$B$15)*(Archetypes!$B$13*IF(F16&lt;0,1-Assumptions!$B$33*MIN(1,ABS(F16)/ABS(Assumptions!$B$21)),1))*5)+(((Archetypes!$B$11*(IF(F16&lt;0,1+Assumptions!$B$32*MIN(1,ABS(F16)/ABS(Assumptions!$B$21)),MAX(0.1,1-Assumptions!$B$31*(F16/50)))))*J16*Archetypes!$B$15*Archetypes!$B$22)*(Archetypes!$B$13*IF(F16&lt;0,1-Assumptions!$B$33*MIN(1,ABS(F16)/ABS(Assumptions!$B$21)),1))*5*Assumptions!$B$18))*IF(F16&lt;0,Assumptions!$B$9,1)))*$E16</f>
        <v>484.478544</v>
      </c>
      <c r="O16" s="21">
        <f>(O15)+(N16)-(MAX(0,((O15)+(N16)-(P16)))*(IF(Archetypes!$B$27="",Assumptions!$B$11,Archetypes!$B$27)))</f>
        <v>4301.9039527281966</v>
      </c>
      <c r="P16" s="21">
        <f>Archetypes!$B$36 + (Assumptions!$B$67*(IF($E16=0,0,I16/$E16))*Assumptions!$B$71*(1+Assumptions!$B$68*(Archetypes!$B$14-1))) + (Assumptions!$B$69*Archetypes!$B$34*(IF($E16=0,0,I16/$E16))*Assumptions!$B$72*POWER(Assumptions!$B$70,Archetypes!$B$18-1))</f>
        <v>2668.56</v>
      </c>
      <c r="Q16" s="21">
        <f t="shared" si="3"/>
        <v>1633.3439527281967</v>
      </c>
      <c r="S16" s="21">
        <f t="shared" si="9"/>
        <v>41.612651203366156</v>
      </c>
      <c r="T16" s="21">
        <f>MAX(Assumptions!$B$21,S16+U16)</f>
        <v>43.704983714937903</v>
      </c>
      <c r="U16" s="21">
        <f>((Y16*(Assumptions!$B$22+((Assumptions!$B$23-Assumptions!$B$22)*IF(V16&gt;0,X16/V16,0)))*(1+Assumptions!$B$60*(Archetypes!$C$13-1)))+IF(Y16&gt;V16,V16*Assumptions!$B$24,0)-IF(IF(V16&gt;0,Z16/V16,1)&lt;Assumptions!$B$61,((Z16*(Assumptions!$B$27*(1+Assumptions!$B$28*(Archetypes!$C$14-1))/(1+Assumptions!$B$29*(Archetypes!$C$12-1))))+(((V16*Archetypes!$C$17*IF(V16&gt;0,Z16/V16,1)*Archetypes!$C$31)/100)*Assumptions!$B$30))*Assumptions!$B$62,((Z16*(Assumptions!$B$27*(1+Assumptions!$B$28*(Archetypes!$C$14-1))/(1+Assumptions!$B$29*(Archetypes!$C$12-1))))+(((V16*Archetypes!$C$17*IF(V16&gt;0,Z16/V16,1)*Archetypes!$C$31)/100)*Assumptions!$B$30)))-(Assumptions!$B$25*Assumptions!$B$26*E16))*E16</f>
        <v>2.0923325115717479</v>
      </c>
      <c r="V16" s="21">
        <f>(Archetypes!$C$11*(IF(S16&lt;0,1+Assumptions!$B$32*MIN(1,ABS(S16)/ABS(Assumptions!$B$21)),MAX(0.1,1-Assumptions!$B$31*(S16/50)))))*$E16</f>
        <v>3.0038891133576366</v>
      </c>
      <c r="W16" s="26">
        <f>Archetypes!$C$30</f>
        <v>3.7999999999999999E-2</v>
      </c>
      <c r="X16" s="21">
        <f t="shared" si="4"/>
        <v>0.11414778630759019</v>
      </c>
      <c r="Y16" s="21">
        <f>((V16-X16)*Archetypes!$C$15)+(X16*Archetypes!$C$15*Archetypes!$C$22)</f>
        <v>1.519066724624957</v>
      </c>
      <c r="Z16" s="21">
        <f>V16*Archetypes!$C$16</f>
        <v>1.3517501010109365</v>
      </c>
      <c r="AA16" s="21">
        <f>(IF(S16&lt;0,Assumptions!$B$8,IF(S16&lt;10,Assumptions!$B$34,IF(S16&lt;25,Assumptions!$B$35,Assumptions!$B$36))))*((((Archetypes!$C$5*Assumptions!$B$4+Archetypes!$C$6*Assumptions!$B$5)*60))+(Assumptions!$B$6*(((Archetypes!$C$11*(IF(S16&lt;0,1+Assumptions!$B$32*MIN(1,ABS(S16)/ABS(Assumptions!$B$21)),MAX(0.1,1-Assumptions!$B$31*(S16/50)))))-((Archetypes!$C$11*(IF(S16&lt;0,1+Assumptions!$B$32*MIN(1,ABS(S16)/ABS(Assumptions!$B$21)),MAX(0.1,1-Assumptions!$B$31*(S16/50)))))*W16)*Archetypes!$C$20)+((Archetypes!$C$11*(IF(S16&lt;0,1+Assumptions!$B$32*MIN(1,ABS(S16)/ABS(Assumptions!$B$21)),MAX(0.1,1-Assumptions!$B$31*(S16/50)))))*W16*Archetypes!$C$20*Archetypes!$C$21)*Assumptions!$B$18)*(IF($D16=1,1,Assumptions!$B$7)))+(((((Archetypes!$C$11*(IF(S16&lt;0,1+Assumptions!$B$32*MIN(1,ABS(S16)/ABS(Assumptions!$B$21)),MAX(0.1,1-Assumptions!$B$31*(S16/50)))))-((Archetypes!$C$11*(IF(S16&lt;0,1+Assumptions!$B$32*MIN(1,ABS(S16)/ABS(Assumptions!$B$21)),MAX(0.1,1-Assumptions!$B$31*(S16/50)))))*W16)*Archetypes!$C$15)*(Archetypes!$C$13*IF(S16&lt;0,1-Assumptions!$B$33*MIN(1,ABS(S16)/ABS(Assumptions!$B$21)),1))*5)+(((Archetypes!$C$11*(IF(S16&lt;0,1+Assumptions!$B$32*MIN(1,ABS(S16)/ABS(Assumptions!$B$21)),MAX(0.1,1-Assumptions!$B$31*(S16/50)))))*W16*Archetypes!$C$15*Archetypes!$C$22)*(Archetypes!$C$13*IF(S16&lt;0,1-Assumptions!$B$33*MIN(1,ABS(S16)/ABS(Assumptions!$B$21)),1))*5*Assumptions!$B$18))*IF(S16&lt;0,Assumptions!$B$9,1)))*$E16</f>
        <v>768.71384026048077</v>
      </c>
      <c r="AB16" s="21">
        <f>(AB15)+(AA16)-(MAX(0,((AB15)+(AA16)-(AC16)))*(IF(Archetypes!$C$27="",Assumptions!$B$11,Archetypes!$C$27)))</f>
        <v>10998.584299114002</v>
      </c>
      <c r="AC16" s="21">
        <f>Archetypes!$C$36 + (Assumptions!$B$67*(IF($E16=0,0,V16/$E16))*Assumptions!$B$71*(1+Assumptions!$B$68*(Archetypes!$C$14-1))) + (Assumptions!$B$69*Archetypes!$C$34*(IF($E16=0,0,V16/$E16))*Assumptions!$B$72*POWER(Assumptions!$B$70,Archetypes!$C$18-1))</f>
        <v>9324.7100202021902</v>
      </c>
      <c r="AD16" s="21">
        <f t="shared" si="5"/>
        <v>1673.8742789118114</v>
      </c>
      <c r="AF16" s="21">
        <f t="shared" si="10"/>
        <v>69.105370439850788</v>
      </c>
      <c r="AG16" s="21">
        <f>MAX(Assumptions!$B$21,AF16+AH16)</f>
        <v>70.770843397076433</v>
      </c>
      <c r="AH16" s="21">
        <f>((AL16*(Assumptions!$B$22+((Assumptions!$B$23-Assumptions!$B$22)*IF(AI16&gt;0,AK16/AI16,0)))*(1+Assumptions!$B$60*(Archetypes!$D$13-1)))+IF(AL16&gt;AI16,AI16*Assumptions!$B$24,0)-IF(IF(AI16&gt;0,AM16/AI16,1)&lt;Assumptions!$B$61,((AM16*(Assumptions!$B$27*(1+Assumptions!$B$28*(Archetypes!$D$14-1))/(1+Assumptions!$B$29*(Archetypes!$D$12-1))))+(((AI16*Archetypes!$D$17*IF(AI16&gt;0,AM16/AI16,1)*Archetypes!$D$31)/100)*Assumptions!$B$30))*Assumptions!$B$62,((AM16*(Assumptions!$B$27*(1+Assumptions!$B$28*(Archetypes!$D$14-1))/(1+Assumptions!$B$29*(Archetypes!$D$12-1))))+(((AI16*Archetypes!$D$17*IF(AI16&gt;0,AM16/AI16,1)*Archetypes!$D$31)/100)*Assumptions!$B$30)))-(Assumptions!$B$25*Assumptions!$B$26*E16))*E16</f>
        <v>1.665472957225649</v>
      </c>
      <c r="AI16" s="21">
        <f>(Archetypes!$D$11*(IF(AF16&lt;0,1+Assumptions!$B$32*MIN(1,ABS(AF16)/ABS(Assumptions!$B$21)),MAX(0.1,1-Assumptions!$B$31*(AF16/50)))))*$E16</f>
        <v>0.51220666416537175</v>
      </c>
      <c r="AJ16" s="26">
        <f>Archetypes!$D$30</f>
        <v>0.10400000000000001</v>
      </c>
      <c r="AK16" s="21">
        <f t="shared" si="6"/>
        <v>5.3269493073198664E-2</v>
      </c>
      <c r="AL16" s="21">
        <f>((AI16-AK16)*Archetypes!$D$15)+(AK16*Archetypes!$D$15*Archetypes!$D$22)</f>
        <v>0.80027169209197679</v>
      </c>
      <c r="AM16" s="21">
        <f>AI16*Archetypes!$D$16</f>
        <v>0.10244133283307436</v>
      </c>
      <c r="AN16" s="21">
        <f>(IF(AF16&lt;0,Assumptions!$B$8,IF(AF16&lt;10,Assumptions!$B$34,IF(AF16&lt;25,Assumptions!$B$35,Assumptions!$B$36))))*((((Archetypes!$D$5*Assumptions!$B$4+Archetypes!$D$6*Assumptions!$B$5)*60))+(Assumptions!$B$6*(((Archetypes!$D$11*(IF(AF16&lt;0,1+Assumptions!$B$32*MIN(1,ABS(AF16)/ABS(Assumptions!$B$21)),MAX(0.1,1-Assumptions!$B$31*(AF16/50)))))-((Archetypes!$D$11*(IF(AF16&lt;0,1+Assumptions!$B$32*MIN(1,ABS(AF16)/ABS(Assumptions!$B$21)),MAX(0.1,1-Assumptions!$B$31*(AF16/50)))))*AJ16)*Archetypes!$D$20)+((Archetypes!$D$11*(IF(AF16&lt;0,1+Assumptions!$B$32*MIN(1,ABS(AF16)/ABS(Assumptions!$B$21)),MAX(0.1,1-Assumptions!$B$31*(AF16/50)))))*AJ16*Archetypes!$D$20*Archetypes!$D$21)*Assumptions!$B$18)*(IF($D16=1,1,Assumptions!$B$7)))+(((((Archetypes!$D$11*(IF(AF16&lt;0,1+Assumptions!$B$32*MIN(1,ABS(AF16)/ABS(Assumptions!$B$21)),MAX(0.1,1-Assumptions!$B$31*(AF16/50)))))-((Archetypes!$D$11*(IF(AF16&lt;0,1+Assumptions!$B$32*MIN(1,ABS(AF16)/ABS(Assumptions!$B$21)),MAX(0.1,1-Assumptions!$B$31*(AF16/50)))))*AJ16)*Archetypes!$D$15)*(Archetypes!$D$13*IF(AF16&lt;0,1-Assumptions!$B$33*MIN(1,ABS(AF16)/ABS(Assumptions!$B$21)),1))*5)+(((Archetypes!$D$11*(IF(AF16&lt;0,1+Assumptions!$B$32*MIN(1,ABS(AF16)/ABS(Assumptions!$B$21)),MAX(0.1,1-Assumptions!$B$31*(AF16/50)))))*AJ16*Archetypes!$D$15*Archetypes!$D$22)*(Archetypes!$D$13*IF(AF16&lt;0,1-Assumptions!$B$33*MIN(1,ABS(AF16)/ABS(Assumptions!$B$21)),1))*5*Assumptions!$B$18))*IF(AF16&lt;0,Assumptions!$B$9,1)))*$E16</f>
        <v>991.01675804438025</v>
      </c>
      <c r="AO16" s="21">
        <f>(AO15)+(AN16)-(MAX(0,((AO15)+(AN16)-(AP16)))*(IF(Archetypes!$D$27="",Assumptions!$B$11,Archetypes!$D$27)))</f>
        <v>17182.318953089005</v>
      </c>
      <c r="AP16" s="21">
        <f>Archetypes!$D$36 + (Assumptions!$B$67*(IF($E16=0,0,AI16/$E16))*Assumptions!$B$71*(1+Assumptions!$B$68*(Archetypes!$D$14-1))) + (Assumptions!$B$69*Archetypes!$D$34*(IF($E16=0,0,AI16/$E16))*Assumptions!$B$72*POWER(Assumptions!$B$70,Archetypes!$D$18-1))</f>
        <v>20815.544328479755</v>
      </c>
      <c r="AQ16" s="21">
        <f t="shared" si="7"/>
        <v>0</v>
      </c>
    </row>
    <row r="17" spans="1:43" x14ac:dyDescent="0.25">
      <c r="A17" s="20">
        <v>13</v>
      </c>
      <c r="B17" s="20">
        <f t="shared" si="0"/>
        <v>1</v>
      </c>
      <c r="C17" s="20">
        <f t="shared" si="1"/>
        <v>13</v>
      </c>
      <c r="D17" s="6">
        <f>IF(C17&lt;Assumptions!$B$10,1,0)</f>
        <v>0</v>
      </c>
      <c r="E17" s="6">
        <v>1</v>
      </c>
      <c r="F17" s="21">
        <f t="shared" si="8"/>
        <v>-15</v>
      </c>
      <c r="G17" s="21">
        <f>MAX(Assumptions!$B$21,F17+H17)</f>
        <v>-15</v>
      </c>
      <c r="H17" s="21">
        <f>((L17*(Assumptions!$B$22+((Assumptions!$B$23-Assumptions!$B$22)*IF(I17&gt;0,K17/I17,0)))*(1+Assumptions!$B$60*(Archetypes!$B$13-1)))+IF(L17&gt;I17,I17*Assumptions!$B$24,0)-IF(IF(I17&gt;0,M17/I17,1)&lt;Assumptions!$B$61,((M17*(Assumptions!$B$27*(1+Assumptions!$B$28*(Archetypes!$B$14-1))/(1+Assumptions!$B$29*(Archetypes!$B$12-1))))+(((I17*Archetypes!$B$17*IF(I17&gt;0,M17/I17,1)*Archetypes!$B$31)/100)*Assumptions!$B$30))*Assumptions!$B$62,((M17*(Assumptions!$B$27*(1+Assumptions!$B$28*(Archetypes!$B$14-1))/(1+Assumptions!$B$29*(Archetypes!$B$12-1))))+(((I17*Archetypes!$B$17*IF(I17&gt;0,M17/I17,1)*Archetypes!$B$31)/100)*Assumptions!$B$30)))-(Assumptions!$B$25*Assumptions!$B$26*E17))*E17</f>
        <v>-2.8381702909090891</v>
      </c>
      <c r="I17" s="21">
        <f>(Archetypes!$B$11*(IF(F17&lt;0,1+Assumptions!$B$32*MIN(1,ABS(F17)/ABS(Assumptions!$B$21)),MAX(0.1,1-Assumptions!$B$31*(F17/50)))))*$E17</f>
        <v>14</v>
      </c>
      <c r="J17" s="26">
        <f>Archetypes!$B$30</f>
        <v>2.1999999999999999E-2</v>
      </c>
      <c r="K17" s="21">
        <f t="shared" si="2"/>
        <v>0.308</v>
      </c>
      <c r="L17" s="21">
        <f>((I17-K17)*Archetypes!$B$15)+(K17*Archetypes!$B$15*Archetypes!$B$22)</f>
        <v>1.4061600000000003</v>
      </c>
      <c r="M17" s="21">
        <f>I17*Archetypes!$B$16</f>
        <v>10.5</v>
      </c>
      <c r="N17" s="21">
        <f>(IF(F17&lt;0,Assumptions!$B$8,IF(F17&lt;10,Assumptions!$B$34,IF(F17&lt;25,Assumptions!$B$35,Assumptions!$B$36))))*((((Archetypes!$B$5*Assumptions!$B$4+Archetypes!$B$6*Assumptions!$B$5)*60))+(Assumptions!$B$6*(((Archetypes!$B$11*(IF(F17&lt;0,1+Assumptions!$B$32*MIN(1,ABS(F17)/ABS(Assumptions!$B$21)),MAX(0.1,1-Assumptions!$B$31*(F17/50)))))-((Archetypes!$B$11*(IF(F17&lt;0,1+Assumptions!$B$32*MIN(1,ABS(F17)/ABS(Assumptions!$B$21)),MAX(0.1,1-Assumptions!$B$31*(F17/50)))))*J17)*Archetypes!$B$20)+((Archetypes!$B$11*(IF(F17&lt;0,1+Assumptions!$B$32*MIN(1,ABS(F17)/ABS(Assumptions!$B$21)),MAX(0.1,1-Assumptions!$B$31*(F17/50)))))*J17*Archetypes!$B$20*Archetypes!$B$21)*Assumptions!$B$18)*(IF($D17=1,1,Assumptions!$B$7)))+(((((Archetypes!$B$11*(IF(F17&lt;0,1+Assumptions!$B$32*MIN(1,ABS(F17)/ABS(Assumptions!$B$21)),MAX(0.1,1-Assumptions!$B$31*(F17/50)))))-((Archetypes!$B$11*(IF(F17&lt;0,1+Assumptions!$B$32*MIN(1,ABS(F17)/ABS(Assumptions!$B$21)),MAX(0.1,1-Assumptions!$B$31*(F17/50)))))*J17)*Archetypes!$B$15)*(Archetypes!$B$13*IF(F17&lt;0,1-Assumptions!$B$33*MIN(1,ABS(F17)/ABS(Assumptions!$B$21)),1))*5)+(((Archetypes!$B$11*(IF(F17&lt;0,1+Assumptions!$B$32*MIN(1,ABS(F17)/ABS(Assumptions!$B$21)),MAX(0.1,1-Assumptions!$B$31*(F17/50)))))*J17*Archetypes!$B$15*Archetypes!$B$22)*(Archetypes!$B$13*IF(F17&lt;0,1-Assumptions!$B$33*MIN(1,ABS(F17)/ABS(Assumptions!$B$21)),1))*5*Assumptions!$B$18))*IF(F17&lt;0,Assumptions!$B$9,1)))*$E17</f>
        <v>484.478544</v>
      </c>
      <c r="O17" s="21">
        <f>(O16)+(N17)-(MAX(0,((O16)+(N17)-(P17)))*(IF(Archetypes!$B$27="",Assumptions!$B$11,Archetypes!$B$27)))</f>
        <v>4362.8179973825572</v>
      </c>
      <c r="P17" s="21">
        <f>Archetypes!$B$36 + (Assumptions!$B$67*(IF($E17=0,0,I17/$E17))*Assumptions!$B$71*(1+Assumptions!$B$68*(Archetypes!$B$14-1))) + (Assumptions!$B$69*Archetypes!$B$34*(IF($E17=0,0,I17/$E17))*Assumptions!$B$72*POWER(Assumptions!$B$70,Archetypes!$B$18-1))</f>
        <v>2668.56</v>
      </c>
      <c r="Q17" s="21">
        <f t="shared" si="3"/>
        <v>1694.2579973825573</v>
      </c>
      <c r="S17" s="21">
        <f t="shared" si="9"/>
        <v>43.704983714937903</v>
      </c>
      <c r="T17" s="21">
        <f>MAX(Assumptions!$B$21,S17+U17)</f>
        <v>45.684861084930219</v>
      </c>
      <c r="U17" s="21">
        <f>((Y17*(Assumptions!$B$22+((Assumptions!$B$23-Assumptions!$B$22)*IF(V17&gt;0,X17/V17,0)))*(1+Assumptions!$B$60*(Archetypes!$C$13-1)))+IF(Y17&gt;V17,V17*Assumptions!$B$24,0)-IF(IF(V17&gt;0,Z17/V17,1)&lt;Assumptions!$B$61,((Z17*(Assumptions!$B$27*(1+Assumptions!$B$28*(Archetypes!$C$14-1))/(1+Assumptions!$B$29*(Archetypes!$C$12-1))))+(((V17*Archetypes!$C$17*IF(V17&gt;0,Z17/V17,1)*Archetypes!$C$31)/100)*Assumptions!$B$30))*Assumptions!$B$62,((Z17*(Assumptions!$B$27*(1+Assumptions!$B$28*(Archetypes!$C$14-1))/(1+Assumptions!$B$29*(Archetypes!$C$12-1))))+(((V17*Archetypes!$C$17*IF(V17&gt;0,Z17/V17,1)*Archetypes!$C$31)/100)*Assumptions!$B$30)))-(Assumptions!$B$25*Assumptions!$B$26*E17))*E17</f>
        <v>1.9798773699923169</v>
      </c>
      <c r="V17" s="21">
        <f>(Archetypes!$C$11*(IF(S17&lt;0,1+Assumptions!$B$32*MIN(1,ABS(S17)/ABS(Assumptions!$B$21)),MAX(0.1,1-Assumptions!$B$31*(S17/50)))))*$E17</f>
        <v>2.8532411725244713</v>
      </c>
      <c r="W17" s="26">
        <f>Archetypes!$C$30</f>
        <v>3.7999999999999999E-2</v>
      </c>
      <c r="X17" s="21">
        <f t="shared" si="4"/>
        <v>0.1084231645559299</v>
      </c>
      <c r="Y17" s="21">
        <f>((V17-X17)*Archetypes!$C$15)+(X17*Archetypes!$C$15*Archetypes!$C$22)</f>
        <v>1.442884060945625</v>
      </c>
      <c r="Z17" s="21">
        <f>V17*Archetypes!$C$16</f>
        <v>1.2839585276360121</v>
      </c>
      <c r="AA17" s="21">
        <f>(IF(S17&lt;0,Assumptions!$B$8,IF(S17&lt;10,Assumptions!$B$34,IF(S17&lt;25,Assumptions!$B$35,Assumptions!$B$36))))*((((Archetypes!$C$5*Assumptions!$B$4+Archetypes!$C$6*Assumptions!$B$5)*60))+(Assumptions!$B$6*(((Archetypes!$C$11*(IF(S17&lt;0,1+Assumptions!$B$32*MIN(1,ABS(S17)/ABS(Assumptions!$B$21)),MAX(0.1,1-Assumptions!$B$31*(S17/50)))))-((Archetypes!$C$11*(IF(S17&lt;0,1+Assumptions!$B$32*MIN(1,ABS(S17)/ABS(Assumptions!$B$21)),MAX(0.1,1-Assumptions!$B$31*(S17/50)))))*W17)*Archetypes!$C$20)+((Archetypes!$C$11*(IF(S17&lt;0,1+Assumptions!$B$32*MIN(1,ABS(S17)/ABS(Assumptions!$B$21)),MAX(0.1,1-Assumptions!$B$31*(S17/50)))))*W17*Archetypes!$C$20*Archetypes!$C$21)*Assumptions!$B$18)*(IF($D17=1,1,Assumptions!$B$7)))+(((((Archetypes!$C$11*(IF(S17&lt;0,1+Assumptions!$B$32*MIN(1,ABS(S17)/ABS(Assumptions!$B$21)),MAX(0.1,1-Assumptions!$B$31*(S17/50)))))-((Archetypes!$C$11*(IF(S17&lt;0,1+Assumptions!$B$32*MIN(1,ABS(S17)/ABS(Assumptions!$B$21)),MAX(0.1,1-Assumptions!$B$31*(S17/50)))))*W17)*Archetypes!$C$15)*(Archetypes!$C$13*IF(S17&lt;0,1-Assumptions!$B$33*MIN(1,ABS(S17)/ABS(Assumptions!$B$21)),1))*5)+(((Archetypes!$C$11*(IF(S17&lt;0,1+Assumptions!$B$32*MIN(1,ABS(S17)/ABS(Assumptions!$B$21)),MAX(0.1,1-Assumptions!$B$31*(S17/50)))))*W17*Archetypes!$C$15*Archetypes!$C$22)*(Archetypes!$C$13*IF(S17&lt;0,1-Assumptions!$B$33*MIN(1,ABS(S17)/ABS(Assumptions!$B$21)),1))*5*Assumptions!$B$18))*IF(S17&lt;0,Assumptions!$B$9,1)))*$E17</f>
        <v>757.0179408836342</v>
      </c>
      <c r="AB17" s="21">
        <f>(AB16)+(AA17)-(MAX(0,((AB16)+(AA17)-(AC17)))*(IF(Archetypes!$C$27="",Assumptions!$B$11,Archetypes!$C$27)))</f>
        <v>11144.489606380028</v>
      </c>
      <c r="AC17" s="21">
        <f>Archetypes!$C$36 + (Assumptions!$B$67*(IF($E17=0,0,V17/$E17))*Assumptions!$B$71*(1+Assumptions!$B$68*(Archetypes!$C$14-1))) + (Assumptions!$B$69*Archetypes!$C$34*(IF($E17=0,0,V17/$E17))*Assumptions!$B$72*POWER(Assumptions!$B$70,Archetypes!$C$18-1))</f>
        <v>9311.1517055272052</v>
      </c>
      <c r="AD17" s="21">
        <f t="shared" si="5"/>
        <v>1833.3379008528227</v>
      </c>
      <c r="AF17" s="21">
        <f t="shared" si="10"/>
        <v>70.770843397076433</v>
      </c>
      <c r="AG17" s="21">
        <f>MAX(Assumptions!$B$21,AF17+AH17)</f>
        <v>72.223803773444928</v>
      </c>
      <c r="AH17" s="21">
        <f>((AL17*(Assumptions!$B$22+((Assumptions!$B$23-Assumptions!$B$22)*IF(AI17&gt;0,AK17/AI17,0)))*(1+Assumptions!$B$60*(Archetypes!$D$13-1)))+IF(AL17&gt;AI17,AI17*Assumptions!$B$24,0)-IF(IF(AI17&gt;0,AM17/AI17,1)&lt;Assumptions!$B$61,((AM17*(Assumptions!$B$27*(1+Assumptions!$B$28*(Archetypes!$D$14-1))/(1+Assumptions!$B$29*(Archetypes!$D$12-1))))+(((AI17*Archetypes!$D$17*IF(AI17&gt;0,AM17/AI17,1)*Archetypes!$D$31)/100)*Assumptions!$B$30))*Assumptions!$B$62,((AM17*(Assumptions!$B$27*(1+Assumptions!$B$28*(Archetypes!$D$14-1))/(1+Assumptions!$B$29*(Archetypes!$D$12-1))))+(((AI17*Archetypes!$D$17*IF(AI17&gt;0,AM17/AI17,1)*Archetypes!$D$31)/100)*Assumptions!$B$30)))-(Assumptions!$B$25*Assumptions!$B$26*E17))*E17</f>
        <v>1.4529603763684962</v>
      </c>
      <c r="AI17" s="21">
        <f>(Archetypes!$D$11*(IF(AF17&lt;0,1+Assumptions!$B$32*MIN(1,ABS(AF17)/ABS(Assumptions!$B$21)),MAX(0.1,1-Assumptions!$B$31*(AF17/50)))))*$E17</f>
        <v>0.45224963770524862</v>
      </c>
      <c r="AJ17" s="26">
        <f>Archetypes!$D$30</f>
        <v>0.10400000000000001</v>
      </c>
      <c r="AK17" s="21">
        <f t="shared" si="6"/>
        <v>4.7033962321345858E-2</v>
      </c>
      <c r="AL17" s="21">
        <f>((AI17-AK17)*Archetypes!$D$15)+(AK17*Archetypes!$D$15*Archetypes!$D$22)</f>
        <v>0.70659483395068046</v>
      </c>
      <c r="AM17" s="21">
        <f>AI17*Archetypes!$D$16</f>
        <v>9.0449927541049732E-2</v>
      </c>
      <c r="AN17" s="21">
        <f>(IF(AF17&lt;0,Assumptions!$B$8,IF(AF17&lt;10,Assumptions!$B$34,IF(AF17&lt;25,Assumptions!$B$35,Assumptions!$B$36))))*((((Archetypes!$D$5*Assumptions!$B$4+Archetypes!$D$6*Assumptions!$B$5)*60))+(Assumptions!$B$6*(((Archetypes!$D$11*(IF(AF17&lt;0,1+Assumptions!$B$32*MIN(1,ABS(AF17)/ABS(Assumptions!$B$21)),MAX(0.1,1-Assumptions!$B$31*(AF17/50)))))-((Archetypes!$D$11*(IF(AF17&lt;0,1+Assumptions!$B$32*MIN(1,ABS(AF17)/ABS(Assumptions!$B$21)),MAX(0.1,1-Assumptions!$B$31*(AF17/50)))))*AJ17)*Archetypes!$D$20)+((Archetypes!$D$11*(IF(AF17&lt;0,1+Assumptions!$B$32*MIN(1,ABS(AF17)/ABS(Assumptions!$B$21)),MAX(0.1,1-Assumptions!$B$31*(AF17/50)))))*AJ17*Archetypes!$D$20*Archetypes!$D$21)*Assumptions!$B$18)*(IF($D17=1,1,Assumptions!$B$7)))+(((((Archetypes!$D$11*(IF(AF17&lt;0,1+Assumptions!$B$32*MIN(1,ABS(AF17)/ABS(Assumptions!$B$21)),MAX(0.1,1-Assumptions!$B$31*(AF17/50)))))-((Archetypes!$D$11*(IF(AF17&lt;0,1+Assumptions!$B$32*MIN(1,ABS(AF17)/ABS(Assumptions!$B$21)),MAX(0.1,1-Assumptions!$B$31*(AF17/50)))))*AJ17)*Archetypes!$D$15)*(Archetypes!$D$13*IF(AF17&lt;0,1-Assumptions!$B$33*MIN(1,ABS(AF17)/ABS(Assumptions!$B$21)),1))*5)+(((Archetypes!$D$11*(IF(AF17&lt;0,1+Assumptions!$B$32*MIN(1,ABS(AF17)/ABS(Assumptions!$B$21)),MAX(0.1,1-Assumptions!$B$31*(AF17/50)))))*AJ17*Archetypes!$D$15*Archetypes!$D$22)*(Archetypes!$D$13*IF(AF17&lt;0,1-Assumptions!$B$33*MIN(1,ABS(AF17)/ABS(Assumptions!$B$21)),1))*5*Assumptions!$B$18))*IF(AF17&lt;0,Assumptions!$B$9,1)))*$E17</f>
        <v>976.49981290528899</v>
      </c>
      <c r="AO17" s="21">
        <f>(AO16)+(AN17)-(MAX(0,((AO16)+(AN17)-(AP17)))*(IF(Archetypes!$D$27="",Assumptions!$B$11,Archetypes!$D$27)))</f>
        <v>18158.818765994292</v>
      </c>
      <c r="AP17" s="21">
        <f>Archetypes!$D$36 + (Assumptions!$B$67*(IF($E17=0,0,AI17/$E17))*Assumptions!$B$71*(1+Assumptions!$B$68*(Archetypes!$D$14-1))) + (Assumptions!$B$69*Archetypes!$D$34*(IF($E17=0,0,AI17/$E17))*Assumptions!$B$72*POWER(Assumptions!$B$70,Archetypes!$D$18-1))</f>
        <v>20804.032579399412</v>
      </c>
      <c r="AQ17" s="21">
        <f t="shared" si="7"/>
        <v>0</v>
      </c>
    </row>
    <row r="18" spans="1:43" x14ac:dyDescent="0.25">
      <c r="A18" s="20">
        <v>14</v>
      </c>
      <c r="B18" s="20">
        <f t="shared" si="0"/>
        <v>1</v>
      </c>
      <c r="C18" s="20">
        <f t="shared" si="1"/>
        <v>14</v>
      </c>
      <c r="D18" s="6">
        <f>IF(C18&lt;Assumptions!$B$10,1,0)</f>
        <v>0</v>
      </c>
      <c r="E18" s="6">
        <v>1</v>
      </c>
      <c r="F18" s="21">
        <f t="shared" si="8"/>
        <v>-15</v>
      </c>
      <c r="G18" s="21">
        <f>MAX(Assumptions!$B$21,F18+H18)</f>
        <v>-15</v>
      </c>
      <c r="H18" s="21">
        <f>((L18*(Assumptions!$B$22+((Assumptions!$B$23-Assumptions!$B$22)*IF(I18&gt;0,K18/I18,0)))*(1+Assumptions!$B$60*(Archetypes!$B$13-1)))+IF(L18&gt;I18,I18*Assumptions!$B$24,0)-IF(IF(I18&gt;0,M18/I18,1)&lt;Assumptions!$B$61,((M18*(Assumptions!$B$27*(1+Assumptions!$B$28*(Archetypes!$B$14-1))/(1+Assumptions!$B$29*(Archetypes!$B$12-1))))+(((I18*Archetypes!$B$17*IF(I18&gt;0,M18/I18,1)*Archetypes!$B$31)/100)*Assumptions!$B$30))*Assumptions!$B$62,((M18*(Assumptions!$B$27*(1+Assumptions!$B$28*(Archetypes!$B$14-1))/(1+Assumptions!$B$29*(Archetypes!$B$12-1))))+(((I18*Archetypes!$B$17*IF(I18&gt;0,M18/I18,1)*Archetypes!$B$31)/100)*Assumptions!$B$30)))-(Assumptions!$B$25*Assumptions!$B$26*E18))*E18</f>
        <v>-2.8381702909090891</v>
      </c>
      <c r="I18" s="21">
        <f>(Archetypes!$B$11*(IF(F18&lt;0,1+Assumptions!$B$32*MIN(1,ABS(F18)/ABS(Assumptions!$B$21)),MAX(0.1,1-Assumptions!$B$31*(F18/50)))))*$E18</f>
        <v>14</v>
      </c>
      <c r="J18" s="26">
        <f>Archetypes!$B$30</f>
        <v>2.1999999999999999E-2</v>
      </c>
      <c r="K18" s="21">
        <f t="shared" si="2"/>
        <v>0.308</v>
      </c>
      <c r="L18" s="21">
        <f>((I18-K18)*Archetypes!$B$15)+(K18*Archetypes!$B$15*Archetypes!$B$22)</f>
        <v>1.4061600000000003</v>
      </c>
      <c r="M18" s="21">
        <f>I18*Archetypes!$B$16</f>
        <v>10.5</v>
      </c>
      <c r="N18" s="21">
        <f>(IF(F18&lt;0,Assumptions!$B$8,IF(F18&lt;10,Assumptions!$B$34,IF(F18&lt;25,Assumptions!$B$35,Assumptions!$B$36))))*((((Archetypes!$B$5*Assumptions!$B$4+Archetypes!$B$6*Assumptions!$B$5)*60))+(Assumptions!$B$6*(((Archetypes!$B$11*(IF(F18&lt;0,1+Assumptions!$B$32*MIN(1,ABS(F18)/ABS(Assumptions!$B$21)),MAX(0.1,1-Assumptions!$B$31*(F18/50)))))-((Archetypes!$B$11*(IF(F18&lt;0,1+Assumptions!$B$32*MIN(1,ABS(F18)/ABS(Assumptions!$B$21)),MAX(0.1,1-Assumptions!$B$31*(F18/50)))))*J18)*Archetypes!$B$20)+((Archetypes!$B$11*(IF(F18&lt;0,1+Assumptions!$B$32*MIN(1,ABS(F18)/ABS(Assumptions!$B$21)),MAX(0.1,1-Assumptions!$B$31*(F18/50)))))*J18*Archetypes!$B$20*Archetypes!$B$21)*Assumptions!$B$18)*(IF($D18=1,1,Assumptions!$B$7)))+(((((Archetypes!$B$11*(IF(F18&lt;0,1+Assumptions!$B$32*MIN(1,ABS(F18)/ABS(Assumptions!$B$21)),MAX(0.1,1-Assumptions!$B$31*(F18/50)))))-((Archetypes!$B$11*(IF(F18&lt;0,1+Assumptions!$B$32*MIN(1,ABS(F18)/ABS(Assumptions!$B$21)),MAX(0.1,1-Assumptions!$B$31*(F18/50)))))*J18)*Archetypes!$B$15)*(Archetypes!$B$13*IF(F18&lt;0,1-Assumptions!$B$33*MIN(1,ABS(F18)/ABS(Assumptions!$B$21)),1))*5)+(((Archetypes!$B$11*(IF(F18&lt;0,1+Assumptions!$B$32*MIN(1,ABS(F18)/ABS(Assumptions!$B$21)),MAX(0.1,1-Assumptions!$B$31*(F18/50)))))*J18*Archetypes!$B$15*Archetypes!$B$22)*(Archetypes!$B$13*IF(F18&lt;0,1-Assumptions!$B$33*MIN(1,ABS(F18)/ABS(Assumptions!$B$21)),1))*5*Assumptions!$B$18))*IF(F18&lt;0,Assumptions!$B$9,1)))*$E18</f>
        <v>484.478544</v>
      </c>
      <c r="O18" s="21">
        <f>(O17)+(N18)-(MAX(0,((O17)+(N18)-(P18)))*(IF(Archetypes!$B$27="",Assumptions!$B$11,Archetypes!$B$27)))</f>
        <v>4411.549233106045</v>
      </c>
      <c r="P18" s="21">
        <f>Archetypes!$B$36 + (Assumptions!$B$67*(IF($E18=0,0,I18/$E18))*Assumptions!$B$71*(1+Assumptions!$B$68*(Archetypes!$B$14-1))) + (Assumptions!$B$69*Archetypes!$B$34*(IF($E18=0,0,I18/$E18))*Assumptions!$B$72*POWER(Assumptions!$B$70,Archetypes!$B$18-1))</f>
        <v>2668.56</v>
      </c>
      <c r="Q18" s="21">
        <f t="shared" si="3"/>
        <v>1742.989233106045</v>
      </c>
      <c r="S18" s="21">
        <f t="shared" si="9"/>
        <v>45.684861084930219</v>
      </c>
      <c r="T18" s="21">
        <f>MAX(Assumptions!$B$21,S18+U18)</f>
        <v>47.558327361694744</v>
      </c>
      <c r="U18" s="21">
        <f>((Y18*(Assumptions!$B$22+((Assumptions!$B$23-Assumptions!$B$22)*IF(V18&gt;0,X18/V18,0)))*(1+Assumptions!$B$60*(Archetypes!$C$13-1)))+IF(Y18&gt;V18,V18*Assumptions!$B$24,0)-IF(IF(V18&gt;0,Z18/V18,1)&lt;Assumptions!$B$61,((Z18*(Assumptions!$B$27*(1+Assumptions!$B$28*(Archetypes!$C$14-1))/(1+Assumptions!$B$29*(Archetypes!$C$12-1))))+(((V18*Archetypes!$C$17*IF(V18&gt;0,Z18/V18,1)*Archetypes!$C$31)/100)*Assumptions!$B$30))*Assumptions!$B$62,((Z18*(Assumptions!$B$27*(1+Assumptions!$B$28*(Archetypes!$C$14-1))/(1+Assumptions!$B$29*(Archetypes!$C$12-1))))+(((V18*Archetypes!$C$17*IF(V18&gt;0,Z18/V18,1)*Archetypes!$C$31)/100)*Assumptions!$B$30)))-(Assumptions!$B$25*Assumptions!$B$26*E18))*E18</f>
        <v>1.8734662767645265</v>
      </c>
      <c r="V18" s="21">
        <f>(Archetypes!$C$11*(IF(S18&lt;0,1+Assumptions!$B$32*MIN(1,ABS(S18)/ABS(Assumptions!$B$21)),MAX(0.1,1-Assumptions!$B$31*(S18/50)))))*$E18</f>
        <v>2.7106900018850246</v>
      </c>
      <c r="W18" s="26">
        <f>Archetypes!$C$30</f>
        <v>3.7999999999999999E-2</v>
      </c>
      <c r="X18" s="21">
        <f t="shared" si="4"/>
        <v>0.10300622007163093</v>
      </c>
      <c r="Y18" s="21">
        <f>((V18-X18)*Archetypes!$C$15)+(X18*Archetypes!$C$15*Archetypes!$C$22)</f>
        <v>1.3707959339532569</v>
      </c>
      <c r="Z18" s="21">
        <f>V18*Archetypes!$C$16</f>
        <v>1.2198105008482611</v>
      </c>
      <c r="AA18" s="21">
        <f>(IF(S18&lt;0,Assumptions!$B$8,IF(S18&lt;10,Assumptions!$B$34,IF(S18&lt;25,Assumptions!$B$35,Assumptions!$B$36))))*((((Archetypes!$C$5*Assumptions!$B$4+Archetypes!$C$6*Assumptions!$B$5)*60))+(Assumptions!$B$6*(((Archetypes!$C$11*(IF(S18&lt;0,1+Assumptions!$B$32*MIN(1,ABS(S18)/ABS(Assumptions!$B$21)),MAX(0.1,1-Assumptions!$B$31*(S18/50)))))-((Archetypes!$C$11*(IF(S18&lt;0,1+Assumptions!$B$32*MIN(1,ABS(S18)/ABS(Assumptions!$B$21)),MAX(0.1,1-Assumptions!$B$31*(S18/50)))))*W18)*Archetypes!$C$20)+((Archetypes!$C$11*(IF(S18&lt;0,1+Assumptions!$B$32*MIN(1,ABS(S18)/ABS(Assumptions!$B$21)),MAX(0.1,1-Assumptions!$B$31*(S18/50)))))*W18*Archetypes!$C$20*Archetypes!$C$21)*Assumptions!$B$18)*(IF($D18=1,1,Assumptions!$B$7)))+(((((Archetypes!$C$11*(IF(S18&lt;0,1+Assumptions!$B$32*MIN(1,ABS(S18)/ABS(Assumptions!$B$21)),MAX(0.1,1-Assumptions!$B$31*(S18/50)))))-((Archetypes!$C$11*(IF(S18&lt;0,1+Assumptions!$B$32*MIN(1,ABS(S18)/ABS(Assumptions!$B$21)),MAX(0.1,1-Assumptions!$B$31*(S18/50)))))*W18)*Archetypes!$C$15)*(Archetypes!$C$13*IF(S18&lt;0,1-Assumptions!$B$33*MIN(1,ABS(S18)/ABS(Assumptions!$B$21)),1))*5)+(((Archetypes!$C$11*(IF(S18&lt;0,1+Assumptions!$B$32*MIN(1,ABS(S18)/ABS(Assumptions!$B$21)),MAX(0.1,1-Assumptions!$B$31*(S18/50)))))*W18*Archetypes!$C$15*Archetypes!$C$22)*(Archetypes!$C$13*IF(S18&lt;0,1-Assumptions!$B$33*MIN(1,ABS(S18)/ABS(Assumptions!$B$21)),1))*5*Assumptions!$B$18))*IF(S18&lt;0,Assumptions!$B$9,1)))*$E18</f>
        <v>745.9506528833482</v>
      </c>
      <c r="AB18" s="21">
        <f>(AB17)+(AA18)-(MAX(0,((AB17)+(AA18)-(AC18)))*(IF(Archetypes!$C$27="",Assumptions!$B$11,Archetypes!$C$27)))</f>
        <v>11242.410719489946</v>
      </c>
      <c r="AC18" s="21">
        <f>Archetypes!$C$36 + (Assumptions!$B$67*(IF($E18=0,0,V18/$E18))*Assumptions!$B$71*(1+Assumptions!$B$68*(Archetypes!$C$14-1))) + (Assumptions!$B$69*Archetypes!$C$34*(IF($E18=0,0,V18/$E18))*Assumptions!$B$72*POWER(Assumptions!$B$70,Archetypes!$C$18-1))</f>
        <v>9298.3221001696547</v>
      </c>
      <c r="AD18" s="21">
        <f t="shared" si="5"/>
        <v>1944.0886193202914</v>
      </c>
      <c r="AF18" s="21">
        <f t="shared" si="10"/>
        <v>72.223803773444928</v>
      </c>
      <c r="AG18" s="21">
        <f>MAX(Assumptions!$B$21,AF18+AH18)</f>
        <v>73.491367948616855</v>
      </c>
      <c r="AH18" s="21">
        <f>((AL18*(Assumptions!$B$22+((Assumptions!$B$23-Assumptions!$B$22)*IF(AI18&gt;0,AK18/AI18,0)))*(1+Assumptions!$B$60*(Archetypes!$D$13-1)))+IF(AL18&gt;AI18,AI18*Assumptions!$B$24,0)-IF(IF(AI18&gt;0,AM18/AI18,1)&lt;Assumptions!$B$61,((AM18*(Assumptions!$B$27*(1+Assumptions!$B$28*(Archetypes!$D$14-1))/(1+Assumptions!$B$29*(Archetypes!$D$12-1))))+(((AI18*Archetypes!$D$17*IF(AI18&gt;0,AM18/AI18,1)*Archetypes!$D$31)/100)*Assumptions!$B$30))*Assumptions!$B$62,((AM18*(Assumptions!$B$27*(1+Assumptions!$B$28*(Archetypes!$D$14-1))/(1+Assumptions!$B$29*(Archetypes!$D$12-1))))+(((AI18*Archetypes!$D$17*IF(AI18&gt;0,AM18/AI18,1)*Archetypes!$D$31)/100)*Assumptions!$B$30)))-(Assumptions!$B$25*Assumptions!$B$26*E18))*E18</f>
        <v>1.2675641751719273</v>
      </c>
      <c r="AI18" s="21">
        <f>(Archetypes!$D$11*(IF(AF18&lt;0,1+Assumptions!$B$32*MIN(1,ABS(AF18)/ABS(Assumptions!$B$21)),MAX(0.1,1-Assumptions!$B$31*(AF18/50)))))*$E18</f>
        <v>0.3999430641559828</v>
      </c>
      <c r="AJ18" s="26">
        <f>Archetypes!$D$30</f>
        <v>0.10400000000000001</v>
      </c>
      <c r="AK18" s="21">
        <f t="shared" si="6"/>
        <v>4.1594078672222215E-2</v>
      </c>
      <c r="AL18" s="21">
        <f>((AI18-AK18)*Archetypes!$D$15)+(AK18*Archetypes!$D$15*Archetypes!$D$22)</f>
        <v>0.62487104343730748</v>
      </c>
      <c r="AM18" s="21">
        <f>AI18*Archetypes!$D$16</f>
        <v>7.9988612831196571E-2</v>
      </c>
      <c r="AN18" s="21">
        <f>(IF(AF18&lt;0,Assumptions!$B$8,IF(AF18&lt;10,Assumptions!$B$34,IF(AF18&lt;25,Assumptions!$B$35,Assumptions!$B$36))))*((((Archetypes!$D$5*Assumptions!$B$4+Archetypes!$D$6*Assumptions!$B$5)*60))+(Assumptions!$B$6*(((Archetypes!$D$11*(IF(AF18&lt;0,1+Assumptions!$B$32*MIN(1,ABS(AF18)/ABS(Assumptions!$B$21)),MAX(0.1,1-Assumptions!$B$31*(AF18/50)))))-((Archetypes!$D$11*(IF(AF18&lt;0,1+Assumptions!$B$32*MIN(1,ABS(AF18)/ABS(Assumptions!$B$21)),MAX(0.1,1-Assumptions!$B$31*(AF18/50)))))*AJ18)*Archetypes!$D$20)+((Archetypes!$D$11*(IF(AF18&lt;0,1+Assumptions!$B$32*MIN(1,ABS(AF18)/ABS(Assumptions!$B$21)),MAX(0.1,1-Assumptions!$B$31*(AF18/50)))))*AJ18*Archetypes!$D$20*Archetypes!$D$21)*Assumptions!$B$18)*(IF($D18=1,1,Assumptions!$B$7)))+(((((Archetypes!$D$11*(IF(AF18&lt;0,1+Assumptions!$B$32*MIN(1,ABS(AF18)/ABS(Assumptions!$B$21)),MAX(0.1,1-Assumptions!$B$31*(AF18/50)))))-((Archetypes!$D$11*(IF(AF18&lt;0,1+Assumptions!$B$32*MIN(1,ABS(AF18)/ABS(Assumptions!$B$21)),MAX(0.1,1-Assumptions!$B$31*(AF18/50)))))*AJ18)*Archetypes!$D$15)*(Archetypes!$D$13*IF(AF18&lt;0,1-Assumptions!$B$33*MIN(1,ABS(AF18)/ABS(Assumptions!$B$21)),1))*5)+(((Archetypes!$D$11*(IF(AF18&lt;0,1+Assumptions!$B$32*MIN(1,ABS(AF18)/ABS(Assumptions!$B$21)),MAX(0.1,1-Assumptions!$B$31*(AF18/50)))))*AJ18*Archetypes!$D$15*Archetypes!$D$22)*(Archetypes!$D$13*IF(AF18&lt;0,1-Assumptions!$B$33*MIN(1,ABS(AF18)/ABS(Assumptions!$B$21)),1))*5*Assumptions!$B$18))*IF(AF18&lt;0,Assumptions!$B$9,1)))*$E18</f>
        <v>963.8352145511069</v>
      </c>
      <c r="AO18" s="21">
        <f>(AO17)+(AN18)-(MAX(0,((AO17)+(AN18)-(AP18)))*(IF(Archetypes!$D$27="",Assumptions!$B$11,Archetypes!$D$27)))</f>
        <v>19122.653980545398</v>
      </c>
      <c r="AP18" s="21">
        <f>Archetypes!$D$36 + (Assumptions!$B$67*(IF($E18=0,0,AI18/$E18))*Assumptions!$B$71*(1+Assumptions!$B$68*(Archetypes!$D$14-1))) + (Assumptions!$B$69*Archetypes!$D$34*(IF($E18=0,0,AI18/$E18))*Assumptions!$B$72*POWER(Assumptions!$B$70,Archetypes!$D$18-1))</f>
        <v>20793.989717277949</v>
      </c>
      <c r="AQ18" s="21">
        <f t="shared" si="7"/>
        <v>0</v>
      </c>
    </row>
    <row r="19" spans="1:43" x14ac:dyDescent="0.25">
      <c r="A19" s="20">
        <v>15</v>
      </c>
      <c r="B19" s="20">
        <f t="shared" si="0"/>
        <v>1</v>
      </c>
      <c r="C19" s="20">
        <f t="shared" si="1"/>
        <v>15</v>
      </c>
      <c r="D19" s="6">
        <f>IF(C19&lt;Assumptions!$B$10,1,0)</f>
        <v>0</v>
      </c>
      <c r="E19" s="6">
        <v>1</v>
      </c>
      <c r="F19" s="21">
        <f t="shared" si="8"/>
        <v>-15</v>
      </c>
      <c r="G19" s="21">
        <f>MAX(Assumptions!$B$21,F19+H19)</f>
        <v>-15</v>
      </c>
      <c r="H19" s="21">
        <f>((L19*(Assumptions!$B$22+((Assumptions!$B$23-Assumptions!$B$22)*IF(I19&gt;0,K19/I19,0)))*(1+Assumptions!$B$60*(Archetypes!$B$13-1)))+IF(L19&gt;I19,I19*Assumptions!$B$24,0)-IF(IF(I19&gt;0,M19/I19,1)&lt;Assumptions!$B$61,((M19*(Assumptions!$B$27*(1+Assumptions!$B$28*(Archetypes!$B$14-1))/(1+Assumptions!$B$29*(Archetypes!$B$12-1))))+(((I19*Archetypes!$B$17*IF(I19&gt;0,M19/I19,1)*Archetypes!$B$31)/100)*Assumptions!$B$30))*Assumptions!$B$62,((M19*(Assumptions!$B$27*(1+Assumptions!$B$28*(Archetypes!$B$14-1))/(1+Assumptions!$B$29*(Archetypes!$B$12-1))))+(((I19*Archetypes!$B$17*IF(I19&gt;0,M19/I19,1)*Archetypes!$B$31)/100)*Assumptions!$B$30)))-(Assumptions!$B$25*Assumptions!$B$26*E19))*E19</f>
        <v>-2.8381702909090891</v>
      </c>
      <c r="I19" s="21">
        <f>(Archetypes!$B$11*(IF(F19&lt;0,1+Assumptions!$B$32*MIN(1,ABS(F19)/ABS(Assumptions!$B$21)),MAX(0.1,1-Assumptions!$B$31*(F19/50)))))*$E19</f>
        <v>14</v>
      </c>
      <c r="J19" s="26">
        <f>Archetypes!$B$30</f>
        <v>2.1999999999999999E-2</v>
      </c>
      <c r="K19" s="21">
        <f t="shared" si="2"/>
        <v>0.308</v>
      </c>
      <c r="L19" s="21">
        <f>((I19-K19)*Archetypes!$B$15)+(K19*Archetypes!$B$15*Archetypes!$B$22)</f>
        <v>1.4061600000000003</v>
      </c>
      <c r="M19" s="21">
        <f>I19*Archetypes!$B$16</f>
        <v>10.5</v>
      </c>
      <c r="N19" s="21">
        <f>(IF(F19&lt;0,Assumptions!$B$8,IF(F19&lt;10,Assumptions!$B$34,IF(F19&lt;25,Assumptions!$B$35,Assumptions!$B$36))))*((((Archetypes!$B$5*Assumptions!$B$4+Archetypes!$B$6*Assumptions!$B$5)*60))+(Assumptions!$B$6*(((Archetypes!$B$11*(IF(F19&lt;0,1+Assumptions!$B$32*MIN(1,ABS(F19)/ABS(Assumptions!$B$21)),MAX(0.1,1-Assumptions!$B$31*(F19/50)))))-((Archetypes!$B$11*(IF(F19&lt;0,1+Assumptions!$B$32*MIN(1,ABS(F19)/ABS(Assumptions!$B$21)),MAX(0.1,1-Assumptions!$B$31*(F19/50)))))*J19)*Archetypes!$B$20)+((Archetypes!$B$11*(IF(F19&lt;0,1+Assumptions!$B$32*MIN(1,ABS(F19)/ABS(Assumptions!$B$21)),MAX(0.1,1-Assumptions!$B$31*(F19/50)))))*J19*Archetypes!$B$20*Archetypes!$B$21)*Assumptions!$B$18)*(IF($D19=1,1,Assumptions!$B$7)))+(((((Archetypes!$B$11*(IF(F19&lt;0,1+Assumptions!$B$32*MIN(1,ABS(F19)/ABS(Assumptions!$B$21)),MAX(0.1,1-Assumptions!$B$31*(F19/50)))))-((Archetypes!$B$11*(IF(F19&lt;0,1+Assumptions!$B$32*MIN(1,ABS(F19)/ABS(Assumptions!$B$21)),MAX(0.1,1-Assumptions!$B$31*(F19/50)))))*J19)*Archetypes!$B$15)*(Archetypes!$B$13*IF(F19&lt;0,1-Assumptions!$B$33*MIN(1,ABS(F19)/ABS(Assumptions!$B$21)),1))*5)+(((Archetypes!$B$11*(IF(F19&lt;0,1+Assumptions!$B$32*MIN(1,ABS(F19)/ABS(Assumptions!$B$21)),MAX(0.1,1-Assumptions!$B$31*(F19/50)))))*J19*Archetypes!$B$15*Archetypes!$B$22)*(Archetypes!$B$13*IF(F19&lt;0,1-Assumptions!$B$33*MIN(1,ABS(F19)/ABS(Assumptions!$B$21)),1))*5*Assumptions!$B$18))*IF(F19&lt;0,Assumptions!$B$9,1)))*$E19</f>
        <v>484.478544</v>
      </c>
      <c r="O19" s="21">
        <f>(O18)+(N19)-(MAX(0,((O18)+(N19)-(P19)))*(IF(Archetypes!$B$27="",Assumptions!$B$11,Archetypes!$B$27)))</f>
        <v>4450.5342216848358</v>
      </c>
      <c r="P19" s="21">
        <f>Archetypes!$B$36 + (Assumptions!$B$67*(IF($E19=0,0,I19/$E19))*Assumptions!$B$71*(1+Assumptions!$B$68*(Archetypes!$B$14-1))) + (Assumptions!$B$69*Archetypes!$B$34*(IF($E19=0,0,I19/$E19))*Assumptions!$B$72*POWER(Assumptions!$B$70,Archetypes!$B$18-1))</f>
        <v>2668.56</v>
      </c>
      <c r="Q19" s="21">
        <f t="shared" si="3"/>
        <v>1781.9742216848358</v>
      </c>
      <c r="S19" s="21">
        <f t="shared" si="9"/>
        <v>47.558327361694744</v>
      </c>
      <c r="T19" s="21">
        <f>MAX(Assumptions!$B$21,S19+U19)</f>
        <v>49.331101748316257</v>
      </c>
      <c r="U19" s="21">
        <f>((Y19*(Assumptions!$B$22+((Assumptions!$B$23-Assumptions!$B$22)*IF(V19&gt;0,X19/V19,0)))*(1+Assumptions!$B$60*(Archetypes!$C$13-1)))+IF(Y19&gt;V19,V19*Assumptions!$B$24,0)-IF(IF(V19&gt;0,Z19/V19,1)&lt;Assumptions!$B$61,((Z19*(Assumptions!$B$27*(1+Assumptions!$B$28*(Archetypes!$C$14-1))/(1+Assumptions!$B$29*(Archetypes!$C$12-1))))+(((V19*Archetypes!$C$17*IF(V19&gt;0,Z19/V19,1)*Archetypes!$C$31)/100)*Assumptions!$B$30))*Assumptions!$B$62,((Z19*(Assumptions!$B$27*(1+Assumptions!$B$28*(Archetypes!$C$14-1))/(1+Assumptions!$B$29*(Archetypes!$C$12-1))))+(((V19*Archetypes!$C$17*IF(V19&gt;0,Z19/V19,1)*Archetypes!$C$31)/100)*Assumptions!$B$30)))-(Assumptions!$B$25*Assumptions!$B$26*E19))*E19</f>
        <v>1.7727743866215102</v>
      </c>
      <c r="V19" s="21">
        <f>(Archetypes!$C$11*(IF(S19&lt;0,1+Assumptions!$B$32*MIN(1,ABS(S19)/ABS(Assumptions!$B$21)),MAX(0.1,1-Assumptions!$B$31*(S19/50)))))*$E19</f>
        <v>2.5758004299579786</v>
      </c>
      <c r="W19" s="26">
        <f>Archetypes!$C$30</f>
        <v>3.7999999999999999E-2</v>
      </c>
      <c r="X19" s="21">
        <f t="shared" si="4"/>
        <v>9.7880416338403192E-2</v>
      </c>
      <c r="Y19" s="21">
        <f>((V19-X19)*Archetypes!$C$15)+(X19*Archetypes!$C$15*Archetypes!$C$22)</f>
        <v>1.3025822774297497</v>
      </c>
      <c r="Z19" s="21">
        <f>V19*Archetypes!$C$16</f>
        <v>1.1591101934810903</v>
      </c>
      <c r="AA19" s="21">
        <f>(IF(S19&lt;0,Assumptions!$B$8,IF(S19&lt;10,Assumptions!$B$34,IF(S19&lt;25,Assumptions!$B$35,Assumptions!$B$36))))*((((Archetypes!$C$5*Assumptions!$B$4+Archetypes!$C$6*Assumptions!$B$5)*60))+(Assumptions!$B$6*(((Archetypes!$C$11*(IF(S19&lt;0,1+Assumptions!$B$32*MIN(1,ABS(S19)/ABS(Assumptions!$B$21)),MAX(0.1,1-Assumptions!$B$31*(S19/50)))))-((Archetypes!$C$11*(IF(S19&lt;0,1+Assumptions!$B$32*MIN(1,ABS(S19)/ABS(Assumptions!$B$21)),MAX(0.1,1-Assumptions!$B$31*(S19/50)))))*W19)*Archetypes!$C$20)+((Archetypes!$C$11*(IF(S19&lt;0,1+Assumptions!$B$32*MIN(1,ABS(S19)/ABS(Assumptions!$B$21)),MAX(0.1,1-Assumptions!$B$31*(S19/50)))))*W19*Archetypes!$C$20*Archetypes!$C$21)*Assumptions!$B$18)*(IF($D19=1,1,Assumptions!$B$7)))+(((((Archetypes!$C$11*(IF(S19&lt;0,1+Assumptions!$B$32*MIN(1,ABS(S19)/ABS(Assumptions!$B$21)),MAX(0.1,1-Assumptions!$B$31*(S19/50)))))-((Archetypes!$C$11*(IF(S19&lt;0,1+Assumptions!$B$32*MIN(1,ABS(S19)/ABS(Assumptions!$B$21)),MAX(0.1,1-Assumptions!$B$31*(S19/50)))))*W19)*Archetypes!$C$15)*(Archetypes!$C$13*IF(S19&lt;0,1-Assumptions!$B$33*MIN(1,ABS(S19)/ABS(Assumptions!$B$21)),1))*5)+(((Archetypes!$C$11*(IF(S19&lt;0,1+Assumptions!$B$32*MIN(1,ABS(S19)/ABS(Assumptions!$B$21)),MAX(0.1,1-Assumptions!$B$31*(S19/50)))))*W19*Archetypes!$C$15*Archetypes!$C$22)*(Archetypes!$C$13*IF(S19&lt;0,1-Assumptions!$B$33*MIN(1,ABS(S19)/ABS(Assumptions!$B$21)),1))*5*Assumptions!$B$18))*IF(S19&lt;0,Assumptions!$B$9,1)))*$E19</f>
        <v>735.47819072077664</v>
      </c>
      <c r="AB19" s="21">
        <f>(AB18)+(AA19)-(MAX(0,((AB18)+(AA19)-(AC19)))*(IF(Archetypes!$C$27="",Assumptions!$B$11,Archetypes!$C$27)))</f>
        <v>11304.962192332097</v>
      </c>
      <c r="AC19" s="21">
        <f>Archetypes!$C$36 + (Assumptions!$B$67*(IF($E19=0,0,V19/$E19))*Assumptions!$B$71*(1+Assumptions!$B$68*(Archetypes!$C$14-1))) + (Assumptions!$B$69*Archetypes!$C$34*(IF($E19=0,0,V19/$E19))*Assumptions!$B$72*POWER(Assumptions!$B$70,Archetypes!$C$18-1))</f>
        <v>9286.1820386962208</v>
      </c>
      <c r="AD19" s="21">
        <f t="shared" si="5"/>
        <v>2018.7801536358766</v>
      </c>
      <c r="AF19" s="21">
        <f t="shared" si="10"/>
        <v>73.491367948616855</v>
      </c>
      <c r="AG19" s="21">
        <f>MAX(Assumptions!$B$21,AF19+AH19)</f>
        <v>74.597192281001668</v>
      </c>
      <c r="AH19" s="21">
        <f>((AL19*(Assumptions!$B$22+((Assumptions!$B$23-Assumptions!$B$22)*IF(AI19&gt;0,AK19/AI19,0)))*(1+Assumptions!$B$60*(Archetypes!$D$13-1)))+IF(AL19&gt;AI19,AI19*Assumptions!$B$24,0)-IF(IF(AI19&gt;0,AM19/AI19,1)&lt;Assumptions!$B$61,((AM19*(Assumptions!$B$27*(1+Assumptions!$B$28*(Archetypes!$D$14-1))/(1+Assumptions!$B$29*(Archetypes!$D$12-1))))+(((AI19*Archetypes!$D$17*IF(AI19&gt;0,AM19/AI19,1)*Archetypes!$D$31)/100)*Assumptions!$B$30))*Assumptions!$B$62,((AM19*(Assumptions!$B$27*(1+Assumptions!$B$28*(Archetypes!$D$14-1))/(1+Assumptions!$B$29*(Archetypes!$D$12-1))))+(((AI19*Archetypes!$D$17*IF(AI19&gt;0,AM19/AI19,1)*Archetypes!$D$31)/100)*Assumptions!$B$30)))-(Assumptions!$B$25*Assumptions!$B$26*E19))*E19</f>
        <v>1.1058243323848191</v>
      </c>
      <c r="AI19" s="21">
        <f>(Archetypes!$D$11*(IF(AF19&lt;0,1+Assumptions!$B$32*MIN(1,ABS(AF19)/ABS(Assumptions!$B$21)),MAX(0.1,1-Assumptions!$B$31*(AF19/50)))))*$E19</f>
        <v>0.35431075384979327</v>
      </c>
      <c r="AJ19" s="26">
        <f>Archetypes!$D$30</f>
        <v>0.10400000000000001</v>
      </c>
      <c r="AK19" s="21">
        <f t="shared" si="6"/>
        <v>3.6848318400378506E-2</v>
      </c>
      <c r="AL19" s="21">
        <f>((AI19-AK19)*Archetypes!$D$15)+(AK19*Archetypes!$D$15*Archetypes!$D$22)</f>
        <v>0.55357512181491697</v>
      </c>
      <c r="AM19" s="21">
        <f>AI19*Archetypes!$D$16</f>
        <v>7.0862150769958651E-2</v>
      </c>
      <c r="AN19" s="21">
        <f>(IF(AF19&lt;0,Assumptions!$B$8,IF(AF19&lt;10,Assumptions!$B$34,IF(AF19&lt;25,Assumptions!$B$35,Assumptions!$B$36))))*((((Archetypes!$D$5*Assumptions!$B$4+Archetypes!$D$6*Assumptions!$B$5)*60))+(Assumptions!$B$6*(((Archetypes!$D$11*(IF(AF19&lt;0,1+Assumptions!$B$32*MIN(1,ABS(AF19)/ABS(Assumptions!$B$21)),MAX(0.1,1-Assumptions!$B$31*(AF19/50)))))-((Archetypes!$D$11*(IF(AF19&lt;0,1+Assumptions!$B$32*MIN(1,ABS(AF19)/ABS(Assumptions!$B$21)),MAX(0.1,1-Assumptions!$B$31*(AF19/50)))))*AJ19)*Archetypes!$D$20)+((Archetypes!$D$11*(IF(AF19&lt;0,1+Assumptions!$B$32*MIN(1,ABS(AF19)/ABS(Assumptions!$B$21)),MAX(0.1,1-Assumptions!$B$31*(AF19/50)))))*AJ19*Archetypes!$D$20*Archetypes!$D$21)*Assumptions!$B$18)*(IF($D19=1,1,Assumptions!$B$7)))+(((((Archetypes!$D$11*(IF(AF19&lt;0,1+Assumptions!$B$32*MIN(1,ABS(AF19)/ABS(Assumptions!$B$21)),MAX(0.1,1-Assumptions!$B$31*(AF19/50)))))-((Archetypes!$D$11*(IF(AF19&lt;0,1+Assumptions!$B$32*MIN(1,ABS(AF19)/ABS(Assumptions!$B$21)),MAX(0.1,1-Assumptions!$B$31*(AF19/50)))))*AJ19)*Archetypes!$D$15)*(Archetypes!$D$13*IF(AF19&lt;0,1-Assumptions!$B$33*MIN(1,ABS(AF19)/ABS(Assumptions!$B$21)),1))*5)+(((Archetypes!$D$11*(IF(AF19&lt;0,1+Assumptions!$B$32*MIN(1,ABS(AF19)/ABS(Assumptions!$B$21)),MAX(0.1,1-Assumptions!$B$31*(AF19/50)))))*AJ19*Archetypes!$D$15*Archetypes!$D$22)*(Archetypes!$D$13*IF(AF19&lt;0,1-Assumptions!$B$33*MIN(1,ABS(AF19)/ABS(Assumptions!$B$21)),1))*5*Assumptions!$B$18))*IF(AF19&lt;0,Assumptions!$B$9,1)))*$E19</f>
        <v>952.78660549899666</v>
      </c>
      <c r="AO19" s="21">
        <f>(AO18)+(AN19)-(MAX(0,((AO18)+(AN19)-(AP19)))*(IF(Archetypes!$D$27="",Assumptions!$B$11,Archetypes!$D$27)))</f>
        <v>20075.440586044395</v>
      </c>
      <c r="AP19" s="21">
        <f>Archetypes!$D$36 + (Assumptions!$B$67*(IF($E19=0,0,AI19/$E19))*Assumptions!$B$71*(1+Assumptions!$B$68*(Archetypes!$D$14-1))) + (Assumptions!$B$69*Archetypes!$D$34*(IF($E19=0,0,AI19/$E19))*Assumptions!$B$72*POWER(Assumptions!$B$70,Archetypes!$D$18-1))</f>
        <v>20785.228313699161</v>
      </c>
      <c r="AQ19" s="21">
        <f t="shared" si="7"/>
        <v>0</v>
      </c>
    </row>
    <row r="20" spans="1:43" x14ac:dyDescent="0.25">
      <c r="A20" s="20">
        <v>16</v>
      </c>
      <c r="B20" s="20">
        <f t="shared" si="0"/>
        <v>1</v>
      </c>
      <c r="C20" s="20">
        <f t="shared" si="1"/>
        <v>16</v>
      </c>
      <c r="D20" s="6">
        <f>IF(C20&lt;Assumptions!$B$10,1,0)</f>
        <v>0</v>
      </c>
      <c r="E20" s="6">
        <v>1</v>
      </c>
      <c r="F20" s="21">
        <f t="shared" si="8"/>
        <v>-15</v>
      </c>
      <c r="G20" s="21">
        <f>MAX(Assumptions!$B$21,F20+H20)</f>
        <v>-15</v>
      </c>
      <c r="H20" s="21">
        <f>((L20*(Assumptions!$B$22+((Assumptions!$B$23-Assumptions!$B$22)*IF(I20&gt;0,K20/I20,0)))*(1+Assumptions!$B$60*(Archetypes!$B$13-1)))+IF(L20&gt;I20,I20*Assumptions!$B$24,0)-IF(IF(I20&gt;0,M20/I20,1)&lt;Assumptions!$B$61,((M20*(Assumptions!$B$27*(1+Assumptions!$B$28*(Archetypes!$B$14-1))/(1+Assumptions!$B$29*(Archetypes!$B$12-1))))+(((I20*Archetypes!$B$17*IF(I20&gt;0,M20/I20,1)*Archetypes!$B$31)/100)*Assumptions!$B$30))*Assumptions!$B$62,((M20*(Assumptions!$B$27*(1+Assumptions!$B$28*(Archetypes!$B$14-1))/(1+Assumptions!$B$29*(Archetypes!$B$12-1))))+(((I20*Archetypes!$B$17*IF(I20&gt;0,M20/I20,1)*Archetypes!$B$31)/100)*Assumptions!$B$30)))-(Assumptions!$B$25*Assumptions!$B$26*E20))*E20</f>
        <v>-2.8381702909090891</v>
      </c>
      <c r="I20" s="21">
        <f>(Archetypes!$B$11*(IF(F20&lt;0,1+Assumptions!$B$32*MIN(1,ABS(F20)/ABS(Assumptions!$B$21)),MAX(0.1,1-Assumptions!$B$31*(F20/50)))))*$E20</f>
        <v>14</v>
      </c>
      <c r="J20" s="26">
        <f>Archetypes!$B$30</f>
        <v>2.1999999999999999E-2</v>
      </c>
      <c r="K20" s="21">
        <f t="shared" si="2"/>
        <v>0.308</v>
      </c>
      <c r="L20" s="21">
        <f>((I20-K20)*Archetypes!$B$15)+(K20*Archetypes!$B$15*Archetypes!$B$22)</f>
        <v>1.4061600000000003</v>
      </c>
      <c r="M20" s="21">
        <f>I20*Archetypes!$B$16</f>
        <v>10.5</v>
      </c>
      <c r="N20" s="21">
        <f>(IF(F20&lt;0,Assumptions!$B$8,IF(F20&lt;10,Assumptions!$B$34,IF(F20&lt;25,Assumptions!$B$35,Assumptions!$B$36))))*((((Archetypes!$B$5*Assumptions!$B$4+Archetypes!$B$6*Assumptions!$B$5)*60))+(Assumptions!$B$6*(((Archetypes!$B$11*(IF(F20&lt;0,1+Assumptions!$B$32*MIN(1,ABS(F20)/ABS(Assumptions!$B$21)),MAX(0.1,1-Assumptions!$B$31*(F20/50)))))-((Archetypes!$B$11*(IF(F20&lt;0,1+Assumptions!$B$32*MIN(1,ABS(F20)/ABS(Assumptions!$B$21)),MAX(0.1,1-Assumptions!$B$31*(F20/50)))))*J20)*Archetypes!$B$20)+((Archetypes!$B$11*(IF(F20&lt;0,1+Assumptions!$B$32*MIN(1,ABS(F20)/ABS(Assumptions!$B$21)),MAX(0.1,1-Assumptions!$B$31*(F20/50)))))*J20*Archetypes!$B$20*Archetypes!$B$21)*Assumptions!$B$18)*(IF($D20=1,1,Assumptions!$B$7)))+(((((Archetypes!$B$11*(IF(F20&lt;0,1+Assumptions!$B$32*MIN(1,ABS(F20)/ABS(Assumptions!$B$21)),MAX(0.1,1-Assumptions!$B$31*(F20/50)))))-((Archetypes!$B$11*(IF(F20&lt;0,1+Assumptions!$B$32*MIN(1,ABS(F20)/ABS(Assumptions!$B$21)),MAX(0.1,1-Assumptions!$B$31*(F20/50)))))*J20)*Archetypes!$B$15)*(Archetypes!$B$13*IF(F20&lt;0,1-Assumptions!$B$33*MIN(1,ABS(F20)/ABS(Assumptions!$B$21)),1))*5)+(((Archetypes!$B$11*(IF(F20&lt;0,1+Assumptions!$B$32*MIN(1,ABS(F20)/ABS(Assumptions!$B$21)),MAX(0.1,1-Assumptions!$B$31*(F20/50)))))*J20*Archetypes!$B$15*Archetypes!$B$22)*(Archetypes!$B$13*IF(F20&lt;0,1-Assumptions!$B$33*MIN(1,ABS(F20)/ABS(Assumptions!$B$21)),1))*5*Assumptions!$B$18))*IF(F20&lt;0,Assumptions!$B$9,1)))*$E20</f>
        <v>484.478544</v>
      </c>
      <c r="O20" s="21">
        <f>(O19)+(N20)-(MAX(0,((O19)+(N20)-(P20)))*(IF(Archetypes!$B$27="",Assumptions!$B$11,Archetypes!$B$27)))</f>
        <v>4481.7222125478684</v>
      </c>
      <c r="P20" s="21">
        <f>Archetypes!$B$36 + (Assumptions!$B$67*(IF($E20=0,0,I20/$E20))*Assumptions!$B$71*(1+Assumptions!$B$68*(Archetypes!$B$14-1))) + (Assumptions!$B$69*Archetypes!$B$34*(IF($E20=0,0,I20/$E20))*Assumptions!$B$72*POWER(Assumptions!$B$70,Archetypes!$B$18-1))</f>
        <v>2668.56</v>
      </c>
      <c r="Q20" s="21">
        <f t="shared" si="3"/>
        <v>1813.1622125478684</v>
      </c>
      <c r="S20" s="21">
        <f t="shared" si="9"/>
        <v>49.331101748316257</v>
      </c>
      <c r="T20" s="21">
        <f>MAX(Assumptions!$B$21,S20+U20)</f>
        <v>51.008596061845488</v>
      </c>
      <c r="U20" s="21">
        <f>((Y20*(Assumptions!$B$22+((Assumptions!$B$23-Assumptions!$B$22)*IF(V20&gt;0,X20/V20,0)))*(1+Assumptions!$B$60*(Archetypes!$C$13-1)))+IF(Y20&gt;V20,V20*Assumptions!$B$24,0)-IF(IF(V20&gt;0,Z20/V20,1)&lt;Assumptions!$B$61,((Z20*(Assumptions!$B$27*(1+Assumptions!$B$28*(Archetypes!$C$14-1))/(1+Assumptions!$B$29*(Archetypes!$C$12-1))))+(((V20*Archetypes!$C$17*IF(V20&gt;0,Z20/V20,1)*Archetypes!$C$31)/100)*Assumptions!$B$30))*Assumptions!$B$62,((Z20*(Assumptions!$B$27*(1+Assumptions!$B$28*(Archetypes!$C$14-1))/(1+Assumptions!$B$29*(Archetypes!$C$12-1))))+(((V20*Archetypes!$C$17*IF(V20&gt;0,Z20/V20,1)*Archetypes!$C$31)/100)*Assumptions!$B$30)))-(Assumptions!$B$25*Assumptions!$B$26*E20))*E20</f>
        <v>1.6774943135292293</v>
      </c>
      <c r="V20" s="21">
        <f>(Archetypes!$C$11*(IF(S20&lt;0,1+Assumptions!$B$32*MIN(1,ABS(S20)/ABS(Assumptions!$B$21)),MAX(0.1,1-Assumptions!$B$31*(S20/50)))))*$E20</f>
        <v>2.4481606741212296</v>
      </c>
      <c r="W20" s="26">
        <f>Archetypes!$C$30</f>
        <v>3.7999999999999999E-2</v>
      </c>
      <c r="X20" s="21">
        <f t="shared" si="4"/>
        <v>9.3030105616606726E-2</v>
      </c>
      <c r="Y20" s="21">
        <f>((V20-X20)*Archetypes!$C$15)+(X20*Archetypes!$C$15*Archetypes!$C$22)</f>
        <v>1.2380348529031058</v>
      </c>
      <c r="Z20" s="21">
        <f>V20*Archetypes!$C$16</f>
        <v>1.1016723033545535</v>
      </c>
      <c r="AA20" s="21">
        <f>(IF(S20&lt;0,Assumptions!$B$8,IF(S20&lt;10,Assumptions!$B$34,IF(S20&lt;25,Assumptions!$B$35,Assumptions!$B$36))))*((((Archetypes!$C$5*Assumptions!$B$4+Archetypes!$C$6*Assumptions!$B$5)*60))+(Assumptions!$B$6*(((Archetypes!$C$11*(IF(S20&lt;0,1+Assumptions!$B$32*MIN(1,ABS(S20)/ABS(Assumptions!$B$21)),MAX(0.1,1-Assumptions!$B$31*(S20/50)))))-((Archetypes!$C$11*(IF(S20&lt;0,1+Assumptions!$B$32*MIN(1,ABS(S20)/ABS(Assumptions!$B$21)),MAX(0.1,1-Assumptions!$B$31*(S20/50)))))*W20)*Archetypes!$C$20)+((Archetypes!$C$11*(IF(S20&lt;0,1+Assumptions!$B$32*MIN(1,ABS(S20)/ABS(Assumptions!$B$21)),MAX(0.1,1-Assumptions!$B$31*(S20/50)))))*W20*Archetypes!$C$20*Archetypes!$C$21)*Assumptions!$B$18)*(IF($D20=1,1,Assumptions!$B$7)))+(((((Archetypes!$C$11*(IF(S20&lt;0,1+Assumptions!$B$32*MIN(1,ABS(S20)/ABS(Assumptions!$B$21)),MAX(0.1,1-Assumptions!$B$31*(S20/50)))))-((Archetypes!$C$11*(IF(S20&lt;0,1+Assumptions!$B$32*MIN(1,ABS(S20)/ABS(Assumptions!$B$21)),MAX(0.1,1-Assumptions!$B$31*(S20/50)))))*W20)*Archetypes!$C$15)*(Archetypes!$C$13*IF(S20&lt;0,1-Assumptions!$B$33*MIN(1,ABS(S20)/ABS(Assumptions!$B$21)),1))*5)+(((Archetypes!$C$11*(IF(S20&lt;0,1+Assumptions!$B$32*MIN(1,ABS(S20)/ABS(Assumptions!$B$21)),MAX(0.1,1-Assumptions!$B$31*(S20/50)))))*W20*Archetypes!$C$15*Archetypes!$C$22)*(Archetypes!$C$13*IF(S20&lt;0,1-Assumptions!$B$33*MIN(1,ABS(S20)/ABS(Assumptions!$B$21)),1))*5*Assumptions!$B$18))*IF(S20&lt;0,Assumptions!$B$9,1)))*$E20</f>
        <v>725.56858470495206</v>
      </c>
      <c r="AB20" s="21">
        <f>(AB19)+(AA20)-(MAX(0,((AB19)+(AA20)-(AC20)))*(IF(Archetypes!$C$27="",Assumptions!$B$11,Archetypes!$C$27)))</f>
        <v>11341.571697945516</v>
      </c>
      <c r="AC20" s="21">
        <f>Archetypes!$C$36 + (Assumptions!$B$67*(IF($E20=0,0,V20/$E20))*Assumptions!$B$71*(1+Assumptions!$B$68*(Archetypes!$C$14-1))) + (Assumptions!$B$69*Archetypes!$C$34*(IF($E20=0,0,V20/$E20))*Assumptions!$B$72*POWER(Assumptions!$B$70,Archetypes!$C$18-1))</f>
        <v>9274.694460670913</v>
      </c>
      <c r="AD20" s="21">
        <f t="shared" si="5"/>
        <v>2066.8772372746025</v>
      </c>
      <c r="AF20" s="21">
        <f t="shared" si="10"/>
        <v>74.597192281001668</v>
      </c>
      <c r="AG20" s="21">
        <f>MAX(Assumptions!$B$21,AF20+AH20)</f>
        <v>75.561914602795326</v>
      </c>
      <c r="AH20" s="21">
        <f>((AL20*(Assumptions!$B$22+((Assumptions!$B$23-Assumptions!$B$22)*IF(AI20&gt;0,AK20/AI20,0)))*(1+Assumptions!$B$60*(Archetypes!$D$13-1)))+IF(AL20&gt;AI20,AI20*Assumptions!$B$24,0)-IF(IF(AI20&gt;0,AM20/AI20,1)&lt;Assumptions!$B$61,((AM20*(Assumptions!$B$27*(1+Assumptions!$B$28*(Archetypes!$D$14-1))/(1+Assumptions!$B$29*(Archetypes!$D$12-1))))+(((AI20*Archetypes!$D$17*IF(AI20&gt;0,AM20/AI20,1)*Archetypes!$D$31)/100)*Assumptions!$B$30))*Assumptions!$B$62,((AM20*(Assumptions!$B$27*(1+Assumptions!$B$28*(Archetypes!$D$14-1))/(1+Assumptions!$B$29*(Archetypes!$D$12-1))))+(((AI20*Archetypes!$D$17*IF(AI20&gt;0,AM20/AI20,1)*Archetypes!$D$31)/100)*Assumptions!$B$30)))-(Assumptions!$B$25*Assumptions!$B$26*E20))*E20</f>
        <v>0.96472232179366413</v>
      </c>
      <c r="AI20" s="21">
        <f>(Archetypes!$D$11*(IF(AF20&lt;0,1+Assumptions!$B$32*MIN(1,ABS(AF20)/ABS(Assumptions!$B$21)),MAX(0.1,1-Assumptions!$B$31*(AF20/50)))))*$E20</f>
        <v>0.31450107788394011</v>
      </c>
      <c r="AJ20" s="26">
        <f>Archetypes!$D$30</f>
        <v>0.10400000000000001</v>
      </c>
      <c r="AK20" s="21">
        <f t="shared" si="6"/>
        <v>3.2708112099929777E-2</v>
      </c>
      <c r="AL20" s="21">
        <f>((AI20-AK20)*Archetypes!$D$15)+(AK20*Archetypes!$D$15*Archetypes!$D$22)</f>
        <v>0.49137648408586798</v>
      </c>
      <c r="AM20" s="21">
        <f>AI20*Archetypes!$D$16</f>
        <v>6.2900215576788029E-2</v>
      </c>
      <c r="AN20" s="21">
        <f>(IF(AF20&lt;0,Assumptions!$B$8,IF(AF20&lt;10,Assumptions!$B$34,IF(AF20&lt;25,Assumptions!$B$35,Assumptions!$B$36))))*((((Archetypes!$D$5*Assumptions!$B$4+Archetypes!$D$6*Assumptions!$B$5)*60))+(Assumptions!$B$6*(((Archetypes!$D$11*(IF(AF20&lt;0,1+Assumptions!$B$32*MIN(1,ABS(AF20)/ABS(Assumptions!$B$21)),MAX(0.1,1-Assumptions!$B$31*(AF20/50)))))-((Archetypes!$D$11*(IF(AF20&lt;0,1+Assumptions!$B$32*MIN(1,ABS(AF20)/ABS(Assumptions!$B$21)),MAX(0.1,1-Assumptions!$B$31*(AF20/50)))))*AJ20)*Archetypes!$D$20)+((Archetypes!$D$11*(IF(AF20&lt;0,1+Assumptions!$B$32*MIN(1,ABS(AF20)/ABS(Assumptions!$B$21)),MAX(0.1,1-Assumptions!$B$31*(AF20/50)))))*AJ20*Archetypes!$D$20*Archetypes!$D$21)*Assumptions!$B$18)*(IF($D20=1,1,Assumptions!$B$7)))+(((((Archetypes!$D$11*(IF(AF20&lt;0,1+Assumptions!$B$32*MIN(1,ABS(AF20)/ABS(Assumptions!$B$21)),MAX(0.1,1-Assumptions!$B$31*(AF20/50)))))-((Archetypes!$D$11*(IF(AF20&lt;0,1+Assumptions!$B$32*MIN(1,ABS(AF20)/ABS(Assumptions!$B$21)),MAX(0.1,1-Assumptions!$B$31*(AF20/50)))))*AJ20)*Archetypes!$D$15)*(Archetypes!$D$13*IF(AF20&lt;0,1-Assumptions!$B$33*MIN(1,ABS(AF20)/ABS(Assumptions!$B$21)),1))*5)+(((Archetypes!$D$11*(IF(AF20&lt;0,1+Assumptions!$B$32*MIN(1,ABS(AF20)/ABS(Assumptions!$B$21)),MAX(0.1,1-Assumptions!$B$31*(AF20/50)))))*AJ20*Archetypes!$D$15*Archetypes!$D$22)*(Archetypes!$D$13*IF(AF20&lt;0,1-Assumptions!$B$33*MIN(1,ABS(AF20)/ABS(Assumptions!$B$21)),1))*5*Assumptions!$B$18))*IF(AF20&lt;0,Assumptions!$B$9,1)))*$E20</f>
        <v>943.14778722995413</v>
      </c>
      <c r="AO20" s="21">
        <f>(AO19)+(AN20)-(MAX(0,((AO19)+(AN20)-(AP20)))*(IF(Archetypes!$D$27="",Assumptions!$B$11,Archetypes!$D$27)))</f>
        <v>20946.287318066159</v>
      </c>
      <c r="AP20" s="21">
        <f>Archetypes!$D$36 + (Assumptions!$B$67*(IF($E20=0,0,AI20/$E20))*Assumptions!$B$71*(1+Assumptions!$B$68*(Archetypes!$D$14-1))) + (Assumptions!$B$69*Archetypes!$D$34*(IF($E20=0,0,AI20/$E20))*Assumptions!$B$72*POWER(Assumptions!$B$70,Archetypes!$D$18-1))</f>
        <v>20777.584855913719</v>
      </c>
      <c r="AQ20" s="21">
        <f t="shared" si="7"/>
        <v>168.70246215243969</v>
      </c>
    </row>
    <row r="21" spans="1:43" x14ac:dyDescent="0.25">
      <c r="A21" s="20">
        <v>17</v>
      </c>
      <c r="B21" s="20">
        <f t="shared" si="0"/>
        <v>1</v>
      </c>
      <c r="C21" s="20">
        <f t="shared" si="1"/>
        <v>17</v>
      </c>
      <c r="D21" s="6">
        <f>IF(C21&lt;Assumptions!$B$10,1,0)</f>
        <v>0</v>
      </c>
      <c r="E21" s="6">
        <v>1</v>
      </c>
      <c r="F21" s="21">
        <f t="shared" si="8"/>
        <v>-15</v>
      </c>
      <c r="G21" s="21">
        <f>MAX(Assumptions!$B$21,F21+H21)</f>
        <v>-15</v>
      </c>
      <c r="H21" s="21">
        <f>((L21*(Assumptions!$B$22+((Assumptions!$B$23-Assumptions!$B$22)*IF(I21&gt;0,K21/I21,0)))*(1+Assumptions!$B$60*(Archetypes!$B$13-1)))+IF(L21&gt;I21,I21*Assumptions!$B$24,0)-IF(IF(I21&gt;0,M21/I21,1)&lt;Assumptions!$B$61,((M21*(Assumptions!$B$27*(1+Assumptions!$B$28*(Archetypes!$B$14-1))/(1+Assumptions!$B$29*(Archetypes!$B$12-1))))+(((I21*Archetypes!$B$17*IF(I21&gt;0,M21/I21,1)*Archetypes!$B$31)/100)*Assumptions!$B$30))*Assumptions!$B$62,((M21*(Assumptions!$B$27*(1+Assumptions!$B$28*(Archetypes!$B$14-1))/(1+Assumptions!$B$29*(Archetypes!$B$12-1))))+(((I21*Archetypes!$B$17*IF(I21&gt;0,M21/I21,1)*Archetypes!$B$31)/100)*Assumptions!$B$30)))-(Assumptions!$B$25*Assumptions!$B$26*E21))*E21</f>
        <v>-2.8381702909090891</v>
      </c>
      <c r="I21" s="21">
        <f>(Archetypes!$B$11*(IF(F21&lt;0,1+Assumptions!$B$32*MIN(1,ABS(F21)/ABS(Assumptions!$B$21)),MAX(0.1,1-Assumptions!$B$31*(F21/50)))))*$E21</f>
        <v>14</v>
      </c>
      <c r="J21" s="26">
        <f>Archetypes!$B$30</f>
        <v>2.1999999999999999E-2</v>
      </c>
      <c r="K21" s="21">
        <f t="shared" si="2"/>
        <v>0.308</v>
      </c>
      <c r="L21" s="21">
        <f>((I21-K21)*Archetypes!$B$15)+(K21*Archetypes!$B$15*Archetypes!$B$22)</f>
        <v>1.4061600000000003</v>
      </c>
      <c r="M21" s="21">
        <f>I21*Archetypes!$B$16</f>
        <v>10.5</v>
      </c>
      <c r="N21" s="21">
        <f>(IF(F21&lt;0,Assumptions!$B$8,IF(F21&lt;10,Assumptions!$B$34,IF(F21&lt;25,Assumptions!$B$35,Assumptions!$B$36))))*((((Archetypes!$B$5*Assumptions!$B$4+Archetypes!$B$6*Assumptions!$B$5)*60))+(Assumptions!$B$6*(((Archetypes!$B$11*(IF(F21&lt;0,1+Assumptions!$B$32*MIN(1,ABS(F21)/ABS(Assumptions!$B$21)),MAX(0.1,1-Assumptions!$B$31*(F21/50)))))-((Archetypes!$B$11*(IF(F21&lt;0,1+Assumptions!$B$32*MIN(1,ABS(F21)/ABS(Assumptions!$B$21)),MAX(0.1,1-Assumptions!$B$31*(F21/50)))))*J21)*Archetypes!$B$20)+((Archetypes!$B$11*(IF(F21&lt;0,1+Assumptions!$B$32*MIN(1,ABS(F21)/ABS(Assumptions!$B$21)),MAX(0.1,1-Assumptions!$B$31*(F21/50)))))*J21*Archetypes!$B$20*Archetypes!$B$21)*Assumptions!$B$18)*(IF($D21=1,1,Assumptions!$B$7)))+(((((Archetypes!$B$11*(IF(F21&lt;0,1+Assumptions!$B$32*MIN(1,ABS(F21)/ABS(Assumptions!$B$21)),MAX(0.1,1-Assumptions!$B$31*(F21/50)))))-((Archetypes!$B$11*(IF(F21&lt;0,1+Assumptions!$B$32*MIN(1,ABS(F21)/ABS(Assumptions!$B$21)),MAX(0.1,1-Assumptions!$B$31*(F21/50)))))*J21)*Archetypes!$B$15)*(Archetypes!$B$13*IF(F21&lt;0,1-Assumptions!$B$33*MIN(1,ABS(F21)/ABS(Assumptions!$B$21)),1))*5)+(((Archetypes!$B$11*(IF(F21&lt;0,1+Assumptions!$B$32*MIN(1,ABS(F21)/ABS(Assumptions!$B$21)),MAX(0.1,1-Assumptions!$B$31*(F21/50)))))*J21*Archetypes!$B$15*Archetypes!$B$22)*(Archetypes!$B$13*IF(F21&lt;0,1-Assumptions!$B$33*MIN(1,ABS(F21)/ABS(Assumptions!$B$21)),1))*5*Assumptions!$B$18))*IF(F21&lt;0,Assumptions!$B$9,1)))*$E21</f>
        <v>484.478544</v>
      </c>
      <c r="O21" s="21">
        <f>(O20)+(N21)-(MAX(0,((O20)+(N21)-(P21)))*(IF(Archetypes!$B$27="",Assumptions!$B$11,Archetypes!$B$27)))</f>
        <v>4506.6726052382946</v>
      </c>
      <c r="P21" s="21">
        <f>Archetypes!$B$36 + (Assumptions!$B$67*(IF($E21=0,0,I21/$E21))*Assumptions!$B$71*(1+Assumptions!$B$68*(Archetypes!$B$14-1))) + (Assumptions!$B$69*Archetypes!$B$34*(IF($E21=0,0,I21/$E21))*Assumptions!$B$72*POWER(Assumptions!$B$70,Archetypes!$B$18-1))</f>
        <v>2668.56</v>
      </c>
      <c r="Q21" s="21">
        <f t="shared" si="3"/>
        <v>1838.1126052382947</v>
      </c>
      <c r="S21" s="21">
        <f t="shared" si="9"/>
        <v>51.008596061845488</v>
      </c>
      <c r="T21" s="21">
        <f>MAX(Assumptions!$B$21,S21+U21)</f>
        <v>52.595931254162707</v>
      </c>
      <c r="U21" s="21">
        <f>((Y21*(Assumptions!$B$22+((Assumptions!$B$23-Assumptions!$B$22)*IF(V21&gt;0,X21/V21,0)))*(1+Assumptions!$B$60*(Archetypes!$C$13-1)))+IF(Y21&gt;V21,V21*Assumptions!$B$24,0)-IF(IF(V21&gt;0,Z21/V21,1)&lt;Assumptions!$B$61,((Z21*(Assumptions!$B$27*(1+Assumptions!$B$28*(Archetypes!$C$14-1))/(1+Assumptions!$B$29*(Archetypes!$C$12-1))))+(((V21*Archetypes!$C$17*IF(V21&gt;0,Z21/V21,1)*Archetypes!$C$31)/100)*Assumptions!$B$30))*Assumptions!$B$62,((Z21*(Assumptions!$B$27*(1+Assumptions!$B$28*(Archetypes!$C$14-1))/(1+Assumptions!$B$29*(Archetypes!$C$12-1))))+(((V21*Archetypes!$C$17*IF(V21&gt;0,Z21/V21,1)*Archetypes!$C$31)/100)*Assumptions!$B$30)))-(Assumptions!$B$25*Assumptions!$B$26*E21))*E21</f>
        <v>1.5873351923172221</v>
      </c>
      <c r="V21" s="21">
        <f>(Archetypes!$C$11*(IF(S21&lt;0,1+Assumptions!$B$32*MIN(1,ABS(S21)/ABS(Assumptions!$B$21)),MAX(0.1,1-Assumptions!$B$31*(S21/50)))))*$E21</f>
        <v>2.3273810835471247</v>
      </c>
      <c r="W21" s="26">
        <f>Archetypes!$C$30</f>
        <v>3.7999999999999999E-2</v>
      </c>
      <c r="X21" s="21">
        <f t="shared" si="4"/>
        <v>8.8440481174790739E-2</v>
      </c>
      <c r="Y21" s="21">
        <f>((V21-X21)*Archetypes!$C$15)+(X21*Archetypes!$C$15*Archetypes!$C$22)</f>
        <v>1.1769566139497811</v>
      </c>
      <c r="Z21" s="21">
        <f>V21*Archetypes!$C$16</f>
        <v>1.0473214875962062</v>
      </c>
      <c r="AA21" s="21">
        <f>(IF(S21&lt;0,Assumptions!$B$8,IF(S21&lt;10,Assumptions!$B$34,IF(S21&lt;25,Assumptions!$B$35,Assumptions!$B$36))))*((((Archetypes!$C$5*Assumptions!$B$4+Archetypes!$C$6*Assumptions!$B$5)*60))+(Assumptions!$B$6*(((Archetypes!$C$11*(IF(S21&lt;0,1+Assumptions!$B$32*MIN(1,ABS(S21)/ABS(Assumptions!$B$21)),MAX(0.1,1-Assumptions!$B$31*(S21/50)))))-((Archetypes!$C$11*(IF(S21&lt;0,1+Assumptions!$B$32*MIN(1,ABS(S21)/ABS(Assumptions!$B$21)),MAX(0.1,1-Assumptions!$B$31*(S21/50)))))*W21)*Archetypes!$C$20)+((Archetypes!$C$11*(IF(S21&lt;0,1+Assumptions!$B$32*MIN(1,ABS(S21)/ABS(Assumptions!$B$21)),MAX(0.1,1-Assumptions!$B$31*(S21/50)))))*W21*Archetypes!$C$20*Archetypes!$C$21)*Assumptions!$B$18)*(IF($D21=1,1,Assumptions!$B$7)))+(((((Archetypes!$C$11*(IF(S21&lt;0,1+Assumptions!$B$32*MIN(1,ABS(S21)/ABS(Assumptions!$B$21)),MAX(0.1,1-Assumptions!$B$31*(S21/50)))))-((Archetypes!$C$11*(IF(S21&lt;0,1+Assumptions!$B$32*MIN(1,ABS(S21)/ABS(Assumptions!$B$21)),MAX(0.1,1-Assumptions!$B$31*(S21/50)))))*W21)*Archetypes!$C$15)*(Archetypes!$C$13*IF(S21&lt;0,1-Assumptions!$B$33*MIN(1,ABS(S21)/ABS(Assumptions!$B$21)),1))*5)+(((Archetypes!$C$11*(IF(S21&lt;0,1+Assumptions!$B$32*MIN(1,ABS(S21)/ABS(Assumptions!$B$21)),MAX(0.1,1-Assumptions!$B$31*(S21/50)))))*W21*Archetypes!$C$15*Archetypes!$C$22)*(Archetypes!$C$13*IF(S21&lt;0,1-Assumptions!$B$33*MIN(1,ABS(S21)/ABS(Assumptions!$B$21)),1))*5*Assumptions!$B$18))*IF(S21&lt;0,Assumptions!$B$9,1)))*$E21</f>
        <v>716.19158339767307</v>
      </c>
      <c r="AB21" s="21">
        <f>(AB20)+(AA21)-(MAX(0,((AB20)+(AA21)-(AC21)))*(IF(Archetypes!$C$27="",Assumptions!$B$11,Archetypes!$C$27)))</f>
        <v>11359.278535387202</v>
      </c>
      <c r="AC21" s="21">
        <f>Archetypes!$C$36 + (Assumptions!$B$67*(IF($E21=0,0,V21/$E21))*Assumptions!$B$71*(1+Assumptions!$B$68*(Archetypes!$C$14-1))) + (Assumptions!$B$69*Archetypes!$C$34*(IF($E21=0,0,V21/$E21))*Assumptions!$B$72*POWER(Assumptions!$B$70,Archetypes!$C$18-1))</f>
        <v>9263.8242975192425</v>
      </c>
      <c r="AD21" s="21">
        <f t="shared" si="5"/>
        <v>2095.4542378679598</v>
      </c>
      <c r="AF21" s="21">
        <f t="shared" si="10"/>
        <v>75.561914602795326</v>
      </c>
      <c r="AG21" s="21">
        <f>MAX(Assumptions!$B$21,AF21+AH21)</f>
        <v>76.475239087366759</v>
      </c>
      <c r="AH21" s="21">
        <f>((AL21*(Assumptions!$B$22+((Assumptions!$B$23-Assumptions!$B$22)*IF(AI21&gt;0,AK21/AI21,0)))*(1+Assumptions!$B$60*(Archetypes!$D$13-1)))+IF(AL21&gt;AI21,AI21*Assumptions!$B$24,0)-IF(IF(AI21&gt;0,AM21/AI21,1)&lt;Assumptions!$B$61,((AM21*(Assumptions!$B$27*(1+Assumptions!$B$28*(Archetypes!$D$14-1))/(1+Assumptions!$B$29*(Archetypes!$D$12-1))))+(((AI21*Archetypes!$D$17*IF(AI21&gt;0,AM21/AI21,1)*Archetypes!$D$31)/100)*Assumptions!$B$30))*Assumptions!$B$62,((AM21*(Assumptions!$B$27*(1+Assumptions!$B$28*(Archetypes!$D$14-1))/(1+Assumptions!$B$29*(Archetypes!$D$12-1))))+(((AI21*Archetypes!$D$17*IF(AI21&gt;0,AM21/AI21,1)*Archetypes!$D$31)/100)*Assumptions!$B$30)))-(Assumptions!$B$25*Assumptions!$B$26*E21))*E21</f>
        <v>0.9133244845714289</v>
      </c>
      <c r="AI21" s="21">
        <f>(Archetypes!$D$11*(IF(AF21&lt;0,1+Assumptions!$B$32*MIN(1,ABS(AF21)/ABS(Assumptions!$B$21)),MAX(0.1,1-Assumptions!$B$31*(AF21/50)))))*$E21</f>
        <v>0.30000000000000004</v>
      </c>
      <c r="AJ21" s="26">
        <f>Archetypes!$D$30</f>
        <v>0.10400000000000001</v>
      </c>
      <c r="AK21" s="21">
        <f t="shared" si="6"/>
        <v>3.1200000000000009E-2</v>
      </c>
      <c r="AL21" s="21">
        <f>((AI21-AK21)*Archetypes!$D$15)+(AK21*Archetypes!$D$15*Archetypes!$D$22)</f>
        <v>0.46872000000000008</v>
      </c>
      <c r="AM21" s="21">
        <f>AI21*Archetypes!$D$16</f>
        <v>6.0000000000000012E-2</v>
      </c>
      <c r="AN21" s="21">
        <f>(IF(AF21&lt;0,Assumptions!$B$8,IF(AF21&lt;10,Assumptions!$B$34,IF(AF21&lt;25,Assumptions!$B$35,Assumptions!$B$36))))*((((Archetypes!$D$5*Assumptions!$B$4+Archetypes!$D$6*Assumptions!$B$5)*60))+(Assumptions!$B$6*(((Archetypes!$D$11*(IF(AF21&lt;0,1+Assumptions!$B$32*MIN(1,ABS(AF21)/ABS(Assumptions!$B$21)),MAX(0.1,1-Assumptions!$B$31*(AF21/50)))))-((Archetypes!$D$11*(IF(AF21&lt;0,1+Assumptions!$B$32*MIN(1,ABS(AF21)/ABS(Assumptions!$B$21)),MAX(0.1,1-Assumptions!$B$31*(AF21/50)))))*AJ21)*Archetypes!$D$20)+((Archetypes!$D$11*(IF(AF21&lt;0,1+Assumptions!$B$32*MIN(1,ABS(AF21)/ABS(Assumptions!$B$21)),MAX(0.1,1-Assumptions!$B$31*(AF21/50)))))*AJ21*Archetypes!$D$20*Archetypes!$D$21)*Assumptions!$B$18)*(IF($D21=1,1,Assumptions!$B$7)))+(((((Archetypes!$D$11*(IF(AF21&lt;0,1+Assumptions!$B$32*MIN(1,ABS(AF21)/ABS(Assumptions!$B$21)),MAX(0.1,1-Assumptions!$B$31*(AF21/50)))))-((Archetypes!$D$11*(IF(AF21&lt;0,1+Assumptions!$B$32*MIN(1,ABS(AF21)/ABS(Assumptions!$B$21)),MAX(0.1,1-Assumptions!$B$31*(AF21/50)))))*AJ21)*Archetypes!$D$15)*(Archetypes!$D$13*IF(AF21&lt;0,1-Assumptions!$B$33*MIN(1,ABS(AF21)/ABS(Assumptions!$B$21)),1))*5)+(((Archetypes!$D$11*(IF(AF21&lt;0,1+Assumptions!$B$32*MIN(1,ABS(AF21)/ABS(Assumptions!$B$21)),MAX(0.1,1-Assumptions!$B$31*(AF21/50)))))*AJ21*Archetypes!$D$15*Archetypes!$D$22)*(Archetypes!$D$13*IF(AF21&lt;0,1-Assumptions!$B$33*MIN(1,ABS(AF21)/ABS(Assumptions!$B$21)),1))*5*Assumptions!$B$18))*IF(AF21&lt;0,Assumptions!$B$9,1)))*$E21</f>
        <v>939.63674999999989</v>
      </c>
      <c r="AO21" s="21">
        <f>(AO20)+(AN21)-(MAX(0,((AO20)+(AN21)-(AP21)))*(IF(Archetypes!$D$27="",Assumptions!$B$11,Archetypes!$D$27)))</f>
        <v>21552.587042334315</v>
      </c>
      <c r="AP21" s="21">
        <f>Archetypes!$D$36 + (Assumptions!$B$67*(IF($E21=0,0,AI21/$E21))*Assumptions!$B$71*(1+Assumptions!$B$68*(Archetypes!$D$14-1))) + (Assumptions!$B$69*Archetypes!$D$34*(IF($E21=0,0,AI21/$E21))*Assumptions!$B$72*POWER(Assumptions!$B$70,Archetypes!$D$18-1))</f>
        <v>20774.800648960005</v>
      </c>
      <c r="AQ21" s="21">
        <f t="shared" si="7"/>
        <v>777.78639337431014</v>
      </c>
    </row>
    <row r="22" spans="1:43" x14ac:dyDescent="0.25">
      <c r="A22" s="20">
        <v>18</v>
      </c>
      <c r="B22" s="20">
        <f t="shared" si="0"/>
        <v>1</v>
      </c>
      <c r="C22" s="20">
        <f t="shared" si="1"/>
        <v>18</v>
      </c>
      <c r="D22" s="6">
        <f>IF(C22&lt;Assumptions!$B$10,1,0)</f>
        <v>0</v>
      </c>
      <c r="E22" s="6">
        <v>1</v>
      </c>
      <c r="F22" s="21">
        <f t="shared" si="8"/>
        <v>-15</v>
      </c>
      <c r="G22" s="21">
        <f>MAX(Assumptions!$B$21,F22+H22)</f>
        <v>-15</v>
      </c>
      <c r="H22" s="21">
        <f>((L22*(Assumptions!$B$22+((Assumptions!$B$23-Assumptions!$B$22)*IF(I22&gt;0,K22/I22,0)))*(1+Assumptions!$B$60*(Archetypes!$B$13-1)))+IF(L22&gt;I22,I22*Assumptions!$B$24,0)-IF(IF(I22&gt;0,M22/I22,1)&lt;Assumptions!$B$61,((M22*(Assumptions!$B$27*(1+Assumptions!$B$28*(Archetypes!$B$14-1))/(1+Assumptions!$B$29*(Archetypes!$B$12-1))))+(((I22*Archetypes!$B$17*IF(I22&gt;0,M22/I22,1)*Archetypes!$B$31)/100)*Assumptions!$B$30))*Assumptions!$B$62,((M22*(Assumptions!$B$27*(1+Assumptions!$B$28*(Archetypes!$B$14-1))/(1+Assumptions!$B$29*(Archetypes!$B$12-1))))+(((I22*Archetypes!$B$17*IF(I22&gt;0,M22/I22,1)*Archetypes!$B$31)/100)*Assumptions!$B$30)))-(Assumptions!$B$25*Assumptions!$B$26*E22))*E22</f>
        <v>-2.8381702909090891</v>
      </c>
      <c r="I22" s="21">
        <f>(Archetypes!$B$11*(IF(F22&lt;0,1+Assumptions!$B$32*MIN(1,ABS(F22)/ABS(Assumptions!$B$21)),MAX(0.1,1-Assumptions!$B$31*(F22/50)))))*$E22</f>
        <v>14</v>
      </c>
      <c r="J22" s="26">
        <f>Archetypes!$B$30</f>
        <v>2.1999999999999999E-2</v>
      </c>
      <c r="K22" s="21">
        <f t="shared" si="2"/>
        <v>0.308</v>
      </c>
      <c r="L22" s="21">
        <f>((I22-K22)*Archetypes!$B$15)+(K22*Archetypes!$B$15*Archetypes!$B$22)</f>
        <v>1.4061600000000003</v>
      </c>
      <c r="M22" s="21">
        <f>I22*Archetypes!$B$16</f>
        <v>10.5</v>
      </c>
      <c r="N22" s="21">
        <f>(IF(F22&lt;0,Assumptions!$B$8,IF(F22&lt;10,Assumptions!$B$34,IF(F22&lt;25,Assumptions!$B$35,Assumptions!$B$36))))*((((Archetypes!$B$5*Assumptions!$B$4+Archetypes!$B$6*Assumptions!$B$5)*60))+(Assumptions!$B$6*(((Archetypes!$B$11*(IF(F22&lt;0,1+Assumptions!$B$32*MIN(1,ABS(F22)/ABS(Assumptions!$B$21)),MAX(0.1,1-Assumptions!$B$31*(F22/50)))))-((Archetypes!$B$11*(IF(F22&lt;0,1+Assumptions!$B$32*MIN(1,ABS(F22)/ABS(Assumptions!$B$21)),MAX(0.1,1-Assumptions!$B$31*(F22/50)))))*J22)*Archetypes!$B$20)+((Archetypes!$B$11*(IF(F22&lt;0,1+Assumptions!$B$32*MIN(1,ABS(F22)/ABS(Assumptions!$B$21)),MAX(0.1,1-Assumptions!$B$31*(F22/50)))))*J22*Archetypes!$B$20*Archetypes!$B$21)*Assumptions!$B$18)*(IF($D22=1,1,Assumptions!$B$7)))+(((((Archetypes!$B$11*(IF(F22&lt;0,1+Assumptions!$B$32*MIN(1,ABS(F22)/ABS(Assumptions!$B$21)),MAX(0.1,1-Assumptions!$B$31*(F22/50)))))-((Archetypes!$B$11*(IF(F22&lt;0,1+Assumptions!$B$32*MIN(1,ABS(F22)/ABS(Assumptions!$B$21)),MAX(0.1,1-Assumptions!$B$31*(F22/50)))))*J22)*Archetypes!$B$15)*(Archetypes!$B$13*IF(F22&lt;0,1-Assumptions!$B$33*MIN(1,ABS(F22)/ABS(Assumptions!$B$21)),1))*5)+(((Archetypes!$B$11*(IF(F22&lt;0,1+Assumptions!$B$32*MIN(1,ABS(F22)/ABS(Assumptions!$B$21)),MAX(0.1,1-Assumptions!$B$31*(F22/50)))))*J22*Archetypes!$B$15*Archetypes!$B$22)*(Archetypes!$B$13*IF(F22&lt;0,1-Assumptions!$B$33*MIN(1,ABS(F22)/ABS(Assumptions!$B$21)),1))*5*Assumptions!$B$18))*IF(F22&lt;0,Assumptions!$B$9,1)))*$E22</f>
        <v>484.478544</v>
      </c>
      <c r="O22" s="21">
        <f>(O21)+(N22)-(MAX(0,((O21)+(N22)-(P22)))*(IF(Archetypes!$B$27="",Assumptions!$B$11,Archetypes!$B$27)))</f>
        <v>4526.6329193906349</v>
      </c>
      <c r="P22" s="21">
        <f>Archetypes!$B$36 + (Assumptions!$B$67*(IF($E22=0,0,I22/$E22))*Assumptions!$B$71*(1+Assumptions!$B$68*(Archetypes!$B$14-1))) + (Assumptions!$B$69*Archetypes!$B$34*(IF($E22=0,0,I22/$E22))*Assumptions!$B$72*POWER(Assumptions!$B$70,Archetypes!$B$18-1))</f>
        <v>2668.56</v>
      </c>
      <c r="Q22" s="21">
        <f t="shared" si="3"/>
        <v>1858.072919390635</v>
      </c>
      <c r="S22" s="21">
        <f t="shared" si="9"/>
        <v>52.595931254162707</v>
      </c>
      <c r="T22" s="21">
        <f>MAX(Assumptions!$B$21,S22+U22)</f>
        <v>54.097953044905935</v>
      </c>
      <c r="U22" s="21">
        <f>((Y22*(Assumptions!$B$22+((Assumptions!$B$23-Assumptions!$B$22)*IF(V22&gt;0,X22/V22,0)))*(1+Assumptions!$B$60*(Archetypes!$C$13-1)))+IF(Y22&gt;V22,V22*Assumptions!$B$24,0)-IF(IF(V22&gt;0,Z22/V22,1)&lt;Assumptions!$B$61,((Z22*(Assumptions!$B$27*(1+Assumptions!$B$28*(Archetypes!$C$14-1))/(1+Assumptions!$B$29*(Archetypes!$C$12-1))))+(((V22*Archetypes!$C$17*IF(V22&gt;0,Z22/V22,1)*Archetypes!$C$31)/100)*Assumptions!$B$30))*Assumptions!$B$62,((Z22*(Assumptions!$B$27*(1+Assumptions!$B$28*(Archetypes!$C$14-1))/(1+Assumptions!$B$29*(Archetypes!$C$12-1))))+(((V22*Archetypes!$C$17*IF(V22&gt;0,Z22/V22,1)*Archetypes!$C$31)/100)*Assumptions!$B$30)))-(Assumptions!$B$25*Assumptions!$B$26*E22))*E22</f>
        <v>1.5020217907432272</v>
      </c>
      <c r="V22" s="21">
        <f>(Archetypes!$C$11*(IF(S22&lt;0,1+Assumptions!$B$32*MIN(1,ABS(S22)/ABS(Assumptions!$B$21)),MAX(0.1,1-Assumptions!$B$31*(S22/50)))))*$E22</f>
        <v>2.2130929497002851</v>
      </c>
      <c r="W22" s="26">
        <f>Archetypes!$C$30</f>
        <v>3.7999999999999999E-2</v>
      </c>
      <c r="X22" s="21">
        <f t="shared" si="4"/>
        <v>8.409753208861083E-2</v>
      </c>
      <c r="Y22" s="21">
        <f>((V22-X22)*Archetypes!$C$15)+(X22*Archetypes!$C$15*Archetypes!$C$22)</f>
        <v>1.1191611046634342</v>
      </c>
      <c r="Z22" s="21">
        <f>V22*Archetypes!$C$16</f>
        <v>0.99589182736512838</v>
      </c>
      <c r="AA22" s="21">
        <f>(IF(S22&lt;0,Assumptions!$B$8,IF(S22&lt;10,Assumptions!$B$34,IF(S22&lt;25,Assumptions!$B$35,Assumptions!$B$36))))*((((Archetypes!$C$5*Assumptions!$B$4+Archetypes!$C$6*Assumptions!$B$5)*60))+(Assumptions!$B$6*(((Archetypes!$C$11*(IF(S22&lt;0,1+Assumptions!$B$32*MIN(1,ABS(S22)/ABS(Assumptions!$B$21)),MAX(0.1,1-Assumptions!$B$31*(S22/50)))))-((Archetypes!$C$11*(IF(S22&lt;0,1+Assumptions!$B$32*MIN(1,ABS(S22)/ABS(Assumptions!$B$21)),MAX(0.1,1-Assumptions!$B$31*(S22/50)))))*W22)*Archetypes!$C$20)+((Archetypes!$C$11*(IF(S22&lt;0,1+Assumptions!$B$32*MIN(1,ABS(S22)/ABS(Assumptions!$B$21)),MAX(0.1,1-Assumptions!$B$31*(S22/50)))))*W22*Archetypes!$C$20*Archetypes!$C$21)*Assumptions!$B$18)*(IF($D22=1,1,Assumptions!$B$7)))+(((((Archetypes!$C$11*(IF(S22&lt;0,1+Assumptions!$B$32*MIN(1,ABS(S22)/ABS(Assumptions!$B$21)),MAX(0.1,1-Assumptions!$B$31*(S22/50)))))-((Archetypes!$C$11*(IF(S22&lt;0,1+Assumptions!$B$32*MIN(1,ABS(S22)/ABS(Assumptions!$B$21)),MAX(0.1,1-Assumptions!$B$31*(S22/50)))))*W22)*Archetypes!$C$15)*(Archetypes!$C$13*IF(S22&lt;0,1-Assumptions!$B$33*MIN(1,ABS(S22)/ABS(Assumptions!$B$21)),1))*5)+(((Archetypes!$C$11*(IF(S22&lt;0,1+Assumptions!$B$32*MIN(1,ABS(S22)/ABS(Assumptions!$B$21)),MAX(0.1,1-Assumptions!$B$31*(S22/50)))))*W22*Archetypes!$C$15*Archetypes!$C$22)*(Archetypes!$C$13*IF(S22&lt;0,1-Assumptions!$B$33*MIN(1,ABS(S22)/ABS(Assumptions!$B$21)),1))*5*Assumptions!$B$18))*IF(S22&lt;0,Assumptions!$B$9,1)))*$E22</f>
        <v>707.3185612637659</v>
      </c>
      <c r="AB22" s="21">
        <f>(AB21)+(AA22)-(MAX(0,((AB21)+(AA22)-(AC22)))*(IF(Archetypes!$C$27="",Assumptions!$B$11,Archetypes!$C$27)))</f>
        <v>11363.332413856484</v>
      </c>
      <c r="AC22" s="21">
        <f>Archetypes!$C$36 + (Assumptions!$B$67*(IF($E22=0,0,V22/$E22))*Assumptions!$B$71*(1+Assumptions!$B$68*(Archetypes!$C$14-1))) + (Assumptions!$B$69*Archetypes!$C$34*(IF($E22=0,0,V22/$E22))*Assumptions!$B$72*POWER(Assumptions!$B$70,Archetypes!$C$18-1))</f>
        <v>9253.5383654730285</v>
      </c>
      <c r="AD22" s="21">
        <f t="shared" si="5"/>
        <v>2109.7940483834554</v>
      </c>
      <c r="AF22" s="21">
        <f t="shared" si="10"/>
        <v>76.475239087366759</v>
      </c>
      <c r="AG22" s="21">
        <f>MAX(Assumptions!$B$21,AF22+AH22)</f>
        <v>77.388563571938192</v>
      </c>
      <c r="AH22" s="21">
        <f>((AL22*(Assumptions!$B$22+((Assumptions!$B$23-Assumptions!$B$22)*IF(AI22&gt;0,AK22/AI22,0)))*(1+Assumptions!$B$60*(Archetypes!$D$13-1)))+IF(AL22&gt;AI22,AI22*Assumptions!$B$24,0)-IF(IF(AI22&gt;0,AM22/AI22,1)&lt;Assumptions!$B$61,((AM22*(Assumptions!$B$27*(1+Assumptions!$B$28*(Archetypes!$D$14-1))/(1+Assumptions!$B$29*(Archetypes!$D$12-1))))+(((AI22*Archetypes!$D$17*IF(AI22&gt;0,AM22/AI22,1)*Archetypes!$D$31)/100)*Assumptions!$B$30))*Assumptions!$B$62,((AM22*(Assumptions!$B$27*(1+Assumptions!$B$28*(Archetypes!$D$14-1))/(1+Assumptions!$B$29*(Archetypes!$D$12-1))))+(((AI22*Archetypes!$D$17*IF(AI22&gt;0,AM22/AI22,1)*Archetypes!$D$31)/100)*Assumptions!$B$30)))-(Assumptions!$B$25*Assumptions!$B$26*E22))*E22</f>
        <v>0.9133244845714289</v>
      </c>
      <c r="AI22" s="21">
        <f>(Archetypes!$D$11*(IF(AF22&lt;0,1+Assumptions!$B$32*MIN(1,ABS(AF22)/ABS(Assumptions!$B$21)),MAX(0.1,1-Assumptions!$B$31*(AF22/50)))))*$E22</f>
        <v>0.30000000000000004</v>
      </c>
      <c r="AJ22" s="26">
        <f>Archetypes!$D$30</f>
        <v>0.10400000000000001</v>
      </c>
      <c r="AK22" s="21">
        <f t="shared" si="6"/>
        <v>3.1200000000000009E-2</v>
      </c>
      <c r="AL22" s="21">
        <f>((AI22-AK22)*Archetypes!$D$15)+(AK22*Archetypes!$D$15*Archetypes!$D$22)</f>
        <v>0.46872000000000008</v>
      </c>
      <c r="AM22" s="21">
        <f>AI22*Archetypes!$D$16</f>
        <v>6.0000000000000012E-2</v>
      </c>
      <c r="AN22" s="21">
        <f>(IF(AF22&lt;0,Assumptions!$B$8,IF(AF22&lt;10,Assumptions!$B$34,IF(AF22&lt;25,Assumptions!$B$35,Assumptions!$B$36))))*((((Archetypes!$D$5*Assumptions!$B$4+Archetypes!$D$6*Assumptions!$B$5)*60))+(Assumptions!$B$6*(((Archetypes!$D$11*(IF(AF22&lt;0,1+Assumptions!$B$32*MIN(1,ABS(AF22)/ABS(Assumptions!$B$21)),MAX(0.1,1-Assumptions!$B$31*(AF22/50)))))-((Archetypes!$D$11*(IF(AF22&lt;0,1+Assumptions!$B$32*MIN(1,ABS(AF22)/ABS(Assumptions!$B$21)),MAX(0.1,1-Assumptions!$B$31*(AF22/50)))))*AJ22)*Archetypes!$D$20)+((Archetypes!$D$11*(IF(AF22&lt;0,1+Assumptions!$B$32*MIN(1,ABS(AF22)/ABS(Assumptions!$B$21)),MAX(0.1,1-Assumptions!$B$31*(AF22/50)))))*AJ22*Archetypes!$D$20*Archetypes!$D$21)*Assumptions!$B$18)*(IF($D22=1,1,Assumptions!$B$7)))+(((((Archetypes!$D$11*(IF(AF22&lt;0,1+Assumptions!$B$32*MIN(1,ABS(AF22)/ABS(Assumptions!$B$21)),MAX(0.1,1-Assumptions!$B$31*(AF22/50)))))-((Archetypes!$D$11*(IF(AF22&lt;0,1+Assumptions!$B$32*MIN(1,ABS(AF22)/ABS(Assumptions!$B$21)),MAX(0.1,1-Assumptions!$B$31*(AF22/50)))))*AJ22)*Archetypes!$D$15)*(Archetypes!$D$13*IF(AF22&lt;0,1-Assumptions!$B$33*MIN(1,ABS(AF22)/ABS(Assumptions!$B$21)),1))*5)+(((Archetypes!$D$11*(IF(AF22&lt;0,1+Assumptions!$B$32*MIN(1,ABS(AF22)/ABS(Assumptions!$B$21)),MAX(0.1,1-Assumptions!$B$31*(AF22/50)))))*AJ22*Archetypes!$D$15*Archetypes!$D$22)*(Archetypes!$D$13*IF(AF22&lt;0,1-Assumptions!$B$33*MIN(1,ABS(AF22)/ABS(Assumptions!$B$21)),1))*5*Assumptions!$B$18))*IF(AF22&lt;0,Assumptions!$B$9,1)))*$E22</f>
        <v>939.63674999999989</v>
      </c>
      <c r="AO22" s="21">
        <f>(AO21)+(AN22)-(MAX(0,((AO21)+(AN22)-(AP22)))*(IF(Archetypes!$D$27="",Assumptions!$B$11,Archetypes!$D$27)))</f>
        <v>21976.996849322022</v>
      </c>
      <c r="AP22" s="21">
        <f>Archetypes!$D$36 + (Assumptions!$B$67*(IF($E22=0,0,AI22/$E22))*Assumptions!$B$71*(1+Assumptions!$B$68*(Archetypes!$D$14-1))) + (Assumptions!$B$69*Archetypes!$D$34*(IF($E22=0,0,AI22/$E22))*Assumptions!$B$72*POWER(Assumptions!$B$70,Archetypes!$D$18-1))</f>
        <v>20774.800648960005</v>
      </c>
      <c r="AQ22" s="21">
        <f t="shared" si="7"/>
        <v>1202.1962003620174</v>
      </c>
    </row>
    <row r="23" spans="1:43" x14ac:dyDescent="0.25">
      <c r="A23" s="20">
        <v>19</v>
      </c>
      <c r="B23" s="20">
        <f t="shared" si="0"/>
        <v>1</v>
      </c>
      <c r="C23" s="20">
        <f t="shared" si="1"/>
        <v>19</v>
      </c>
      <c r="D23" s="6">
        <f>IF(C23&lt;Assumptions!$B$10,1,0)</f>
        <v>0</v>
      </c>
      <c r="E23" s="6">
        <v>1</v>
      </c>
      <c r="F23" s="21">
        <f t="shared" si="8"/>
        <v>-15</v>
      </c>
      <c r="G23" s="21">
        <f>MAX(Assumptions!$B$21,F23+H23)</f>
        <v>-15</v>
      </c>
      <c r="H23" s="21">
        <f>((L23*(Assumptions!$B$22+((Assumptions!$B$23-Assumptions!$B$22)*IF(I23&gt;0,K23/I23,0)))*(1+Assumptions!$B$60*(Archetypes!$B$13-1)))+IF(L23&gt;I23,I23*Assumptions!$B$24,0)-IF(IF(I23&gt;0,M23/I23,1)&lt;Assumptions!$B$61,((M23*(Assumptions!$B$27*(1+Assumptions!$B$28*(Archetypes!$B$14-1))/(1+Assumptions!$B$29*(Archetypes!$B$12-1))))+(((I23*Archetypes!$B$17*IF(I23&gt;0,M23/I23,1)*Archetypes!$B$31)/100)*Assumptions!$B$30))*Assumptions!$B$62,((M23*(Assumptions!$B$27*(1+Assumptions!$B$28*(Archetypes!$B$14-1))/(1+Assumptions!$B$29*(Archetypes!$B$12-1))))+(((I23*Archetypes!$B$17*IF(I23&gt;0,M23/I23,1)*Archetypes!$B$31)/100)*Assumptions!$B$30)))-(Assumptions!$B$25*Assumptions!$B$26*E23))*E23</f>
        <v>-2.8381702909090891</v>
      </c>
      <c r="I23" s="21">
        <f>(Archetypes!$B$11*(IF(F23&lt;0,1+Assumptions!$B$32*MIN(1,ABS(F23)/ABS(Assumptions!$B$21)),MAX(0.1,1-Assumptions!$B$31*(F23/50)))))*$E23</f>
        <v>14</v>
      </c>
      <c r="J23" s="26">
        <f>Archetypes!$B$30</f>
        <v>2.1999999999999999E-2</v>
      </c>
      <c r="K23" s="21">
        <f t="shared" si="2"/>
        <v>0.308</v>
      </c>
      <c r="L23" s="21">
        <f>((I23-K23)*Archetypes!$B$15)+(K23*Archetypes!$B$15*Archetypes!$B$22)</f>
        <v>1.4061600000000003</v>
      </c>
      <c r="M23" s="21">
        <f>I23*Archetypes!$B$16</f>
        <v>10.5</v>
      </c>
      <c r="N23" s="21">
        <f>(IF(F23&lt;0,Assumptions!$B$8,IF(F23&lt;10,Assumptions!$B$34,IF(F23&lt;25,Assumptions!$B$35,Assumptions!$B$36))))*((((Archetypes!$B$5*Assumptions!$B$4+Archetypes!$B$6*Assumptions!$B$5)*60))+(Assumptions!$B$6*(((Archetypes!$B$11*(IF(F23&lt;0,1+Assumptions!$B$32*MIN(1,ABS(F23)/ABS(Assumptions!$B$21)),MAX(0.1,1-Assumptions!$B$31*(F23/50)))))-((Archetypes!$B$11*(IF(F23&lt;0,1+Assumptions!$B$32*MIN(1,ABS(F23)/ABS(Assumptions!$B$21)),MAX(0.1,1-Assumptions!$B$31*(F23/50)))))*J23)*Archetypes!$B$20)+((Archetypes!$B$11*(IF(F23&lt;0,1+Assumptions!$B$32*MIN(1,ABS(F23)/ABS(Assumptions!$B$21)),MAX(0.1,1-Assumptions!$B$31*(F23/50)))))*J23*Archetypes!$B$20*Archetypes!$B$21)*Assumptions!$B$18)*(IF($D23=1,1,Assumptions!$B$7)))+(((((Archetypes!$B$11*(IF(F23&lt;0,1+Assumptions!$B$32*MIN(1,ABS(F23)/ABS(Assumptions!$B$21)),MAX(0.1,1-Assumptions!$B$31*(F23/50)))))-((Archetypes!$B$11*(IF(F23&lt;0,1+Assumptions!$B$32*MIN(1,ABS(F23)/ABS(Assumptions!$B$21)),MAX(0.1,1-Assumptions!$B$31*(F23/50)))))*J23)*Archetypes!$B$15)*(Archetypes!$B$13*IF(F23&lt;0,1-Assumptions!$B$33*MIN(1,ABS(F23)/ABS(Assumptions!$B$21)),1))*5)+(((Archetypes!$B$11*(IF(F23&lt;0,1+Assumptions!$B$32*MIN(1,ABS(F23)/ABS(Assumptions!$B$21)),MAX(0.1,1-Assumptions!$B$31*(F23/50)))))*J23*Archetypes!$B$15*Archetypes!$B$22)*(Archetypes!$B$13*IF(F23&lt;0,1-Assumptions!$B$33*MIN(1,ABS(F23)/ABS(Assumptions!$B$21)),1))*5*Assumptions!$B$18))*IF(F23&lt;0,Assumptions!$B$9,1)))*$E23</f>
        <v>484.478544</v>
      </c>
      <c r="O23" s="21">
        <f>(O22)+(N23)-(MAX(0,((O22)+(N23)-(P23)))*(IF(Archetypes!$B$27="",Assumptions!$B$11,Archetypes!$B$27)))</f>
        <v>4542.6011707125072</v>
      </c>
      <c r="P23" s="21">
        <f>Archetypes!$B$36 + (Assumptions!$B$67*(IF($E23=0,0,I23/$E23))*Assumptions!$B$71*(1+Assumptions!$B$68*(Archetypes!$B$14-1))) + (Assumptions!$B$69*Archetypes!$B$34*(IF($E23=0,0,I23/$E23))*Assumptions!$B$72*POWER(Assumptions!$B$70,Archetypes!$B$18-1))</f>
        <v>2668.56</v>
      </c>
      <c r="Q23" s="21">
        <f t="shared" si="3"/>
        <v>1874.0411707125072</v>
      </c>
      <c r="S23" s="21">
        <f t="shared" si="9"/>
        <v>54.097953044905935</v>
      </c>
      <c r="T23" s="21">
        <f>MAX(Assumptions!$B$21,S23+U23)</f>
        <v>55.519246714186991</v>
      </c>
      <c r="U23" s="21">
        <f>((Y23*(Assumptions!$B$22+((Assumptions!$B$23-Assumptions!$B$22)*IF(V23&gt;0,X23/V23,0)))*(1+Assumptions!$B$60*(Archetypes!$C$13-1)))+IF(Y23&gt;V23,V23*Assumptions!$B$24,0)-IF(IF(V23&gt;0,Z23/V23,1)&lt;Assumptions!$B$61,((Z23*(Assumptions!$B$27*(1+Assumptions!$B$28*(Archetypes!$C$14-1))/(1+Assumptions!$B$29*(Archetypes!$C$12-1))))+(((V23*Archetypes!$C$17*IF(V23&gt;0,Z23/V23,1)*Archetypes!$C$31)/100)*Assumptions!$B$30))*Assumptions!$B$62,((Z23*(Assumptions!$B$27*(1+Assumptions!$B$28*(Archetypes!$C$14-1))/(1+Assumptions!$B$29*(Archetypes!$C$12-1))))+(((V23*Archetypes!$C$17*IF(V23&gt;0,Z23/V23,1)*Archetypes!$C$31)/100)*Assumptions!$B$30)))-(Assumptions!$B$25*Assumptions!$B$26*E23))*E23</f>
        <v>1.4212936692810529</v>
      </c>
      <c r="V23" s="21">
        <f>(Archetypes!$C$11*(IF(S23&lt;0,1+Assumptions!$B$32*MIN(1,ABS(S23)/ABS(Assumptions!$B$21)),MAX(0.1,1-Assumptions!$B$31*(S23/50)))))*$E23</f>
        <v>2.1049473807667729</v>
      </c>
      <c r="W23" s="26">
        <f>Archetypes!$C$30</f>
        <v>3.7999999999999999E-2</v>
      </c>
      <c r="X23" s="21">
        <f t="shared" si="4"/>
        <v>7.9988000469137371E-2</v>
      </c>
      <c r="Y23" s="21">
        <f>((V23-X23)*Archetypes!$C$15)+(X23*Archetypes!$C$15*Archetypes!$C$22)</f>
        <v>1.0644718904537571</v>
      </c>
      <c r="Z23" s="21">
        <f>V23*Archetypes!$C$16</f>
        <v>0.94722632134504781</v>
      </c>
      <c r="AA23" s="21">
        <f>(IF(S23&lt;0,Assumptions!$B$8,IF(S23&lt;10,Assumptions!$B$34,IF(S23&lt;25,Assumptions!$B$35,Assumptions!$B$36))))*((((Archetypes!$C$5*Assumptions!$B$4+Archetypes!$C$6*Assumptions!$B$5)*60))+(Assumptions!$B$6*(((Archetypes!$C$11*(IF(S23&lt;0,1+Assumptions!$B$32*MIN(1,ABS(S23)/ABS(Assumptions!$B$21)),MAX(0.1,1-Assumptions!$B$31*(S23/50)))))-((Archetypes!$C$11*(IF(S23&lt;0,1+Assumptions!$B$32*MIN(1,ABS(S23)/ABS(Assumptions!$B$21)),MAX(0.1,1-Assumptions!$B$31*(S23/50)))))*W23)*Archetypes!$C$20)+((Archetypes!$C$11*(IF(S23&lt;0,1+Assumptions!$B$32*MIN(1,ABS(S23)/ABS(Assumptions!$B$21)),MAX(0.1,1-Assumptions!$B$31*(S23/50)))))*W23*Archetypes!$C$20*Archetypes!$C$21)*Assumptions!$B$18)*(IF($D23=1,1,Assumptions!$B$7)))+(((((Archetypes!$C$11*(IF(S23&lt;0,1+Assumptions!$B$32*MIN(1,ABS(S23)/ABS(Assumptions!$B$21)),MAX(0.1,1-Assumptions!$B$31*(S23/50)))))-((Archetypes!$C$11*(IF(S23&lt;0,1+Assumptions!$B$32*MIN(1,ABS(S23)/ABS(Assumptions!$B$21)),MAX(0.1,1-Assumptions!$B$31*(S23/50)))))*W23)*Archetypes!$C$15)*(Archetypes!$C$13*IF(S23&lt;0,1-Assumptions!$B$33*MIN(1,ABS(S23)/ABS(Assumptions!$B$21)),1))*5)+(((Archetypes!$C$11*(IF(S23&lt;0,1+Assumptions!$B$32*MIN(1,ABS(S23)/ABS(Assumptions!$B$21)),MAX(0.1,1-Assumptions!$B$31*(S23/50)))))*W23*Archetypes!$C$15*Archetypes!$C$22)*(Archetypes!$C$13*IF(S23&lt;0,1-Assumptions!$B$33*MIN(1,ABS(S23)/ABS(Assumptions!$B$21)),1))*5*Assumptions!$B$18))*IF(S23&lt;0,Assumptions!$B$9,1)))*$E23</f>
        <v>698.92243128480413</v>
      </c>
      <c r="AB23" s="21">
        <f>(AB22)+(AA23)-(MAX(0,((AB22)+(AA23)-(AC23)))*(IF(Archetypes!$C$27="",Assumptions!$B$11,Archetypes!$C$27)))</f>
        <v>11357.64244992322</v>
      </c>
      <c r="AC23" s="21">
        <f>Archetypes!$C$36 + (Assumptions!$B$67*(IF($E23=0,0,V23/$E23))*Assumptions!$B$71*(1+Assumptions!$B$68*(Archetypes!$C$14-1))) + (Assumptions!$B$69*Archetypes!$C$34*(IF($E23=0,0,V23/$E23))*Assumptions!$B$72*POWER(Assumptions!$B$70,Archetypes!$C$18-1))</f>
        <v>9243.8052642690127</v>
      </c>
      <c r="AD23" s="21">
        <f t="shared" si="5"/>
        <v>2113.8371856542071</v>
      </c>
      <c r="AF23" s="21">
        <f t="shared" si="10"/>
        <v>77.388563571938192</v>
      </c>
      <c r="AG23" s="21">
        <f>MAX(Assumptions!$B$21,AF23+AH23)</f>
        <v>78.301888056509625</v>
      </c>
      <c r="AH23" s="21">
        <f>((AL23*(Assumptions!$B$22+((Assumptions!$B$23-Assumptions!$B$22)*IF(AI23&gt;0,AK23/AI23,0)))*(1+Assumptions!$B$60*(Archetypes!$D$13-1)))+IF(AL23&gt;AI23,AI23*Assumptions!$B$24,0)-IF(IF(AI23&gt;0,AM23/AI23,1)&lt;Assumptions!$B$61,((AM23*(Assumptions!$B$27*(1+Assumptions!$B$28*(Archetypes!$D$14-1))/(1+Assumptions!$B$29*(Archetypes!$D$12-1))))+(((AI23*Archetypes!$D$17*IF(AI23&gt;0,AM23/AI23,1)*Archetypes!$D$31)/100)*Assumptions!$B$30))*Assumptions!$B$62,((AM23*(Assumptions!$B$27*(1+Assumptions!$B$28*(Archetypes!$D$14-1))/(1+Assumptions!$B$29*(Archetypes!$D$12-1))))+(((AI23*Archetypes!$D$17*IF(AI23&gt;0,AM23/AI23,1)*Archetypes!$D$31)/100)*Assumptions!$B$30)))-(Assumptions!$B$25*Assumptions!$B$26*E23))*E23</f>
        <v>0.9133244845714289</v>
      </c>
      <c r="AI23" s="21">
        <f>(Archetypes!$D$11*(IF(AF23&lt;0,1+Assumptions!$B$32*MIN(1,ABS(AF23)/ABS(Assumptions!$B$21)),MAX(0.1,1-Assumptions!$B$31*(AF23/50)))))*$E23</f>
        <v>0.30000000000000004</v>
      </c>
      <c r="AJ23" s="26">
        <f>Archetypes!$D$30</f>
        <v>0.10400000000000001</v>
      </c>
      <c r="AK23" s="21">
        <f t="shared" si="6"/>
        <v>3.1200000000000009E-2</v>
      </c>
      <c r="AL23" s="21">
        <f>((AI23-AK23)*Archetypes!$D$15)+(AK23*Archetypes!$D$15*Archetypes!$D$22)</f>
        <v>0.46872000000000008</v>
      </c>
      <c r="AM23" s="21">
        <f>AI23*Archetypes!$D$16</f>
        <v>6.0000000000000012E-2</v>
      </c>
      <c r="AN23" s="21">
        <f>(IF(AF23&lt;0,Assumptions!$B$8,IF(AF23&lt;10,Assumptions!$B$34,IF(AF23&lt;25,Assumptions!$B$35,Assumptions!$B$36))))*((((Archetypes!$D$5*Assumptions!$B$4+Archetypes!$D$6*Assumptions!$B$5)*60))+(Assumptions!$B$6*(((Archetypes!$D$11*(IF(AF23&lt;0,1+Assumptions!$B$32*MIN(1,ABS(AF23)/ABS(Assumptions!$B$21)),MAX(0.1,1-Assumptions!$B$31*(AF23/50)))))-((Archetypes!$D$11*(IF(AF23&lt;0,1+Assumptions!$B$32*MIN(1,ABS(AF23)/ABS(Assumptions!$B$21)),MAX(0.1,1-Assumptions!$B$31*(AF23/50)))))*AJ23)*Archetypes!$D$20)+((Archetypes!$D$11*(IF(AF23&lt;0,1+Assumptions!$B$32*MIN(1,ABS(AF23)/ABS(Assumptions!$B$21)),MAX(0.1,1-Assumptions!$B$31*(AF23/50)))))*AJ23*Archetypes!$D$20*Archetypes!$D$21)*Assumptions!$B$18)*(IF($D23=1,1,Assumptions!$B$7)))+(((((Archetypes!$D$11*(IF(AF23&lt;0,1+Assumptions!$B$32*MIN(1,ABS(AF23)/ABS(Assumptions!$B$21)),MAX(0.1,1-Assumptions!$B$31*(AF23/50)))))-((Archetypes!$D$11*(IF(AF23&lt;0,1+Assumptions!$B$32*MIN(1,ABS(AF23)/ABS(Assumptions!$B$21)),MAX(0.1,1-Assumptions!$B$31*(AF23/50)))))*AJ23)*Archetypes!$D$15)*(Archetypes!$D$13*IF(AF23&lt;0,1-Assumptions!$B$33*MIN(1,ABS(AF23)/ABS(Assumptions!$B$21)),1))*5)+(((Archetypes!$D$11*(IF(AF23&lt;0,1+Assumptions!$B$32*MIN(1,ABS(AF23)/ABS(Assumptions!$B$21)),MAX(0.1,1-Assumptions!$B$31*(AF23/50)))))*AJ23*Archetypes!$D$15*Archetypes!$D$22)*(Archetypes!$D$13*IF(AF23&lt;0,1-Assumptions!$B$33*MIN(1,ABS(AF23)/ABS(Assumptions!$B$21)),1))*5*Assumptions!$B$18))*IF(AF23&lt;0,Assumptions!$B$9,1)))*$E23</f>
        <v>939.63674999999989</v>
      </c>
      <c r="AO23" s="21">
        <f>(AO22)+(AN23)-(MAX(0,((AO22)+(AN23)-(AP23)))*(IF(Archetypes!$D$27="",Assumptions!$B$11,Archetypes!$D$27)))</f>
        <v>22274.083714213419</v>
      </c>
      <c r="AP23" s="21">
        <f>Archetypes!$D$36 + (Assumptions!$B$67*(IF($E23=0,0,AI23/$E23))*Assumptions!$B$71*(1+Assumptions!$B$68*(Archetypes!$D$14-1))) + (Assumptions!$B$69*Archetypes!$D$34*(IF($E23=0,0,AI23/$E23))*Assumptions!$B$72*POWER(Assumptions!$B$70,Archetypes!$D$18-1))</f>
        <v>20774.800648960005</v>
      </c>
      <c r="AQ23" s="21">
        <f t="shared" si="7"/>
        <v>1499.283065253414</v>
      </c>
    </row>
    <row r="24" spans="1:43" x14ac:dyDescent="0.25">
      <c r="A24" s="20">
        <v>20</v>
      </c>
      <c r="B24" s="20">
        <f t="shared" si="0"/>
        <v>1</v>
      </c>
      <c r="C24" s="20">
        <f t="shared" si="1"/>
        <v>20</v>
      </c>
      <c r="D24" s="6">
        <f>IF(C24&lt;Assumptions!$B$10,1,0)</f>
        <v>0</v>
      </c>
      <c r="E24" s="6">
        <v>1</v>
      </c>
      <c r="F24" s="21">
        <f t="shared" si="8"/>
        <v>-15</v>
      </c>
      <c r="G24" s="21">
        <f>MAX(Assumptions!$B$21,F24+H24)</f>
        <v>-15</v>
      </c>
      <c r="H24" s="21">
        <f>((L24*(Assumptions!$B$22+((Assumptions!$B$23-Assumptions!$B$22)*IF(I24&gt;0,K24/I24,0)))*(1+Assumptions!$B$60*(Archetypes!$B$13-1)))+IF(L24&gt;I24,I24*Assumptions!$B$24,0)-IF(IF(I24&gt;0,M24/I24,1)&lt;Assumptions!$B$61,((M24*(Assumptions!$B$27*(1+Assumptions!$B$28*(Archetypes!$B$14-1))/(1+Assumptions!$B$29*(Archetypes!$B$12-1))))+(((I24*Archetypes!$B$17*IF(I24&gt;0,M24/I24,1)*Archetypes!$B$31)/100)*Assumptions!$B$30))*Assumptions!$B$62,((M24*(Assumptions!$B$27*(1+Assumptions!$B$28*(Archetypes!$B$14-1))/(1+Assumptions!$B$29*(Archetypes!$B$12-1))))+(((I24*Archetypes!$B$17*IF(I24&gt;0,M24/I24,1)*Archetypes!$B$31)/100)*Assumptions!$B$30)))-(Assumptions!$B$25*Assumptions!$B$26*E24))*E24</f>
        <v>-2.8381702909090891</v>
      </c>
      <c r="I24" s="21">
        <f>(Archetypes!$B$11*(IF(F24&lt;0,1+Assumptions!$B$32*MIN(1,ABS(F24)/ABS(Assumptions!$B$21)),MAX(0.1,1-Assumptions!$B$31*(F24/50)))))*$E24</f>
        <v>14</v>
      </c>
      <c r="J24" s="26">
        <f>Archetypes!$B$30</f>
        <v>2.1999999999999999E-2</v>
      </c>
      <c r="K24" s="21">
        <f t="shared" si="2"/>
        <v>0.308</v>
      </c>
      <c r="L24" s="21">
        <f>((I24-K24)*Archetypes!$B$15)+(K24*Archetypes!$B$15*Archetypes!$B$22)</f>
        <v>1.4061600000000003</v>
      </c>
      <c r="M24" s="21">
        <f>I24*Archetypes!$B$16</f>
        <v>10.5</v>
      </c>
      <c r="N24" s="21">
        <f>(IF(F24&lt;0,Assumptions!$B$8,IF(F24&lt;10,Assumptions!$B$34,IF(F24&lt;25,Assumptions!$B$35,Assumptions!$B$36))))*((((Archetypes!$B$5*Assumptions!$B$4+Archetypes!$B$6*Assumptions!$B$5)*60))+(Assumptions!$B$6*(((Archetypes!$B$11*(IF(F24&lt;0,1+Assumptions!$B$32*MIN(1,ABS(F24)/ABS(Assumptions!$B$21)),MAX(0.1,1-Assumptions!$B$31*(F24/50)))))-((Archetypes!$B$11*(IF(F24&lt;0,1+Assumptions!$B$32*MIN(1,ABS(F24)/ABS(Assumptions!$B$21)),MAX(0.1,1-Assumptions!$B$31*(F24/50)))))*J24)*Archetypes!$B$20)+((Archetypes!$B$11*(IF(F24&lt;0,1+Assumptions!$B$32*MIN(1,ABS(F24)/ABS(Assumptions!$B$21)),MAX(0.1,1-Assumptions!$B$31*(F24/50)))))*J24*Archetypes!$B$20*Archetypes!$B$21)*Assumptions!$B$18)*(IF($D24=1,1,Assumptions!$B$7)))+(((((Archetypes!$B$11*(IF(F24&lt;0,1+Assumptions!$B$32*MIN(1,ABS(F24)/ABS(Assumptions!$B$21)),MAX(0.1,1-Assumptions!$B$31*(F24/50)))))-((Archetypes!$B$11*(IF(F24&lt;0,1+Assumptions!$B$32*MIN(1,ABS(F24)/ABS(Assumptions!$B$21)),MAX(0.1,1-Assumptions!$B$31*(F24/50)))))*J24)*Archetypes!$B$15)*(Archetypes!$B$13*IF(F24&lt;0,1-Assumptions!$B$33*MIN(1,ABS(F24)/ABS(Assumptions!$B$21)),1))*5)+(((Archetypes!$B$11*(IF(F24&lt;0,1+Assumptions!$B$32*MIN(1,ABS(F24)/ABS(Assumptions!$B$21)),MAX(0.1,1-Assumptions!$B$31*(F24/50)))))*J24*Archetypes!$B$15*Archetypes!$B$22)*(Archetypes!$B$13*IF(F24&lt;0,1-Assumptions!$B$33*MIN(1,ABS(F24)/ABS(Assumptions!$B$21)),1))*5*Assumptions!$B$18))*IF(F24&lt;0,Assumptions!$B$9,1)))*$E24</f>
        <v>484.478544</v>
      </c>
      <c r="O24" s="21">
        <f>(O23)+(N24)-(MAX(0,((O23)+(N24)-(P24)))*(IF(Archetypes!$B$27="",Assumptions!$B$11,Archetypes!$B$27)))</f>
        <v>4555.3757717700055</v>
      </c>
      <c r="P24" s="21">
        <f>Archetypes!$B$36 + (Assumptions!$B$67*(IF($E24=0,0,I24/$E24))*Assumptions!$B$71*(1+Assumptions!$B$68*(Archetypes!$B$14-1))) + (Assumptions!$B$69*Archetypes!$B$34*(IF($E24=0,0,I24/$E24))*Assumptions!$B$72*POWER(Assumptions!$B$70,Archetypes!$B$18-1))</f>
        <v>2668.56</v>
      </c>
      <c r="Q24" s="21">
        <f t="shared" si="3"/>
        <v>1886.8157717700055</v>
      </c>
      <c r="S24" s="21">
        <f t="shared" si="9"/>
        <v>55.519246714186991</v>
      </c>
      <c r="T24" s="21">
        <f>MAX(Assumptions!$B$21,S24+U24)</f>
        <v>56.864151100253743</v>
      </c>
      <c r="U24" s="21">
        <f>((Y24*(Assumptions!$B$22+((Assumptions!$B$23-Assumptions!$B$22)*IF(V24&gt;0,X24/V24,0)))*(1+Assumptions!$B$60*(Archetypes!$C$13-1)))+IF(Y24&gt;V24,V24*Assumptions!$B$24,0)-IF(IF(V24&gt;0,Z24/V24,1)&lt;Assumptions!$B$61,((Z24*(Assumptions!$B$27*(1+Assumptions!$B$28*(Archetypes!$C$14-1))/(1+Assumptions!$B$29*(Archetypes!$C$12-1))))+(((V24*Archetypes!$C$17*IF(V24&gt;0,Z24/V24,1)*Archetypes!$C$31)/100)*Assumptions!$B$30))*Assumptions!$B$62,((Z24*(Assumptions!$B$27*(1+Assumptions!$B$28*(Archetypes!$C$14-1))/(1+Assumptions!$B$29*(Archetypes!$C$12-1))))+(((V24*Archetypes!$C$17*IF(V24&gt;0,Z24/V24,1)*Archetypes!$C$31)/100)*Assumptions!$B$30)))-(Assumptions!$B$25*Assumptions!$B$26*E24))*E24</f>
        <v>1.3449043860667496</v>
      </c>
      <c r="V24" s="21">
        <f>(Archetypes!$C$11*(IF(S24&lt;0,1+Assumptions!$B$32*MIN(1,ABS(S24)/ABS(Assumptions!$B$21)),MAX(0.1,1-Assumptions!$B$31*(S24/50)))))*$E24</f>
        <v>2.0026142365785375</v>
      </c>
      <c r="W24" s="26">
        <f>Archetypes!$C$30</f>
        <v>3.7999999999999999E-2</v>
      </c>
      <c r="X24" s="21">
        <f t="shared" si="4"/>
        <v>7.6099340989984429E-2</v>
      </c>
      <c r="Y24" s="21">
        <f>((V24-X24)*Archetypes!$C$15)+(X24*Archetypes!$C$15*Archetypes!$C$22)</f>
        <v>1.0127220194377664</v>
      </c>
      <c r="Z24" s="21">
        <f>V24*Archetypes!$C$16</f>
        <v>0.90117640646034192</v>
      </c>
      <c r="AA24" s="21">
        <f>(IF(S24&lt;0,Assumptions!$B$8,IF(S24&lt;10,Assumptions!$B$34,IF(S24&lt;25,Assumptions!$B$35,Assumptions!$B$36))))*((((Archetypes!$C$5*Assumptions!$B$4+Archetypes!$C$6*Assumptions!$B$5)*60))+(Assumptions!$B$6*(((Archetypes!$C$11*(IF(S24&lt;0,1+Assumptions!$B$32*MIN(1,ABS(S24)/ABS(Assumptions!$B$21)),MAX(0.1,1-Assumptions!$B$31*(S24/50)))))-((Archetypes!$C$11*(IF(S24&lt;0,1+Assumptions!$B$32*MIN(1,ABS(S24)/ABS(Assumptions!$B$21)),MAX(0.1,1-Assumptions!$B$31*(S24/50)))))*W24)*Archetypes!$C$20)+((Archetypes!$C$11*(IF(S24&lt;0,1+Assumptions!$B$32*MIN(1,ABS(S24)/ABS(Assumptions!$B$21)),MAX(0.1,1-Assumptions!$B$31*(S24/50)))))*W24*Archetypes!$C$20*Archetypes!$C$21)*Assumptions!$B$18)*(IF($D24=1,1,Assumptions!$B$7)))+(((((Archetypes!$C$11*(IF(S24&lt;0,1+Assumptions!$B$32*MIN(1,ABS(S24)/ABS(Assumptions!$B$21)),MAX(0.1,1-Assumptions!$B$31*(S24/50)))))-((Archetypes!$C$11*(IF(S24&lt;0,1+Assumptions!$B$32*MIN(1,ABS(S24)/ABS(Assumptions!$B$21)),MAX(0.1,1-Assumptions!$B$31*(S24/50)))))*W24)*Archetypes!$C$15)*(Archetypes!$C$13*IF(S24&lt;0,1-Assumptions!$B$33*MIN(1,ABS(S24)/ABS(Assumptions!$B$21)),1))*5)+(((Archetypes!$C$11*(IF(S24&lt;0,1+Assumptions!$B$32*MIN(1,ABS(S24)/ABS(Assumptions!$B$21)),MAX(0.1,1-Assumptions!$B$31*(S24/50)))))*W24*Archetypes!$C$15*Archetypes!$C$22)*(Archetypes!$C$13*IF(S24&lt;0,1-Assumptions!$B$33*MIN(1,ABS(S24)/ABS(Assumptions!$B$21)),1))*5*Assumptions!$B$18))*IF(S24&lt;0,Assumptions!$B$9,1)))*$E24</f>
        <v>690.9775622695189</v>
      </c>
      <c r="AB24" s="21">
        <f>(AB23)+(AA24)-(MAX(0,((AB23)+(AA24)-(AC24)))*(IF(Archetypes!$C$27="",Assumptions!$B$11,Archetypes!$C$27)))</f>
        <v>11345.113829467573</v>
      </c>
      <c r="AC24" s="21">
        <f>Archetypes!$C$36 + (Assumptions!$B$67*(IF($E24=0,0,V24/$E24))*Assumptions!$B$71*(1+Assumptions!$B$68*(Archetypes!$C$14-1))) + (Assumptions!$B$69*Archetypes!$C$34*(IF($E24=0,0,V24/$E24))*Assumptions!$B$72*POWER(Assumptions!$B$70,Archetypes!$C$18-1))</f>
        <v>9234.5952812920714</v>
      </c>
      <c r="AD24" s="21">
        <f t="shared" si="5"/>
        <v>2110.5185481755016</v>
      </c>
      <c r="AF24" s="21">
        <f t="shared" si="10"/>
        <v>78.301888056509625</v>
      </c>
      <c r="AG24" s="21">
        <f>MAX(Assumptions!$B$21,AF24+AH24)</f>
        <v>79.215212541081058</v>
      </c>
      <c r="AH24" s="21">
        <f>((AL24*(Assumptions!$B$22+((Assumptions!$B$23-Assumptions!$B$22)*IF(AI24&gt;0,AK24/AI24,0)))*(1+Assumptions!$B$60*(Archetypes!$D$13-1)))+IF(AL24&gt;AI24,AI24*Assumptions!$B$24,0)-IF(IF(AI24&gt;0,AM24/AI24,1)&lt;Assumptions!$B$61,((AM24*(Assumptions!$B$27*(1+Assumptions!$B$28*(Archetypes!$D$14-1))/(1+Assumptions!$B$29*(Archetypes!$D$12-1))))+(((AI24*Archetypes!$D$17*IF(AI24&gt;0,AM24/AI24,1)*Archetypes!$D$31)/100)*Assumptions!$B$30))*Assumptions!$B$62,((AM24*(Assumptions!$B$27*(1+Assumptions!$B$28*(Archetypes!$D$14-1))/(1+Assumptions!$B$29*(Archetypes!$D$12-1))))+(((AI24*Archetypes!$D$17*IF(AI24&gt;0,AM24/AI24,1)*Archetypes!$D$31)/100)*Assumptions!$B$30)))-(Assumptions!$B$25*Assumptions!$B$26*E24))*E24</f>
        <v>0.9133244845714289</v>
      </c>
      <c r="AI24" s="21">
        <f>(Archetypes!$D$11*(IF(AF24&lt;0,1+Assumptions!$B$32*MIN(1,ABS(AF24)/ABS(Assumptions!$B$21)),MAX(0.1,1-Assumptions!$B$31*(AF24/50)))))*$E24</f>
        <v>0.30000000000000004</v>
      </c>
      <c r="AJ24" s="26">
        <f>Archetypes!$D$30</f>
        <v>0.10400000000000001</v>
      </c>
      <c r="AK24" s="21">
        <f t="shared" si="6"/>
        <v>3.1200000000000009E-2</v>
      </c>
      <c r="AL24" s="21">
        <f>((AI24-AK24)*Archetypes!$D$15)+(AK24*Archetypes!$D$15*Archetypes!$D$22)</f>
        <v>0.46872000000000008</v>
      </c>
      <c r="AM24" s="21">
        <f>AI24*Archetypes!$D$16</f>
        <v>6.0000000000000012E-2</v>
      </c>
      <c r="AN24" s="21">
        <f>(IF(AF24&lt;0,Assumptions!$B$8,IF(AF24&lt;10,Assumptions!$B$34,IF(AF24&lt;25,Assumptions!$B$35,Assumptions!$B$36))))*((((Archetypes!$D$5*Assumptions!$B$4+Archetypes!$D$6*Assumptions!$B$5)*60))+(Assumptions!$B$6*(((Archetypes!$D$11*(IF(AF24&lt;0,1+Assumptions!$B$32*MIN(1,ABS(AF24)/ABS(Assumptions!$B$21)),MAX(0.1,1-Assumptions!$B$31*(AF24/50)))))-((Archetypes!$D$11*(IF(AF24&lt;0,1+Assumptions!$B$32*MIN(1,ABS(AF24)/ABS(Assumptions!$B$21)),MAX(0.1,1-Assumptions!$B$31*(AF24/50)))))*AJ24)*Archetypes!$D$20)+((Archetypes!$D$11*(IF(AF24&lt;0,1+Assumptions!$B$32*MIN(1,ABS(AF24)/ABS(Assumptions!$B$21)),MAX(0.1,1-Assumptions!$B$31*(AF24/50)))))*AJ24*Archetypes!$D$20*Archetypes!$D$21)*Assumptions!$B$18)*(IF($D24=1,1,Assumptions!$B$7)))+(((((Archetypes!$D$11*(IF(AF24&lt;0,1+Assumptions!$B$32*MIN(1,ABS(AF24)/ABS(Assumptions!$B$21)),MAX(0.1,1-Assumptions!$B$31*(AF24/50)))))-((Archetypes!$D$11*(IF(AF24&lt;0,1+Assumptions!$B$32*MIN(1,ABS(AF24)/ABS(Assumptions!$B$21)),MAX(0.1,1-Assumptions!$B$31*(AF24/50)))))*AJ24)*Archetypes!$D$15)*(Archetypes!$D$13*IF(AF24&lt;0,1-Assumptions!$B$33*MIN(1,ABS(AF24)/ABS(Assumptions!$B$21)),1))*5)+(((Archetypes!$D$11*(IF(AF24&lt;0,1+Assumptions!$B$32*MIN(1,ABS(AF24)/ABS(Assumptions!$B$21)),MAX(0.1,1-Assumptions!$B$31*(AF24/50)))))*AJ24*Archetypes!$D$15*Archetypes!$D$22)*(Archetypes!$D$13*IF(AF24&lt;0,1-Assumptions!$B$33*MIN(1,ABS(AF24)/ABS(Assumptions!$B$21)),1))*5*Assumptions!$B$18))*IF(AF24&lt;0,Assumptions!$B$9,1)))*$E24</f>
        <v>939.63674999999989</v>
      </c>
      <c r="AO24" s="21">
        <f>(AO23)+(AN24)-(MAX(0,((AO23)+(AN24)-(AP24)))*(IF(Archetypes!$D$27="",Assumptions!$B$11,Archetypes!$D$27)))</f>
        <v>22482.044519637395</v>
      </c>
      <c r="AP24" s="21">
        <f>Archetypes!$D$36 + (Assumptions!$B$67*(IF($E24=0,0,AI24/$E24))*Assumptions!$B$71*(1+Assumptions!$B$68*(Archetypes!$D$14-1))) + (Assumptions!$B$69*Archetypes!$D$34*(IF($E24=0,0,AI24/$E24))*Assumptions!$B$72*POWER(Assumptions!$B$70,Archetypes!$D$18-1))</f>
        <v>20774.800648960005</v>
      </c>
      <c r="AQ24" s="21">
        <f t="shared" si="7"/>
        <v>1707.2438706773901</v>
      </c>
    </row>
    <row r="25" spans="1:43" x14ac:dyDescent="0.25">
      <c r="A25" s="20">
        <v>21</v>
      </c>
      <c r="B25" s="20">
        <f t="shared" si="0"/>
        <v>1</v>
      </c>
      <c r="C25" s="20">
        <f t="shared" si="1"/>
        <v>21</v>
      </c>
      <c r="D25" s="6">
        <f>IF(C25&lt;Assumptions!$B$10,1,0)</f>
        <v>0</v>
      </c>
      <c r="E25" s="6">
        <v>1</v>
      </c>
      <c r="F25" s="21">
        <f t="shared" si="8"/>
        <v>-15</v>
      </c>
      <c r="G25" s="21">
        <f>MAX(Assumptions!$B$21,F25+H25)</f>
        <v>-15</v>
      </c>
      <c r="H25" s="21">
        <f>((L25*(Assumptions!$B$22+((Assumptions!$B$23-Assumptions!$B$22)*IF(I25&gt;0,K25/I25,0)))*(1+Assumptions!$B$60*(Archetypes!$B$13-1)))+IF(L25&gt;I25,I25*Assumptions!$B$24,0)-IF(IF(I25&gt;0,M25/I25,1)&lt;Assumptions!$B$61,((M25*(Assumptions!$B$27*(1+Assumptions!$B$28*(Archetypes!$B$14-1))/(1+Assumptions!$B$29*(Archetypes!$B$12-1))))+(((I25*Archetypes!$B$17*IF(I25&gt;0,M25/I25,1)*Archetypes!$B$31)/100)*Assumptions!$B$30))*Assumptions!$B$62,((M25*(Assumptions!$B$27*(1+Assumptions!$B$28*(Archetypes!$B$14-1))/(1+Assumptions!$B$29*(Archetypes!$B$12-1))))+(((I25*Archetypes!$B$17*IF(I25&gt;0,M25/I25,1)*Archetypes!$B$31)/100)*Assumptions!$B$30)))-(Assumptions!$B$25*Assumptions!$B$26*E25))*E25</f>
        <v>-2.8381702909090891</v>
      </c>
      <c r="I25" s="21">
        <f>(Archetypes!$B$11*(IF(F25&lt;0,1+Assumptions!$B$32*MIN(1,ABS(F25)/ABS(Assumptions!$B$21)),MAX(0.1,1-Assumptions!$B$31*(F25/50)))))*$E25</f>
        <v>14</v>
      </c>
      <c r="J25" s="26">
        <f>Archetypes!$B$30</f>
        <v>2.1999999999999999E-2</v>
      </c>
      <c r="K25" s="21">
        <f t="shared" si="2"/>
        <v>0.308</v>
      </c>
      <c r="L25" s="21">
        <f>((I25-K25)*Archetypes!$B$15)+(K25*Archetypes!$B$15*Archetypes!$B$22)</f>
        <v>1.4061600000000003</v>
      </c>
      <c r="M25" s="21">
        <f>I25*Archetypes!$B$16</f>
        <v>10.5</v>
      </c>
      <c r="N25" s="21">
        <f>(IF(F25&lt;0,Assumptions!$B$8,IF(F25&lt;10,Assumptions!$B$34,IF(F25&lt;25,Assumptions!$B$35,Assumptions!$B$36))))*((((Archetypes!$B$5*Assumptions!$B$4+Archetypes!$B$6*Assumptions!$B$5)*60))+(Assumptions!$B$6*(((Archetypes!$B$11*(IF(F25&lt;0,1+Assumptions!$B$32*MIN(1,ABS(F25)/ABS(Assumptions!$B$21)),MAX(0.1,1-Assumptions!$B$31*(F25/50)))))-((Archetypes!$B$11*(IF(F25&lt;0,1+Assumptions!$B$32*MIN(1,ABS(F25)/ABS(Assumptions!$B$21)),MAX(0.1,1-Assumptions!$B$31*(F25/50)))))*J25)*Archetypes!$B$20)+((Archetypes!$B$11*(IF(F25&lt;0,1+Assumptions!$B$32*MIN(1,ABS(F25)/ABS(Assumptions!$B$21)),MAX(0.1,1-Assumptions!$B$31*(F25/50)))))*J25*Archetypes!$B$20*Archetypes!$B$21)*Assumptions!$B$18)*(IF($D25=1,1,Assumptions!$B$7)))+(((((Archetypes!$B$11*(IF(F25&lt;0,1+Assumptions!$B$32*MIN(1,ABS(F25)/ABS(Assumptions!$B$21)),MAX(0.1,1-Assumptions!$B$31*(F25/50)))))-((Archetypes!$B$11*(IF(F25&lt;0,1+Assumptions!$B$32*MIN(1,ABS(F25)/ABS(Assumptions!$B$21)),MAX(0.1,1-Assumptions!$B$31*(F25/50)))))*J25)*Archetypes!$B$15)*(Archetypes!$B$13*IF(F25&lt;0,1-Assumptions!$B$33*MIN(1,ABS(F25)/ABS(Assumptions!$B$21)),1))*5)+(((Archetypes!$B$11*(IF(F25&lt;0,1+Assumptions!$B$32*MIN(1,ABS(F25)/ABS(Assumptions!$B$21)),MAX(0.1,1-Assumptions!$B$31*(F25/50)))))*J25*Archetypes!$B$15*Archetypes!$B$22)*(Archetypes!$B$13*IF(F25&lt;0,1-Assumptions!$B$33*MIN(1,ABS(F25)/ABS(Assumptions!$B$21)),1))*5*Assumptions!$B$18))*IF(F25&lt;0,Assumptions!$B$9,1)))*$E25</f>
        <v>484.478544</v>
      </c>
      <c r="O25" s="21">
        <f>(O24)+(N25)-(MAX(0,((O24)+(N25)-(P25)))*(IF(Archetypes!$B$27="",Assumptions!$B$11,Archetypes!$B$27)))</f>
        <v>4565.595452616004</v>
      </c>
      <c r="P25" s="21">
        <f>Archetypes!$B$36 + (Assumptions!$B$67*(IF($E25=0,0,I25/$E25))*Assumptions!$B$71*(1+Assumptions!$B$68*(Archetypes!$B$14-1))) + (Assumptions!$B$69*Archetypes!$B$34*(IF($E25=0,0,I25/$E25))*Assumptions!$B$72*POWER(Assumptions!$B$70,Archetypes!$B$18-1))</f>
        <v>2668.56</v>
      </c>
      <c r="Q25" s="21">
        <f t="shared" si="3"/>
        <v>1897.035452616004</v>
      </c>
      <c r="S25" s="21">
        <f t="shared" si="9"/>
        <v>56.864151100253743</v>
      </c>
      <c r="T25" s="21">
        <f>MAX(Assumptions!$B$21,S25+U25)</f>
        <v>58.136771844829724</v>
      </c>
      <c r="U25" s="21">
        <f>((Y25*(Assumptions!$B$22+((Assumptions!$B$23-Assumptions!$B$22)*IF(V25&gt;0,X25/V25,0)))*(1+Assumptions!$B$60*(Archetypes!$C$13-1)))+IF(Y25&gt;V25,V25*Assumptions!$B$24,0)-IF(IF(V25&gt;0,Z25/V25,1)&lt;Assumptions!$B$61,((Z25*(Assumptions!$B$27*(1+Assumptions!$B$28*(Archetypes!$C$14-1))/(1+Assumptions!$B$29*(Archetypes!$C$12-1))))+(((V25*Archetypes!$C$17*IF(V25&gt;0,Z25/V25,1)*Archetypes!$C$31)/100)*Assumptions!$B$30))*Assumptions!$B$62,((Z25*(Assumptions!$B$27*(1+Assumptions!$B$28*(Archetypes!$C$14-1))/(1+Assumptions!$B$29*(Archetypes!$C$12-1))))+(((V25*Archetypes!$C$17*IF(V25&gt;0,Z25/V25,1)*Archetypes!$C$31)/100)*Assumptions!$B$30)))-(Assumptions!$B$25*Assumptions!$B$26*E25))*E25</f>
        <v>1.272620744575979</v>
      </c>
      <c r="V25" s="21">
        <f>(Archetypes!$C$11*(IF(S25&lt;0,1+Assumptions!$B$32*MIN(1,ABS(S25)/ABS(Assumptions!$B$21)),MAX(0.1,1-Assumptions!$B$31*(S25/50)))))*$E25</f>
        <v>1.9057811207817306</v>
      </c>
      <c r="W25" s="26">
        <f>Archetypes!$C$30</f>
        <v>3.7999999999999999E-2</v>
      </c>
      <c r="X25" s="21">
        <f t="shared" si="4"/>
        <v>7.2419682589705756E-2</v>
      </c>
      <c r="Y25" s="21">
        <f>((V25-X25)*Archetypes!$C$15)+(X25*Archetypes!$C$15*Archetypes!$C$22)</f>
        <v>0.9637535127793212</v>
      </c>
      <c r="Z25" s="21">
        <f>V25*Archetypes!$C$16</f>
        <v>0.85760150435177873</v>
      </c>
      <c r="AA25" s="21">
        <f>(IF(S25&lt;0,Assumptions!$B$8,IF(S25&lt;10,Assumptions!$B$34,IF(S25&lt;25,Assumptions!$B$35,Assumptions!$B$36))))*((((Archetypes!$C$5*Assumptions!$B$4+Archetypes!$C$6*Assumptions!$B$5)*60))+(Assumptions!$B$6*(((Archetypes!$C$11*(IF(S25&lt;0,1+Assumptions!$B$32*MIN(1,ABS(S25)/ABS(Assumptions!$B$21)),MAX(0.1,1-Assumptions!$B$31*(S25/50)))))-((Archetypes!$C$11*(IF(S25&lt;0,1+Assumptions!$B$32*MIN(1,ABS(S25)/ABS(Assumptions!$B$21)),MAX(0.1,1-Assumptions!$B$31*(S25/50)))))*W25)*Archetypes!$C$20)+((Archetypes!$C$11*(IF(S25&lt;0,1+Assumptions!$B$32*MIN(1,ABS(S25)/ABS(Assumptions!$B$21)),MAX(0.1,1-Assumptions!$B$31*(S25/50)))))*W25*Archetypes!$C$20*Archetypes!$C$21)*Assumptions!$B$18)*(IF($D25=1,1,Assumptions!$B$7)))+(((((Archetypes!$C$11*(IF(S25&lt;0,1+Assumptions!$B$32*MIN(1,ABS(S25)/ABS(Assumptions!$B$21)),MAX(0.1,1-Assumptions!$B$31*(S25/50)))))-((Archetypes!$C$11*(IF(S25&lt;0,1+Assumptions!$B$32*MIN(1,ABS(S25)/ABS(Assumptions!$B$21)),MAX(0.1,1-Assumptions!$B$31*(S25/50)))))*W25)*Archetypes!$C$15)*(Archetypes!$C$13*IF(S25&lt;0,1-Assumptions!$B$33*MIN(1,ABS(S25)/ABS(Assumptions!$B$21)),1))*5)+(((Archetypes!$C$11*(IF(S25&lt;0,1+Assumptions!$B$32*MIN(1,ABS(S25)/ABS(Assumptions!$B$21)),MAX(0.1,1-Assumptions!$B$31*(S25/50)))))*W25*Archetypes!$C$15*Archetypes!$C$22)*(Archetypes!$C$13*IF(S25&lt;0,1-Assumptions!$B$33*MIN(1,ABS(S25)/ABS(Assumptions!$B$21)),1))*5*Assumptions!$B$18))*IF(S25&lt;0,Assumptions!$B$9,1)))*$E25</f>
        <v>683.45970060846741</v>
      </c>
      <c r="AB25" s="21">
        <f>(AB24)+(AA25)-(MAX(0,((AB24)+(AA25)-(AC25)))*(IF(Archetypes!$C$27="",Assumptions!$B$11,Archetypes!$C$27)))</f>
        <v>11327.90022277462</v>
      </c>
      <c r="AC25" s="21">
        <f>Archetypes!$C$36 + (Assumptions!$B$67*(IF($E25=0,0,V25/$E25))*Assumptions!$B$71*(1+Assumptions!$B$68*(Archetypes!$C$14-1))) + (Assumptions!$B$69*Archetypes!$C$34*(IF($E25=0,0,V25/$E25))*Assumptions!$B$72*POWER(Assumptions!$B$70,Archetypes!$C$18-1))</f>
        <v>9225.880300870358</v>
      </c>
      <c r="AD25" s="21">
        <f t="shared" si="5"/>
        <v>2102.0199219042624</v>
      </c>
      <c r="AF25" s="21">
        <f t="shared" si="10"/>
        <v>79.215212541081058</v>
      </c>
      <c r="AG25" s="21">
        <f>MAX(Assumptions!$B$21,AF25+AH25)</f>
        <v>80.128537025652491</v>
      </c>
      <c r="AH25" s="21">
        <f>((AL25*(Assumptions!$B$22+((Assumptions!$B$23-Assumptions!$B$22)*IF(AI25&gt;0,AK25/AI25,0)))*(1+Assumptions!$B$60*(Archetypes!$D$13-1)))+IF(AL25&gt;AI25,AI25*Assumptions!$B$24,0)-IF(IF(AI25&gt;0,AM25/AI25,1)&lt;Assumptions!$B$61,((AM25*(Assumptions!$B$27*(1+Assumptions!$B$28*(Archetypes!$D$14-1))/(1+Assumptions!$B$29*(Archetypes!$D$12-1))))+(((AI25*Archetypes!$D$17*IF(AI25&gt;0,AM25/AI25,1)*Archetypes!$D$31)/100)*Assumptions!$B$30))*Assumptions!$B$62,((AM25*(Assumptions!$B$27*(1+Assumptions!$B$28*(Archetypes!$D$14-1))/(1+Assumptions!$B$29*(Archetypes!$D$12-1))))+(((AI25*Archetypes!$D$17*IF(AI25&gt;0,AM25/AI25,1)*Archetypes!$D$31)/100)*Assumptions!$B$30)))-(Assumptions!$B$25*Assumptions!$B$26*E25))*E25</f>
        <v>0.9133244845714289</v>
      </c>
      <c r="AI25" s="21">
        <f>(Archetypes!$D$11*(IF(AF25&lt;0,1+Assumptions!$B$32*MIN(1,ABS(AF25)/ABS(Assumptions!$B$21)),MAX(0.1,1-Assumptions!$B$31*(AF25/50)))))*$E25</f>
        <v>0.30000000000000004</v>
      </c>
      <c r="AJ25" s="26">
        <f>Archetypes!$D$30</f>
        <v>0.10400000000000001</v>
      </c>
      <c r="AK25" s="21">
        <f t="shared" si="6"/>
        <v>3.1200000000000009E-2</v>
      </c>
      <c r="AL25" s="21">
        <f>((AI25-AK25)*Archetypes!$D$15)+(AK25*Archetypes!$D$15*Archetypes!$D$22)</f>
        <v>0.46872000000000008</v>
      </c>
      <c r="AM25" s="21">
        <f>AI25*Archetypes!$D$16</f>
        <v>6.0000000000000012E-2</v>
      </c>
      <c r="AN25" s="21">
        <f>(IF(AF25&lt;0,Assumptions!$B$8,IF(AF25&lt;10,Assumptions!$B$34,IF(AF25&lt;25,Assumptions!$B$35,Assumptions!$B$36))))*((((Archetypes!$D$5*Assumptions!$B$4+Archetypes!$D$6*Assumptions!$B$5)*60))+(Assumptions!$B$6*(((Archetypes!$D$11*(IF(AF25&lt;0,1+Assumptions!$B$32*MIN(1,ABS(AF25)/ABS(Assumptions!$B$21)),MAX(0.1,1-Assumptions!$B$31*(AF25/50)))))-((Archetypes!$D$11*(IF(AF25&lt;0,1+Assumptions!$B$32*MIN(1,ABS(AF25)/ABS(Assumptions!$B$21)),MAX(0.1,1-Assumptions!$B$31*(AF25/50)))))*AJ25)*Archetypes!$D$20)+((Archetypes!$D$11*(IF(AF25&lt;0,1+Assumptions!$B$32*MIN(1,ABS(AF25)/ABS(Assumptions!$B$21)),MAX(0.1,1-Assumptions!$B$31*(AF25/50)))))*AJ25*Archetypes!$D$20*Archetypes!$D$21)*Assumptions!$B$18)*(IF($D25=1,1,Assumptions!$B$7)))+(((((Archetypes!$D$11*(IF(AF25&lt;0,1+Assumptions!$B$32*MIN(1,ABS(AF25)/ABS(Assumptions!$B$21)),MAX(0.1,1-Assumptions!$B$31*(AF25/50)))))-((Archetypes!$D$11*(IF(AF25&lt;0,1+Assumptions!$B$32*MIN(1,ABS(AF25)/ABS(Assumptions!$B$21)),MAX(0.1,1-Assumptions!$B$31*(AF25/50)))))*AJ25)*Archetypes!$D$15)*(Archetypes!$D$13*IF(AF25&lt;0,1-Assumptions!$B$33*MIN(1,ABS(AF25)/ABS(Assumptions!$B$21)),1))*5)+(((Archetypes!$D$11*(IF(AF25&lt;0,1+Assumptions!$B$32*MIN(1,ABS(AF25)/ABS(Assumptions!$B$21)),MAX(0.1,1-Assumptions!$B$31*(AF25/50)))))*AJ25*Archetypes!$D$15*Archetypes!$D$22)*(Archetypes!$D$13*IF(AF25&lt;0,1-Assumptions!$B$33*MIN(1,ABS(AF25)/ABS(Assumptions!$B$21)),1))*5*Assumptions!$B$18))*IF(AF25&lt;0,Assumptions!$B$9,1)))*$E25</f>
        <v>939.63674999999989</v>
      </c>
      <c r="AO25" s="21">
        <f>(AO24)+(AN25)-(MAX(0,((AO24)+(AN25)-(AP25)))*(IF(Archetypes!$D$27="",Assumptions!$B$11,Archetypes!$D$27)))</f>
        <v>22627.617083434179</v>
      </c>
      <c r="AP25" s="21">
        <f>Archetypes!$D$36 + (Assumptions!$B$67*(IF($E25=0,0,AI25/$E25))*Assumptions!$B$71*(1+Assumptions!$B$68*(Archetypes!$D$14-1))) + (Assumptions!$B$69*Archetypes!$D$34*(IF($E25=0,0,AI25/$E25))*Assumptions!$B$72*POWER(Assumptions!$B$70,Archetypes!$D$18-1))</f>
        <v>20774.800648960005</v>
      </c>
      <c r="AQ25" s="21">
        <f t="shared" si="7"/>
        <v>1852.8164344741745</v>
      </c>
    </row>
    <row r="26" spans="1:43" x14ac:dyDescent="0.25">
      <c r="A26" s="20">
        <v>22</v>
      </c>
      <c r="B26" s="20">
        <f t="shared" si="0"/>
        <v>1</v>
      </c>
      <c r="C26" s="20">
        <f t="shared" si="1"/>
        <v>22</v>
      </c>
      <c r="D26" s="6">
        <f>IF(C26&lt;Assumptions!$B$10,1,0)</f>
        <v>0</v>
      </c>
      <c r="E26" s="6">
        <v>1</v>
      </c>
      <c r="F26" s="21">
        <f t="shared" si="8"/>
        <v>-15</v>
      </c>
      <c r="G26" s="21">
        <f>MAX(Assumptions!$B$21,F26+H26)</f>
        <v>-15</v>
      </c>
      <c r="H26" s="21">
        <f>((L26*(Assumptions!$B$22+((Assumptions!$B$23-Assumptions!$B$22)*IF(I26&gt;0,K26/I26,0)))*(1+Assumptions!$B$60*(Archetypes!$B$13-1)))+IF(L26&gt;I26,I26*Assumptions!$B$24,0)-IF(IF(I26&gt;0,M26/I26,1)&lt;Assumptions!$B$61,((M26*(Assumptions!$B$27*(1+Assumptions!$B$28*(Archetypes!$B$14-1))/(1+Assumptions!$B$29*(Archetypes!$B$12-1))))+(((I26*Archetypes!$B$17*IF(I26&gt;0,M26/I26,1)*Archetypes!$B$31)/100)*Assumptions!$B$30))*Assumptions!$B$62,((M26*(Assumptions!$B$27*(1+Assumptions!$B$28*(Archetypes!$B$14-1))/(1+Assumptions!$B$29*(Archetypes!$B$12-1))))+(((I26*Archetypes!$B$17*IF(I26&gt;0,M26/I26,1)*Archetypes!$B$31)/100)*Assumptions!$B$30)))-(Assumptions!$B$25*Assumptions!$B$26*E26))*E26</f>
        <v>-2.8381702909090891</v>
      </c>
      <c r="I26" s="21">
        <f>(Archetypes!$B$11*(IF(F26&lt;0,1+Assumptions!$B$32*MIN(1,ABS(F26)/ABS(Assumptions!$B$21)),MAX(0.1,1-Assumptions!$B$31*(F26/50)))))*$E26</f>
        <v>14</v>
      </c>
      <c r="J26" s="26">
        <f>Archetypes!$B$30</f>
        <v>2.1999999999999999E-2</v>
      </c>
      <c r="K26" s="21">
        <f t="shared" si="2"/>
        <v>0.308</v>
      </c>
      <c r="L26" s="21">
        <f>((I26-K26)*Archetypes!$B$15)+(K26*Archetypes!$B$15*Archetypes!$B$22)</f>
        <v>1.4061600000000003</v>
      </c>
      <c r="M26" s="21">
        <f>I26*Archetypes!$B$16</f>
        <v>10.5</v>
      </c>
      <c r="N26" s="21">
        <f>(IF(F26&lt;0,Assumptions!$B$8,IF(F26&lt;10,Assumptions!$B$34,IF(F26&lt;25,Assumptions!$B$35,Assumptions!$B$36))))*((((Archetypes!$B$5*Assumptions!$B$4+Archetypes!$B$6*Assumptions!$B$5)*60))+(Assumptions!$B$6*(((Archetypes!$B$11*(IF(F26&lt;0,1+Assumptions!$B$32*MIN(1,ABS(F26)/ABS(Assumptions!$B$21)),MAX(0.1,1-Assumptions!$B$31*(F26/50)))))-((Archetypes!$B$11*(IF(F26&lt;0,1+Assumptions!$B$32*MIN(1,ABS(F26)/ABS(Assumptions!$B$21)),MAX(0.1,1-Assumptions!$B$31*(F26/50)))))*J26)*Archetypes!$B$20)+((Archetypes!$B$11*(IF(F26&lt;0,1+Assumptions!$B$32*MIN(1,ABS(F26)/ABS(Assumptions!$B$21)),MAX(0.1,1-Assumptions!$B$31*(F26/50)))))*J26*Archetypes!$B$20*Archetypes!$B$21)*Assumptions!$B$18)*(IF($D26=1,1,Assumptions!$B$7)))+(((((Archetypes!$B$11*(IF(F26&lt;0,1+Assumptions!$B$32*MIN(1,ABS(F26)/ABS(Assumptions!$B$21)),MAX(0.1,1-Assumptions!$B$31*(F26/50)))))-((Archetypes!$B$11*(IF(F26&lt;0,1+Assumptions!$B$32*MIN(1,ABS(F26)/ABS(Assumptions!$B$21)),MAX(0.1,1-Assumptions!$B$31*(F26/50)))))*J26)*Archetypes!$B$15)*(Archetypes!$B$13*IF(F26&lt;0,1-Assumptions!$B$33*MIN(1,ABS(F26)/ABS(Assumptions!$B$21)),1))*5)+(((Archetypes!$B$11*(IF(F26&lt;0,1+Assumptions!$B$32*MIN(1,ABS(F26)/ABS(Assumptions!$B$21)),MAX(0.1,1-Assumptions!$B$31*(F26/50)))))*J26*Archetypes!$B$15*Archetypes!$B$22)*(Archetypes!$B$13*IF(F26&lt;0,1-Assumptions!$B$33*MIN(1,ABS(F26)/ABS(Assumptions!$B$21)),1))*5*Assumptions!$B$18))*IF(F26&lt;0,Assumptions!$B$9,1)))*$E26</f>
        <v>484.478544</v>
      </c>
      <c r="O26" s="21">
        <f>(O25)+(N26)-(MAX(0,((O25)+(N26)-(P26)))*(IF(Archetypes!$B$27="",Assumptions!$B$11,Archetypes!$B$27)))</f>
        <v>4573.7711972928028</v>
      </c>
      <c r="P26" s="21">
        <f>Archetypes!$B$36 + (Assumptions!$B$67*(IF($E26=0,0,I26/$E26))*Assumptions!$B$71*(1+Assumptions!$B$68*(Archetypes!$B$14-1))) + (Assumptions!$B$69*Archetypes!$B$34*(IF($E26=0,0,I26/$E26))*Assumptions!$B$72*POWER(Assumptions!$B$70,Archetypes!$B$18-1))</f>
        <v>2668.56</v>
      </c>
      <c r="Q26" s="21">
        <f t="shared" si="3"/>
        <v>1905.2111972928028</v>
      </c>
      <c r="S26" s="21">
        <f t="shared" si="9"/>
        <v>58.136771844829724</v>
      </c>
      <c r="T26" s="21">
        <f>MAX(Assumptions!$B$21,S26+U26)</f>
        <v>59.34099392656568</v>
      </c>
      <c r="U26" s="21">
        <f>((Y26*(Assumptions!$B$22+((Assumptions!$B$23-Assumptions!$B$22)*IF(V26&gt;0,X26/V26,0)))*(1+Assumptions!$B$60*(Archetypes!$C$13-1)))+IF(Y26&gt;V26,V26*Assumptions!$B$24,0)-IF(IF(V26&gt;0,Z26/V26,1)&lt;Assumptions!$B$61,((Z26*(Assumptions!$B$27*(1+Assumptions!$B$28*(Archetypes!$C$14-1))/(1+Assumptions!$B$29*(Archetypes!$C$12-1))))+(((V26*Archetypes!$C$17*IF(V26&gt;0,Z26/V26,1)*Archetypes!$C$31)/100)*Assumptions!$B$30))*Assumptions!$B$62,((Z26*(Assumptions!$B$27*(1+Assumptions!$B$28*(Archetypes!$C$14-1))/(1+Assumptions!$B$29*(Archetypes!$C$12-1))))+(((V26*Archetypes!$C$17*IF(V26&gt;0,Z26/V26,1)*Archetypes!$C$31)/100)*Assumptions!$B$30)))-(Assumptions!$B$25*Assumptions!$B$26*E26))*E26</f>
        <v>1.2042220817359564</v>
      </c>
      <c r="V26" s="21">
        <f>(Archetypes!$C$11*(IF(S26&lt;0,1+Assumptions!$B$32*MIN(1,ABS(S26)/ABS(Assumptions!$B$21)),MAX(0.1,1-Assumptions!$B$31*(S26/50)))))*$E26</f>
        <v>1.8141524271722596</v>
      </c>
      <c r="W26" s="26">
        <f>Archetypes!$C$30</f>
        <v>3.7999999999999999E-2</v>
      </c>
      <c r="X26" s="21">
        <f t="shared" si="4"/>
        <v>6.8937792232545855E-2</v>
      </c>
      <c r="Y26" s="21">
        <f>((V26-X26)*Archetypes!$C$15)+(X26*Archetypes!$C$15*Archetypes!$C$22)</f>
        <v>0.91741688242101171</v>
      </c>
      <c r="Z26" s="21">
        <f>V26*Archetypes!$C$16</f>
        <v>0.81636859222751679</v>
      </c>
      <c r="AA26" s="21">
        <f>(IF(S26&lt;0,Assumptions!$B$8,IF(S26&lt;10,Assumptions!$B$34,IF(S26&lt;25,Assumptions!$B$35,Assumptions!$B$36))))*((((Archetypes!$C$5*Assumptions!$B$4+Archetypes!$C$6*Assumptions!$B$5)*60))+(Assumptions!$B$6*(((Archetypes!$C$11*(IF(S26&lt;0,1+Assumptions!$B$32*MIN(1,ABS(S26)/ABS(Assumptions!$B$21)),MAX(0.1,1-Assumptions!$B$31*(S26/50)))))-((Archetypes!$C$11*(IF(S26&lt;0,1+Assumptions!$B$32*MIN(1,ABS(S26)/ABS(Assumptions!$B$21)),MAX(0.1,1-Assumptions!$B$31*(S26/50)))))*W26)*Archetypes!$C$20)+((Archetypes!$C$11*(IF(S26&lt;0,1+Assumptions!$B$32*MIN(1,ABS(S26)/ABS(Assumptions!$B$21)),MAX(0.1,1-Assumptions!$B$31*(S26/50)))))*W26*Archetypes!$C$20*Archetypes!$C$21)*Assumptions!$B$18)*(IF($D26=1,1,Assumptions!$B$7)))+(((((Archetypes!$C$11*(IF(S26&lt;0,1+Assumptions!$B$32*MIN(1,ABS(S26)/ABS(Assumptions!$B$21)),MAX(0.1,1-Assumptions!$B$31*(S26/50)))))-((Archetypes!$C$11*(IF(S26&lt;0,1+Assumptions!$B$32*MIN(1,ABS(S26)/ABS(Assumptions!$B$21)),MAX(0.1,1-Assumptions!$B$31*(S26/50)))))*W26)*Archetypes!$C$15)*(Archetypes!$C$13*IF(S26&lt;0,1-Assumptions!$B$33*MIN(1,ABS(S26)/ABS(Assumptions!$B$21)),1))*5)+(((Archetypes!$C$11*(IF(S26&lt;0,1+Assumptions!$B$32*MIN(1,ABS(S26)/ABS(Assumptions!$B$21)),MAX(0.1,1-Assumptions!$B$31*(S26/50)))))*W26*Archetypes!$C$15*Archetypes!$C$22)*(Archetypes!$C$13*IF(S26&lt;0,1-Assumptions!$B$33*MIN(1,ABS(S26)/ABS(Assumptions!$B$21)),1))*5*Assumptions!$B$18))*IF(S26&lt;0,Assumptions!$B$9,1)))*$E26</f>
        <v>676.34589623410091</v>
      </c>
      <c r="AB26" s="21">
        <f>(AB25)+(AA26)-(MAX(0,((AB25)+(AA26)-(AC26)))*(IF(Archetypes!$C$27="",Assumptions!$B$11,Archetypes!$C$27)))</f>
        <v>11307.593018867918</v>
      </c>
      <c r="AC26" s="21">
        <f>Archetypes!$C$36 + (Assumptions!$B$67*(IF($E26=0,0,V26/$E26))*Assumptions!$B$71*(1+Assumptions!$B$68*(Archetypes!$C$14-1))) + (Assumptions!$B$69*Archetypes!$C$34*(IF($E26=0,0,V26/$E26))*Assumptions!$B$72*POWER(Assumptions!$B$70,Archetypes!$C$18-1))</f>
        <v>9217.633718445506</v>
      </c>
      <c r="AD26" s="21">
        <f t="shared" si="5"/>
        <v>2089.9593004224116</v>
      </c>
      <c r="AF26" s="21">
        <f t="shared" si="10"/>
        <v>80.128537025652491</v>
      </c>
      <c r="AG26" s="21">
        <f>MAX(Assumptions!$B$21,AF26+AH26)</f>
        <v>81.041861510223924</v>
      </c>
      <c r="AH26" s="21">
        <f>((AL26*(Assumptions!$B$22+((Assumptions!$B$23-Assumptions!$B$22)*IF(AI26&gt;0,AK26/AI26,0)))*(1+Assumptions!$B$60*(Archetypes!$D$13-1)))+IF(AL26&gt;AI26,AI26*Assumptions!$B$24,0)-IF(IF(AI26&gt;0,AM26/AI26,1)&lt;Assumptions!$B$61,((AM26*(Assumptions!$B$27*(1+Assumptions!$B$28*(Archetypes!$D$14-1))/(1+Assumptions!$B$29*(Archetypes!$D$12-1))))+(((AI26*Archetypes!$D$17*IF(AI26&gt;0,AM26/AI26,1)*Archetypes!$D$31)/100)*Assumptions!$B$30))*Assumptions!$B$62,((AM26*(Assumptions!$B$27*(1+Assumptions!$B$28*(Archetypes!$D$14-1))/(1+Assumptions!$B$29*(Archetypes!$D$12-1))))+(((AI26*Archetypes!$D$17*IF(AI26&gt;0,AM26/AI26,1)*Archetypes!$D$31)/100)*Assumptions!$B$30)))-(Assumptions!$B$25*Assumptions!$B$26*E26))*E26</f>
        <v>0.9133244845714289</v>
      </c>
      <c r="AI26" s="21">
        <f>(Archetypes!$D$11*(IF(AF26&lt;0,1+Assumptions!$B$32*MIN(1,ABS(AF26)/ABS(Assumptions!$B$21)),MAX(0.1,1-Assumptions!$B$31*(AF26/50)))))*$E26</f>
        <v>0.30000000000000004</v>
      </c>
      <c r="AJ26" s="26">
        <f>Archetypes!$D$30</f>
        <v>0.10400000000000001</v>
      </c>
      <c r="AK26" s="21">
        <f t="shared" si="6"/>
        <v>3.1200000000000009E-2</v>
      </c>
      <c r="AL26" s="21">
        <f>((AI26-AK26)*Archetypes!$D$15)+(AK26*Archetypes!$D$15*Archetypes!$D$22)</f>
        <v>0.46872000000000008</v>
      </c>
      <c r="AM26" s="21">
        <f>AI26*Archetypes!$D$16</f>
        <v>6.0000000000000012E-2</v>
      </c>
      <c r="AN26" s="21">
        <f>(IF(AF26&lt;0,Assumptions!$B$8,IF(AF26&lt;10,Assumptions!$B$34,IF(AF26&lt;25,Assumptions!$B$35,Assumptions!$B$36))))*((((Archetypes!$D$5*Assumptions!$B$4+Archetypes!$D$6*Assumptions!$B$5)*60))+(Assumptions!$B$6*(((Archetypes!$D$11*(IF(AF26&lt;0,1+Assumptions!$B$32*MIN(1,ABS(AF26)/ABS(Assumptions!$B$21)),MAX(0.1,1-Assumptions!$B$31*(AF26/50)))))-((Archetypes!$D$11*(IF(AF26&lt;0,1+Assumptions!$B$32*MIN(1,ABS(AF26)/ABS(Assumptions!$B$21)),MAX(0.1,1-Assumptions!$B$31*(AF26/50)))))*AJ26)*Archetypes!$D$20)+((Archetypes!$D$11*(IF(AF26&lt;0,1+Assumptions!$B$32*MIN(1,ABS(AF26)/ABS(Assumptions!$B$21)),MAX(0.1,1-Assumptions!$B$31*(AF26/50)))))*AJ26*Archetypes!$D$20*Archetypes!$D$21)*Assumptions!$B$18)*(IF($D26=1,1,Assumptions!$B$7)))+(((((Archetypes!$D$11*(IF(AF26&lt;0,1+Assumptions!$B$32*MIN(1,ABS(AF26)/ABS(Assumptions!$B$21)),MAX(0.1,1-Assumptions!$B$31*(AF26/50)))))-((Archetypes!$D$11*(IF(AF26&lt;0,1+Assumptions!$B$32*MIN(1,ABS(AF26)/ABS(Assumptions!$B$21)),MAX(0.1,1-Assumptions!$B$31*(AF26/50)))))*AJ26)*Archetypes!$D$15)*(Archetypes!$D$13*IF(AF26&lt;0,1-Assumptions!$B$33*MIN(1,ABS(AF26)/ABS(Assumptions!$B$21)),1))*5)+(((Archetypes!$D$11*(IF(AF26&lt;0,1+Assumptions!$B$32*MIN(1,ABS(AF26)/ABS(Assumptions!$B$21)),MAX(0.1,1-Assumptions!$B$31*(AF26/50)))))*AJ26*Archetypes!$D$15*Archetypes!$D$22)*(Archetypes!$D$13*IF(AF26&lt;0,1-Assumptions!$B$33*MIN(1,ABS(AF26)/ABS(Assumptions!$B$21)),1))*5*Assumptions!$B$18))*IF(AF26&lt;0,Assumptions!$B$9,1)))*$E26</f>
        <v>939.63674999999989</v>
      </c>
      <c r="AO26" s="21">
        <f>(AO25)+(AN26)-(MAX(0,((AO25)+(AN26)-(AP26)))*(IF(Archetypes!$D$27="",Assumptions!$B$11,Archetypes!$D$27)))</f>
        <v>22729.517878091927</v>
      </c>
      <c r="AP26" s="21">
        <f>Archetypes!$D$36 + (Assumptions!$B$67*(IF($E26=0,0,AI26/$E26))*Assumptions!$B$71*(1+Assumptions!$B$68*(Archetypes!$D$14-1))) + (Assumptions!$B$69*Archetypes!$D$34*(IF($E26=0,0,AI26/$E26))*Assumptions!$B$72*POWER(Assumptions!$B$70,Archetypes!$D$18-1))</f>
        <v>20774.800648960005</v>
      </c>
      <c r="AQ26" s="21">
        <f t="shared" si="7"/>
        <v>1954.7172291319221</v>
      </c>
    </row>
    <row r="27" spans="1:43" x14ac:dyDescent="0.25">
      <c r="A27" s="20">
        <v>23</v>
      </c>
      <c r="B27" s="20">
        <f t="shared" si="0"/>
        <v>1</v>
      </c>
      <c r="C27" s="20">
        <f t="shared" si="1"/>
        <v>23</v>
      </c>
      <c r="D27" s="6">
        <f>IF(C27&lt;Assumptions!$B$10,1,0)</f>
        <v>0</v>
      </c>
      <c r="E27" s="6">
        <v>1</v>
      </c>
      <c r="F27" s="21">
        <f t="shared" si="8"/>
        <v>-15</v>
      </c>
      <c r="G27" s="21">
        <f>MAX(Assumptions!$B$21,F27+H27)</f>
        <v>-15</v>
      </c>
      <c r="H27" s="21">
        <f>((L27*(Assumptions!$B$22+((Assumptions!$B$23-Assumptions!$B$22)*IF(I27&gt;0,K27/I27,0)))*(1+Assumptions!$B$60*(Archetypes!$B$13-1)))+IF(L27&gt;I27,I27*Assumptions!$B$24,0)-IF(IF(I27&gt;0,M27/I27,1)&lt;Assumptions!$B$61,((M27*(Assumptions!$B$27*(1+Assumptions!$B$28*(Archetypes!$B$14-1))/(1+Assumptions!$B$29*(Archetypes!$B$12-1))))+(((I27*Archetypes!$B$17*IF(I27&gt;0,M27/I27,1)*Archetypes!$B$31)/100)*Assumptions!$B$30))*Assumptions!$B$62,((M27*(Assumptions!$B$27*(1+Assumptions!$B$28*(Archetypes!$B$14-1))/(1+Assumptions!$B$29*(Archetypes!$B$12-1))))+(((I27*Archetypes!$B$17*IF(I27&gt;0,M27/I27,1)*Archetypes!$B$31)/100)*Assumptions!$B$30)))-(Assumptions!$B$25*Assumptions!$B$26*E27))*E27</f>
        <v>-2.8381702909090891</v>
      </c>
      <c r="I27" s="21">
        <f>(Archetypes!$B$11*(IF(F27&lt;0,1+Assumptions!$B$32*MIN(1,ABS(F27)/ABS(Assumptions!$B$21)),MAX(0.1,1-Assumptions!$B$31*(F27/50)))))*$E27</f>
        <v>14</v>
      </c>
      <c r="J27" s="26">
        <f>Archetypes!$B$30</f>
        <v>2.1999999999999999E-2</v>
      </c>
      <c r="K27" s="21">
        <f t="shared" si="2"/>
        <v>0.308</v>
      </c>
      <c r="L27" s="21">
        <f>((I27-K27)*Archetypes!$B$15)+(K27*Archetypes!$B$15*Archetypes!$B$22)</f>
        <v>1.4061600000000003</v>
      </c>
      <c r="M27" s="21">
        <f>I27*Archetypes!$B$16</f>
        <v>10.5</v>
      </c>
      <c r="N27" s="21">
        <f>(IF(F27&lt;0,Assumptions!$B$8,IF(F27&lt;10,Assumptions!$B$34,IF(F27&lt;25,Assumptions!$B$35,Assumptions!$B$36))))*((((Archetypes!$B$5*Assumptions!$B$4+Archetypes!$B$6*Assumptions!$B$5)*60))+(Assumptions!$B$6*(((Archetypes!$B$11*(IF(F27&lt;0,1+Assumptions!$B$32*MIN(1,ABS(F27)/ABS(Assumptions!$B$21)),MAX(0.1,1-Assumptions!$B$31*(F27/50)))))-((Archetypes!$B$11*(IF(F27&lt;0,1+Assumptions!$B$32*MIN(1,ABS(F27)/ABS(Assumptions!$B$21)),MAX(0.1,1-Assumptions!$B$31*(F27/50)))))*J27)*Archetypes!$B$20)+((Archetypes!$B$11*(IF(F27&lt;0,1+Assumptions!$B$32*MIN(1,ABS(F27)/ABS(Assumptions!$B$21)),MAX(0.1,1-Assumptions!$B$31*(F27/50)))))*J27*Archetypes!$B$20*Archetypes!$B$21)*Assumptions!$B$18)*(IF($D27=1,1,Assumptions!$B$7)))+(((((Archetypes!$B$11*(IF(F27&lt;0,1+Assumptions!$B$32*MIN(1,ABS(F27)/ABS(Assumptions!$B$21)),MAX(0.1,1-Assumptions!$B$31*(F27/50)))))-((Archetypes!$B$11*(IF(F27&lt;0,1+Assumptions!$B$32*MIN(1,ABS(F27)/ABS(Assumptions!$B$21)),MAX(0.1,1-Assumptions!$B$31*(F27/50)))))*J27)*Archetypes!$B$15)*(Archetypes!$B$13*IF(F27&lt;0,1-Assumptions!$B$33*MIN(1,ABS(F27)/ABS(Assumptions!$B$21)),1))*5)+(((Archetypes!$B$11*(IF(F27&lt;0,1+Assumptions!$B$32*MIN(1,ABS(F27)/ABS(Assumptions!$B$21)),MAX(0.1,1-Assumptions!$B$31*(F27/50)))))*J27*Archetypes!$B$15*Archetypes!$B$22)*(Archetypes!$B$13*IF(F27&lt;0,1-Assumptions!$B$33*MIN(1,ABS(F27)/ABS(Assumptions!$B$21)),1))*5*Assumptions!$B$18))*IF(F27&lt;0,Assumptions!$B$9,1)))*$E27</f>
        <v>484.478544</v>
      </c>
      <c r="O27" s="21">
        <f>(O26)+(N27)-(MAX(0,((O26)+(N27)-(P27)))*(IF(Archetypes!$B$27="",Assumptions!$B$11,Archetypes!$B$27)))</f>
        <v>4580.3117930342414</v>
      </c>
      <c r="P27" s="21">
        <f>Archetypes!$B$36 + (Assumptions!$B$67*(IF($E27=0,0,I27/$E27))*Assumptions!$B$71*(1+Assumptions!$B$68*(Archetypes!$B$14-1))) + (Assumptions!$B$69*Archetypes!$B$34*(IF($E27=0,0,I27/$E27))*Assumptions!$B$72*POWER(Assumptions!$B$70,Archetypes!$B$18-1))</f>
        <v>2668.56</v>
      </c>
      <c r="Q27" s="21">
        <f t="shared" si="3"/>
        <v>1911.7517930342415</v>
      </c>
      <c r="S27" s="21">
        <f t="shared" si="9"/>
        <v>59.34099392656568</v>
      </c>
      <c r="T27" s="21">
        <f>MAX(Assumptions!$B$21,S27+U27)</f>
        <v>60.480493520864414</v>
      </c>
      <c r="U27" s="21">
        <f>((Y27*(Assumptions!$B$22+((Assumptions!$B$23-Assumptions!$B$22)*IF(V27&gt;0,X27/V27,0)))*(1+Assumptions!$B$60*(Archetypes!$C$13-1)))+IF(Y27&gt;V27,V27*Assumptions!$B$24,0)-IF(IF(V27&gt;0,Z27/V27,1)&lt;Assumptions!$B$61,((Z27*(Assumptions!$B$27*(1+Assumptions!$B$28*(Archetypes!$C$14-1))/(1+Assumptions!$B$29*(Archetypes!$C$12-1))))+(((V27*Archetypes!$C$17*IF(V27&gt;0,Z27/V27,1)*Archetypes!$C$31)/100)*Assumptions!$B$30))*Assumptions!$B$62,((Z27*(Assumptions!$B$27*(1+Assumptions!$B$28*(Archetypes!$C$14-1))/(1+Assumptions!$B$29*(Archetypes!$C$12-1))))+(((V27*Archetypes!$C$17*IF(V27&gt;0,Z27/V27,1)*Archetypes!$C$31)/100)*Assumptions!$B$30)))-(Assumptions!$B$25*Assumptions!$B$26*E27))*E27</f>
        <v>1.1394995942987345</v>
      </c>
      <c r="V27" s="21">
        <f>(Archetypes!$C$11*(IF(S27&lt;0,1+Assumptions!$B$32*MIN(1,ABS(S27)/ABS(Assumptions!$B$21)),MAX(0.1,1-Assumptions!$B$31*(S27/50)))))*$E27</f>
        <v>1.7274484372872714</v>
      </c>
      <c r="W27" s="26">
        <f>Archetypes!$C$30</f>
        <v>3.7999999999999999E-2</v>
      </c>
      <c r="X27" s="21">
        <f t="shared" si="4"/>
        <v>6.5643040616916309E-2</v>
      </c>
      <c r="Y27" s="21">
        <f>((V27-X27)*Archetypes!$C$15)+(X27*Archetypes!$C$15*Archetypes!$C$22)</f>
        <v>0.87357067473617311</v>
      </c>
      <c r="Z27" s="21">
        <f>V27*Archetypes!$C$16</f>
        <v>0.77735179677927213</v>
      </c>
      <c r="AA27" s="21">
        <f>(IF(S27&lt;0,Assumptions!$B$8,IF(S27&lt;10,Assumptions!$B$34,IF(S27&lt;25,Assumptions!$B$35,Assumptions!$B$36))))*((((Archetypes!$C$5*Assumptions!$B$4+Archetypes!$C$6*Assumptions!$B$5)*60))+(Assumptions!$B$6*(((Archetypes!$C$11*(IF(S27&lt;0,1+Assumptions!$B$32*MIN(1,ABS(S27)/ABS(Assumptions!$B$21)),MAX(0.1,1-Assumptions!$B$31*(S27/50)))))-((Archetypes!$C$11*(IF(S27&lt;0,1+Assumptions!$B$32*MIN(1,ABS(S27)/ABS(Assumptions!$B$21)),MAX(0.1,1-Assumptions!$B$31*(S27/50)))))*W27)*Archetypes!$C$20)+((Archetypes!$C$11*(IF(S27&lt;0,1+Assumptions!$B$32*MIN(1,ABS(S27)/ABS(Assumptions!$B$21)),MAX(0.1,1-Assumptions!$B$31*(S27/50)))))*W27*Archetypes!$C$20*Archetypes!$C$21)*Assumptions!$B$18)*(IF($D27=1,1,Assumptions!$B$7)))+(((((Archetypes!$C$11*(IF(S27&lt;0,1+Assumptions!$B$32*MIN(1,ABS(S27)/ABS(Assumptions!$B$21)),MAX(0.1,1-Assumptions!$B$31*(S27/50)))))-((Archetypes!$C$11*(IF(S27&lt;0,1+Assumptions!$B$32*MIN(1,ABS(S27)/ABS(Assumptions!$B$21)),MAX(0.1,1-Assumptions!$B$31*(S27/50)))))*W27)*Archetypes!$C$15)*(Archetypes!$C$13*IF(S27&lt;0,1-Assumptions!$B$33*MIN(1,ABS(S27)/ABS(Assumptions!$B$21)),1))*5)+(((Archetypes!$C$11*(IF(S27&lt;0,1+Assumptions!$B$32*MIN(1,ABS(S27)/ABS(Assumptions!$B$21)),MAX(0.1,1-Assumptions!$B$31*(S27/50)))))*W27*Archetypes!$C$15*Archetypes!$C$22)*(Archetypes!$C$13*IF(S27&lt;0,1-Assumptions!$B$33*MIN(1,ABS(S27)/ABS(Assumptions!$B$21)),1))*5*Assumptions!$B$18))*IF(S27&lt;0,Assumptions!$B$9,1)))*$E27</f>
        <v>669.614432560203</v>
      </c>
      <c r="AB27" s="21">
        <f>(AB26)+(AA27)-(MAX(0,((AB26)+(AA27)-(AC27)))*(IF(Archetypes!$C$27="",Assumptions!$B$11,Archetypes!$C$27)))</f>
        <v>11285.363178410054</v>
      </c>
      <c r="AC27" s="21">
        <f>Archetypes!$C$36 + (Assumptions!$B$67*(IF($E27=0,0,V27/$E27))*Assumptions!$B$71*(1+Assumptions!$B$68*(Archetypes!$C$14-1))) + (Assumptions!$B$69*Archetypes!$C$34*(IF($E27=0,0,V27/$E27))*Assumptions!$B$72*POWER(Assumptions!$B$70,Archetypes!$C$18-1))</f>
        <v>9209.8303593558576</v>
      </c>
      <c r="AD27" s="21">
        <f t="shared" si="5"/>
        <v>2075.5328190541968</v>
      </c>
      <c r="AF27" s="21">
        <f t="shared" si="10"/>
        <v>81.041861510223924</v>
      </c>
      <c r="AG27" s="21">
        <f>MAX(Assumptions!$B$21,AF27+AH27)</f>
        <v>81.955185994795357</v>
      </c>
      <c r="AH27" s="21">
        <f>((AL27*(Assumptions!$B$22+((Assumptions!$B$23-Assumptions!$B$22)*IF(AI27&gt;0,AK27/AI27,0)))*(1+Assumptions!$B$60*(Archetypes!$D$13-1)))+IF(AL27&gt;AI27,AI27*Assumptions!$B$24,0)-IF(IF(AI27&gt;0,AM27/AI27,1)&lt;Assumptions!$B$61,((AM27*(Assumptions!$B$27*(1+Assumptions!$B$28*(Archetypes!$D$14-1))/(1+Assumptions!$B$29*(Archetypes!$D$12-1))))+(((AI27*Archetypes!$D$17*IF(AI27&gt;0,AM27/AI27,1)*Archetypes!$D$31)/100)*Assumptions!$B$30))*Assumptions!$B$62,((AM27*(Assumptions!$B$27*(1+Assumptions!$B$28*(Archetypes!$D$14-1))/(1+Assumptions!$B$29*(Archetypes!$D$12-1))))+(((AI27*Archetypes!$D$17*IF(AI27&gt;0,AM27/AI27,1)*Archetypes!$D$31)/100)*Assumptions!$B$30)))-(Assumptions!$B$25*Assumptions!$B$26*E27))*E27</f>
        <v>0.9133244845714289</v>
      </c>
      <c r="AI27" s="21">
        <f>(Archetypes!$D$11*(IF(AF27&lt;0,1+Assumptions!$B$32*MIN(1,ABS(AF27)/ABS(Assumptions!$B$21)),MAX(0.1,1-Assumptions!$B$31*(AF27/50)))))*$E27</f>
        <v>0.30000000000000004</v>
      </c>
      <c r="AJ27" s="26">
        <f>Archetypes!$D$30</f>
        <v>0.10400000000000001</v>
      </c>
      <c r="AK27" s="21">
        <f t="shared" si="6"/>
        <v>3.1200000000000009E-2</v>
      </c>
      <c r="AL27" s="21">
        <f>((AI27-AK27)*Archetypes!$D$15)+(AK27*Archetypes!$D$15*Archetypes!$D$22)</f>
        <v>0.46872000000000008</v>
      </c>
      <c r="AM27" s="21">
        <f>AI27*Archetypes!$D$16</f>
        <v>6.0000000000000012E-2</v>
      </c>
      <c r="AN27" s="21">
        <f>(IF(AF27&lt;0,Assumptions!$B$8,IF(AF27&lt;10,Assumptions!$B$34,IF(AF27&lt;25,Assumptions!$B$35,Assumptions!$B$36))))*((((Archetypes!$D$5*Assumptions!$B$4+Archetypes!$D$6*Assumptions!$B$5)*60))+(Assumptions!$B$6*(((Archetypes!$D$11*(IF(AF27&lt;0,1+Assumptions!$B$32*MIN(1,ABS(AF27)/ABS(Assumptions!$B$21)),MAX(0.1,1-Assumptions!$B$31*(AF27/50)))))-((Archetypes!$D$11*(IF(AF27&lt;0,1+Assumptions!$B$32*MIN(1,ABS(AF27)/ABS(Assumptions!$B$21)),MAX(0.1,1-Assumptions!$B$31*(AF27/50)))))*AJ27)*Archetypes!$D$20)+((Archetypes!$D$11*(IF(AF27&lt;0,1+Assumptions!$B$32*MIN(1,ABS(AF27)/ABS(Assumptions!$B$21)),MAX(0.1,1-Assumptions!$B$31*(AF27/50)))))*AJ27*Archetypes!$D$20*Archetypes!$D$21)*Assumptions!$B$18)*(IF($D27=1,1,Assumptions!$B$7)))+(((((Archetypes!$D$11*(IF(AF27&lt;0,1+Assumptions!$B$32*MIN(1,ABS(AF27)/ABS(Assumptions!$B$21)),MAX(0.1,1-Assumptions!$B$31*(AF27/50)))))-((Archetypes!$D$11*(IF(AF27&lt;0,1+Assumptions!$B$32*MIN(1,ABS(AF27)/ABS(Assumptions!$B$21)),MAX(0.1,1-Assumptions!$B$31*(AF27/50)))))*AJ27)*Archetypes!$D$15)*(Archetypes!$D$13*IF(AF27&lt;0,1-Assumptions!$B$33*MIN(1,ABS(AF27)/ABS(Assumptions!$B$21)),1))*5)+(((Archetypes!$D$11*(IF(AF27&lt;0,1+Assumptions!$B$32*MIN(1,ABS(AF27)/ABS(Assumptions!$B$21)),MAX(0.1,1-Assumptions!$B$31*(AF27/50)))))*AJ27*Archetypes!$D$15*Archetypes!$D$22)*(Archetypes!$D$13*IF(AF27&lt;0,1-Assumptions!$B$33*MIN(1,ABS(AF27)/ABS(Assumptions!$B$21)),1))*5*Assumptions!$B$18))*IF(AF27&lt;0,Assumptions!$B$9,1)))*$E27</f>
        <v>939.63674999999989</v>
      </c>
      <c r="AO27" s="21">
        <f>(AO26)+(AN27)-(MAX(0,((AO26)+(AN27)-(AP27)))*(IF(Archetypes!$D$27="",Assumptions!$B$11,Archetypes!$D$27)))</f>
        <v>22800.848434352352</v>
      </c>
      <c r="AP27" s="21">
        <f>Archetypes!$D$36 + (Assumptions!$B$67*(IF($E27=0,0,AI27/$E27))*Assumptions!$B$71*(1+Assumptions!$B$68*(Archetypes!$D$14-1))) + (Assumptions!$B$69*Archetypes!$D$34*(IF($E27=0,0,AI27/$E27))*Assumptions!$B$72*POWER(Assumptions!$B$70,Archetypes!$D$18-1))</f>
        <v>20774.800648960005</v>
      </c>
      <c r="AQ27" s="21">
        <f t="shared" si="7"/>
        <v>2026.0477853923476</v>
      </c>
    </row>
    <row r="28" spans="1:43" x14ac:dyDescent="0.25">
      <c r="A28" s="20">
        <v>24</v>
      </c>
      <c r="B28" s="20">
        <f t="shared" si="0"/>
        <v>2</v>
      </c>
      <c r="C28" s="20">
        <f t="shared" si="1"/>
        <v>0</v>
      </c>
      <c r="D28" s="6">
        <f>IF(C28&lt;Assumptions!$B$10,1,0)</f>
        <v>1</v>
      </c>
      <c r="E28" s="6">
        <v>1</v>
      </c>
      <c r="F28" s="21">
        <f t="shared" si="8"/>
        <v>-15</v>
      </c>
      <c r="G28" s="21">
        <f>MAX(Assumptions!$B$21,F28+H28)</f>
        <v>-15</v>
      </c>
      <c r="H28" s="21">
        <f>((L28*(Assumptions!$B$22+((Assumptions!$B$23-Assumptions!$B$22)*IF(I28&gt;0,K28/I28,0)))*(1+Assumptions!$B$60*(Archetypes!$B$13-1)))+IF(L28&gt;I28,I28*Assumptions!$B$24,0)-IF(IF(I28&gt;0,M28/I28,1)&lt;Assumptions!$B$61,((M28*(Assumptions!$B$27*(1+Assumptions!$B$28*(Archetypes!$B$14-1))/(1+Assumptions!$B$29*(Archetypes!$B$12-1))))+(((I28*Archetypes!$B$17*IF(I28&gt;0,M28/I28,1)*Archetypes!$B$31)/100)*Assumptions!$B$30))*Assumptions!$B$62,((M28*(Assumptions!$B$27*(1+Assumptions!$B$28*(Archetypes!$B$14-1))/(1+Assumptions!$B$29*(Archetypes!$B$12-1))))+(((I28*Archetypes!$B$17*IF(I28&gt;0,M28/I28,1)*Archetypes!$B$31)/100)*Assumptions!$B$30)))-(Assumptions!$B$25*Assumptions!$B$26*E28))*E28</f>
        <v>-2.8381702909090891</v>
      </c>
      <c r="I28" s="21">
        <f>(Archetypes!$B$11*(IF(F28&lt;0,1+Assumptions!$B$32*MIN(1,ABS(F28)/ABS(Assumptions!$B$21)),MAX(0.1,1-Assumptions!$B$31*(F28/50)))))*$E28</f>
        <v>14</v>
      </c>
      <c r="J28" s="26">
        <f>Archetypes!$B$30</f>
        <v>2.1999999999999999E-2</v>
      </c>
      <c r="K28" s="21">
        <f t="shared" si="2"/>
        <v>0.308</v>
      </c>
      <c r="L28" s="21">
        <f>((I28-K28)*Archetypes!$B$15)+(K28*Archetypes!$B$15*Archetypes!$B$22)</f>
        <v>1.4061600000000003</v>
      </c>
      <c r="M28" s="21">
        <f>I28*Archetypes!$B$16</f>
        <v>10.5</v>
      </c>
      <c r="N28" s="21">
        <f>(IF(F28&lt;0,Assumptions!$B$8,IF(F28&lt;10,Assumptions!$B$34,IF(F28&lt;25,Assumptions!$B$35,Assumptions!$B$36))))*((((Archetypes!$B$5*Assumptions!$B$4+Archetypes!$B$6*Assumptions!$B$5)*60))+(Assumptions!$B$6*(((Archetypes!$B$11*(IF(F28&lt;0,1+Assumptions!$B$32*MIN(1,ABS(F28)/ABS(Assumptions!$B$21)),MAX(0.1,1-Assumptions!$B$31*(F28/50)))))-((Archetypes!$B$11*(IF(F28&lt;0,1+Assumptions!$B$32*MIN(1,ABS(F28)/ABS(Assumptions!$B$21)),MAX(0.1,1-Assumptions!$B$31*(F28/50)))))*J28)*Archetypes!$B$20)+((Archetypes!$B$11*(IF(F28&lt;0,1+Assumptions!$B$32*MIN(1,ABS(F28)/ABS(Assumptions!$B$21)),MAX(0.1,1-Assumptions!$B$31*(F28/50)))))*J28*Archetypes!$B$20*Archetypes!$B$21)*Assumptions!$B$18)*(IF($D28=1,1,Assumptions!$B$7)))+(((((Archetypes!$B$11*(IF(F28&lt;0,1+Assumptions!$B$32*MIN(1,ABS(F28)/ABS(Assumptions!$B$21)),MAX(0.1,1-Assumptions!$B$31*(F28/50)))))-((Archetypes!$B$11*(IF(F28&lt;0,1+Assumptions!$B$32*MIN(1,ABS(F28)/ABS(Assumptions!$B$21)),MAX(0.1,1-Assumptions!$B$31*(F28/50)))))*J28)*Archetypes!$B$15)*(Archetypes!$B$13*IF(F28&lt;0,1-Assumptions!$B$33*MIN(1,ABS(F28)/ABS(Assumptions!$B$21)),1))*5)+(((Archetypes!$B$11*(IF(F28&lt;0,1+Assumptions!$B$32*MIN(1,ABS(F28)/ABS(Assumptions!$B$21)),MAX(0.1,1-Assumptions!$B$31*(F28/50)))))*J28*Archetypes!$B$15*Archetypes!$B$22)*(Archetypes!$B$13*IF(F28&lt;0,1-Assumptions!$B$33*MIN(1,ABS(F28)/ABS(Assumptions!$B$21)),1))*5*Assumptions!$B$18))*IF(F28&lt;0,Assumptions!$B$9,1)))*$E28</f>
        <v>710.21174400000018</v>
      </c>
      <c r="O28" s="21">
        <f>(O27)+(N28)-(MAX(0,((O27)+(N28)-(P28)))*(IF(Archetypes!$B$27="",Assumptions!$B$11,Archetypes!$B$27)))</f>
        <v>4766.1308296273928</v>
      </c>
      <c r="P28" s="21">
        <f>Archetypes!$B$36 + (Assumptions!$B$67*(IF($E28=0,0,I28/$E28))*Assumptions!$B$71*(1+Assumptions!$B$68*(Archetypes!$B$14-1))) + (Assumptions!$B$69*Archetypes!$B$34*(IF($E28=0,0,I28/$E28))*Assumptions!$B$72*POWER(Assumptions!$B$70,Archetypes!$B$18-1))</f>
        <v>2668.56</v>
      </c>
      <c r="Q28" s="21">
        <f t="shared" si="3"/>
        <v>2097.5708296273929</v>
      </c>
      <c r="S28" s="21">
        <f t="shared" si="9"/>
        <v>60.480493520864414</v>
      </c>
      <c r="T28" s="21">
        <f>MAX(Assumptions!$B$21,S28+U28)</f>
        <v>61.558749222283851</v>
      </c>
      <c r="U28" s="21">
        <f>((Y28*(Assumptions!$B$22+((Assumptions!$B$23-Assumptions!$B$22)*IF(V28&gt;0,X28/V28,0)))*(1+Assumptions!$B$60*(Archetypes!$C$13-1)))+IF(Y28&gt;V28,V28*Assumptions!$B$24,0)-IF(IF(V28&gt;0,Z28/V28,1)&lt;Assumptions!$B$61,((Z28*(Assumptions!$B$27*(1+Assumptions!$B$28*(Archetypes!$C$14-1))/(1+Assumptions!$B$29*(Archetypes!$C$12-1))))+(((V28*Archetypes!$C$17*IF(V28&gt;0,Z28/V28,1)*Archetypes!$C$31)/100)*Assumptions!$B$30))*Assumptions!$B$62,((Z28*(Assumptions!$B$27*(1+Assumptions!$B$28*(Archetypes!$C$14-1))/(1+Assumptions!$B$29*(Archetypes!$C$12-1))))+(((V28*Archetypes!$C$17*IF(V28&gt;0,Z28/V28,1)*Archetypes!$C$31)/100)*Assumptions!$B$30)))-(Assumptions!$B$25*Assumptions!$B$26*E28))*E28</f>
        <v>1.0782557014194387</v>
      </c>
      <c r="V28" s="21">
        <f>(Archetypes!$C$11*(IF(S28&lt;0,1+Assumptions!$B$32*MIN(1,ABS(S28)/ABS(Assumptions!$B$21)),MAX(0.1,1-Assumptions!$B$31*(S28/50)))))*$E28</f>
        <v>1.645404466497763</v>
      </c>
      <c r="W28" s="26">
        <f>Archetypes!$C$30</f>
        <v>3.7999999999999999E-2</v>
      </c>
      <c r="X28" s="21">
        <f t="shared" si="4"/>
        <v>6.2525369726914984E-2</v>
      </c>
      <c r="Y28" s="21">
        <f>((V28-X28)*Archetypes!$C$15)+(X28*Archetypes!$C$15*Archetypes!$C$22)</f>
        <v>0.83208103870791872</v>
      </c>
      <c r="Z28" s="21">
        <f>V28*Archetypes!$C$16</f>
        <v>0.74043200992399338</v>
      </c>
      <c r="AA28" s="21">
        <f>(IF(S28&lt;0,Assumptions!$B$8,IF(S28&lt;10,Assumptions!$B$34,IF(S28&lt;25,Assumptions!$B$35,Assumptions!$B$36))))*((((Archetypes!$C$5*Assumptions!$B$4+Archetypes!$C$6*Assumptions!$B$5)*60))+(Assumptions!$B$6*(((Archetypes!$C$11*(IF(S28&lt;0,1+Assumptions!$B$32*MIN(1,ABS(S28)/ABS(Assumptions!$B$21)),MAX(0.1,1-Assumptions!$B$31*(S28/50)))))-((Archetypes!$C$11*(IF(S28&lt;0,1+Assumptions!$B$32*MIN(1,ABS(S28)/ABS(Assumptions!$B$21)),MAX(0.1,1-Assumptions!$B$31*(S28/50)))))*W28)*Archetypes!$C$20)+((Archetypes!$C$11*(IF(S28&lt;0,1+Assumptions!$B$32*MIN(1,ABS(S28)/ABS(Assumptions!$B$21)),MAX(0.1,1-Assumptions!$B$31*(S28/50)))))*W28*Archetypes!$C$20*Archetypes!$C$21)*Assumptions!$B$18)*(IF($D28=1,1,Assumptions!$B$7)))+(((((Archetypes!$C$11*(IF(S28&lt;0,1+Assumptions!$B$32*MIN(1,ABS(S28)/ABS(Assumptions!$B$21)),MAX(0.1,1-Assumptions!$B$31*(S28/50)))))-((Archetypes!$C$11*(IF(S28&lt;0,1+Assumptions!$B$32*MIN(1,ABS(S28)/ABS(Assumptions!$B$21)),MAX(0.1,1-Assumptions!$B$31*(S28/50)))))*W28)*Archetypes!$C$15)*(Archetypes!$C$13*IF(S28&lt;0,1-Assumptions!$B$33*MIN(1,ABS(S28)/ABS(Assumptions!$B$21)),1))*5)+(((Archetypes!$C$11*(IF(S28&lt;0,1+Assumptions!$B$32*MIN(1,ABS(S28)/ABS(Assumptions!$B$21)),MAX(0.1,1-Assumptions!$B$31*(S28/50)))))*W28*Archetypes!$C$15*Archetypes!$C$22)*(Archetypes!$C$13*IF(S28&lt;0,1-Assumptions!$B$33*MIN(1,ABS(S28)/ABS(Assumptions!$B$21)),1))*5*Assumptions!$B$18))*IF(S28&lt;0,Assumptions!$B$9,1)))*$E28</f>
        <v>757.14215190399807</v>
      </c>
      <c r="AB28" s="21">
        <f>(AB27)+(AA28)-(MAX(0,((AB27)+(AA28)-(AC28)))*(IF(Archetypes!$C$27="",Assumptions!$B$11,Archetypes!$C$27)))</f>
        <v>11332.49059823174</v>
      </c>
      <c r="AC28" s="21">
        <f>Archetypes!$C$36 + (Assumptions!$B$67*(IF($E28=0,0,V28/$E28))*Assumptions!$B$71*(1+Assumptions!$B$68*(Archetypes!$C$14-1))) + (Assumptions!$B$69*Archetypes!$C$34*(IF($E28=0,0,V28/$E28))*Assumptions!$B$72*POWER(Assumptions!$B$70,Archetypes!$C$18-1))</f>
        <v>9202.4464019848019</v>
      </c>
      <c r="AD28" s="21">
        <f t="shared" si="5"/>
        <v>2130.0441962469376</v>
      </c>
      <c r="AF28" s="21">
        <f t="shared" si="10"/>
        <v>81.955185994795357</v>
      </c>
      <c r="AG28" s="21">
        <f>MAX(Assumptions!$B$21,AF28+AH28)</f>
        <v>82.86851047936679</v>
      </c>
      <c r="AH28" s="21">
        <f>((AL28*(Assumptions!$B$22+((Assumptions!$B$23-Assumptions!$B$22)*IF(AI28&gt;0,AK28/AI28,0)))*(1+Assumptions!$B$60*(Archetypes!$D$13-1)))+IF(AL28&gt;AI28,AI28*Assumptions!$B$24,0)-IF(IF(AI28&gt;0,AM28/AI28,1)&lt;Assumptions!$B$61,((AM28*(Assumptions!$B$27*(1+Assumptions!$B$28*(Archetypes!$D$14-1))/(1+Assumptions!$B$29*(Archetypes!$D$12-1))))+(((AI28*Archetypes!$D$17*IF(AI28&gt;0,AM28/AI28,1)*Archetypes!$D$31)/100)*Assumptions!$B$30))*Assumptions!$B$62,((AM28*(Assumptions!$B$27*(1+Assumptions!$B$28*(Archetypes!$D$14-1))/(1+Assumptions!$B$29*(Archetypes!$D$12-1))))+(((AI28*Archetypes!$D$17*IF(AI28&gt;0,AM28/AI28,1)*Archetypes!$D$31)/100)*Assumptions!$B$30)))-(Assumptions!$B$25*Assumptions!$B$26*E28))*E28</f>
        <v>0.9133244845714289</v>
      </c>
      <c r="AI28" s="21">
        <f>(Archetypes!$D$11*(IF(AF28&lt;0,1+Assumptions!$B$32*MIN(1,ABS(AF28)/ABS(Assumptions!$B$21)),MAX(0.1,1-Assumptions!$B$31*(AF28/50)))))*$E28</f>
        <v>0.30000000000000004</v>
      </c>
      <c r="AJ28" s="26">
        <f>Archetypes!$D$30</f>
        <v>0.10400000000000001</v>
      </c>
      <c r="AK28" s="21">
        <f t="shared" si="6"/>
        <v>3.1200000000000009E-2</v>
      </c>
      <c r="AL28" s="21">
        <f>((AI28-AK28)*Archetypes!$D$15)+(AK28*Archetypes!$D$15*Archetypes!$D$22)</f>
        <v>0.46872000000000008</v>
      </c>
      <c r="AM28" s="21">
        <f>AI28*Archetypes!$D$16</f>
        <v>6.0000000000000012E-2</v>
      </c>
      <c r="AN28" s="21">
        <f>(IF(AF28&lt;0,Assumptions!$B$8,IF(AF28&lt;10,Assumptions!$B$34,IF(AF28&lt;25,Assumptions!$B$35,Assumptions!$B$36))))*((((Archetypes!$D$5*Assumptions!$B$4+Archetypes!$D$6*Assumptions!$B$5)*60))+(Assumptions!$B$6*(((Archetypes!$D$11*(IF(AF28&lt;0,1+Assumptions!$B$32*MIN(1,ABS(AF28)/ABS(Assumptions!$B$21)),MAX(0.1,1-Assumptions!$B$31*(AF28/50)))))-((Archetypes!$D$11*(IF(AF28&lt;0,1+Assumptions!$B$32*MIN(1,ABS(AF28)/ABS(Assumptions!$B$21)),MAX(0.1,1-Assumptions!$B$31*(AF28/50)))))*AJ28)*Archetypes!$D$20)+((Archetypes!$D$11*(IF(AF28&lt;0,1+Assumptions!$B$32*MIN(1,ABS(AF28)/ABS(Assumptions!$B$21)),MAX(0.1,1-Assumptions!$B$31*(AF28/50)))))*AJ28*Archetypes!$D$20*Archetypes!$D$21)*Assumptions!$B$18)*(IF($D28=1,1,Assumptions!$B$7)))+(((((Archetypes!$D$11*(IF(AF28&lt;0,1+Assumptions!$B$32*MIN(1,ABS(AF28)/ABS(Assumptions!$B$21)),MAX(0.1,1-Assumptions!$B$31*(AF28/50)))))-((Archetypes!$D$11*(IF(AF28&lt;0,1+Assumptions!$B$32*MIN(1,ABS(AF28)/ABS(Assumptions!$B$21)),MAX(0.1,1-Assumptions!$B$31*(AF28/50)))))*AJ28)*Archetypes!$D$15)*(Archetypes!$D$13*IF(AF28&lt;0,1-Assumptions!$B$33*MIN(1,ABS(AF28)/ABS(Assumptions!$B$21)),1))*5)+(((Archetypes!$D$11*(IF(AF28&lt;0,1+Assumptions!$B$32*MIN(1,ABS(AF28)/ABS(Assumptions!$B$21)),MAX(0.1,1-Assumptions!$B$31*(AF28/50)))))*AJ28*Archetypes!$D$15*Archetypes!$D$22)*(Archetypes!$D$13*IF(AF28&lt;0,1-Assumptions!$B$33*MIN(1,ABS(AF28)/ABS(Assumptions!$B$21)),1))*5*Assumptions!$B$18))*IF(AF28&lt;0,Assumptions!$B$9,1)))*$E28</f>
        <v>1034.6879999999999</v>
      </c>
      <c r="AO28" s="21">
        <f>(AO27)+(AN28)-(MAX(0,((AO27)+(AN28)-(AP28)))*(IF(Archetypes!$D$27="",Assumptions!$B$11,Archetypes!$D$27)))</f>
        <v>22917.315698734648</v>
      </c>
      <c r="AP28" s="21">
        <f>Archetypes!$D$36 + (Assumptions!$B$67*(IF($E28=0,0,AI28/$E28))*Assumptions!$B$71*(1+Assumptions!$B$68*(Archetypes!$D$14-1))) + (Assumptions!$B$69*Archetypes!$D$34*(IF($E28=0,0,AI28/$E28))*Assumptions!$B$72*POWER(Assumptions!$B$70,Archetypes!$D$18-1))</f>
        <v>20774.800648960005</v>
      </c>
      <c r="AQ28" s="21">
        <f t="shared" si="7"/>
        <v>2142.5150497746436</v>
      </c>
    </row>
    <row r="29" spans="1:43" x14ac:dyDescent="0.25">
      <c r="A29" s="20">
        <v>25</v>
      </c>
      <c r="B29" s="20">
        <f t="shared" si="0"/>
        <v>2</v>
      </c>
      <c r="C29" s="20">
        <f t="shared" si="1"/>
        <v>1</v>
      </c>
      <c r="D29" s="6">
        <f>IF(C29&lt;Assumptions!$B$10,1,0)</f>
        <v>1</v>
      </c>
      <c r="E29" s="6">
        <v>1</v>
      </c>
      <c r="F29" s="21">
        <f t="shared" si="8"/>
        <v>-15</v>
      </c>
      <c r="G29" s="21">
        <f>MAX(Assumptions!$B$21,F29+H29)</f>
        <v>-15</v>
      </c>
      <c r="H29" s="21">
        <f>((L29*(Assumptions!$B$22+((Assumptions!$B$23-Assumptions!$B$22)*IF(I29&gt;0,K29/I29,0)))*(1+Assumptions!$B$60*(Archetypes!$B$13-1)))+IF(L29&gt;I29,I29*Assumptions!$B$24,0)-IF(IF(I29&gt;0,M29/I29,1)&lt;Assumptions!$B$61,((M29*(Assumptions!$B$27*(1+Assumptions!$B$28*(Archetypes!$B$14-1))/(1+Assumptions!$B$29*(Archetypes!$B$12-1))))+(((I29*Archetypes!$B$17*IF(I29&gt;0,M29/I29,1)*Archetypes!$B$31)/100)*Assumptions!$B$30))*Assumptions!$B$62,((M29*(Assumptions!$B$27*(1+Assumptions!$B$28*(Archetypes!$B$14-1))/(1+Assumptions!$B$29*(Archetypes!$B$12-1))))+(((I29*Archetypes!$B$17*IF(I29&gt;0,M29/I29,1)*Archetypes!$B$31)/100)*Assumptions!$B$30)))-(Assumptions!$B$25*Assumptions!$B$26*E29))*E29</f>
        <v>-2.8381702909090891</v>
      </c>
      <c r="I29" s="21">
        <f>(Archetypes!$B$11*(IF(F29&lt;0,1+Assumptions!$B$32*MIN(1,ABS(F29)/ABS(Assumptions!$B$21)),MAX(0.1,1-Assumptions!$B$31*(F29/50)))))*$E29</f>
        <v>14</v>
      </c>
      <c r="J29" s="26">
        <f>Archetypes!$B$30</f>
        <v>2.1999999999999999E-2</v>
      </c>
      <c r="K29" s="21">
        <f t="shared" si="2"/>
        <v>0.308</v>
      </c>
      <c r="L29" s="21">
        <f>((I29-K29)*Archetypes!$B$15)+(K29*Archetypes!$B$15*Archetypes!$B$22)</f>
        <v>1.4061600000000003</v>
      </c>
      <c r="M29" s="21">
        <f>I29*Archetypes!$B$16</f>
        <v>10.5</v>
      </c>
      <c r="N29" s="21">
        <f>(IF(F29&lt;0,Assumptions!$B$8,IF(F29&lt;10,Assumptions!$B$34,IF(F29&lt;25,Assumptions!$B$35,Assumptions!$B$36))))*((((Archetypes!$B$5*Assumptions!$B$4+Archetypes!$B$6*Assumptions!$B$5)*60))+(Assumptions!$B$6*(((Archetypes!$B$11*(IF(F29&lt;0,1+Assumptions!$B$32*MIN(1,ABS(F29)/ABS(Assumptions!$B$21)),MAX(0.1,1-Assumptions!$B$31*(F29/50)))))-((Archetypes!$B$11*(IF(F29&lt;0,1+Assumptions!$B$32*MIN(1,ABS(F29)/ABS(Assumptions!$B$21)),MAX(0.1,1-Assumptions!$B$31*(F29/50)))))*J29)*Archetypes!$B$20)+((Archetypes!$B$11*(IF(F29&lt;0,1+Assumptions!$B$32*MIN(1,ABS(F29)/ABS(Assumptions!$B$21)),MAX(0.1,1-Assumptions!$B$31*(F29/50)))))*J29*Archetypes!$B$20*Archetypes!$B$21)*Assumptions!$B$18)*(IF($D29=1,1,Assumptions!$B$7)))+(((((Archetypes!$B$11*(IF(F29&lt;0,1+Assumptions!$B$32*MIN(1,ABS(F29)/ABS(Assumptions!$B$21)),MAX(0.1,1-Assumptions!$B$31*(F29/50)))))-((Archetypes!$B$11*(IF(F29&lt;0,1+Assumptions!$B$32*MIN(1,ABS(F29)/ABS(Assumptions!$B$21)),MAX(0.1,1-Assumptions!$B$31*(F29/50)))))*J29)*Archetypes!$B$15)*(Archetypes!$B$13*IF(F29&lt;0,1-Assumptions!$B$33*MIN(1,ABS(F29)/ABS(Assumptions!$B$21)),1))*5)+(((Archetypes!$B$11*(IF(F29&lt;0,1+Assumptions!$B$32*MIN(1,ABS(F29)/ABS(Assumptions!$B$21)),MAX(0.1,1-Assumptions!$B$31*(F29/50)))))*J29*Archetypes!$B$15*Archetypes!$B$22)*(Archetypes!$B$13*IF(F29&lt;0,1-Assumptions!$B$33*MIN(1,ABS(F29)/ABS(Assumptions!$B$21)),1))*5*Assumptions!$B$18))*IF(F29&lt;0,Assumptions!$B$9,1)))*$E29</f>
        <v>710.21174400000018</v>
      </c>
      <c r="O29" s="21">
        <f>(O28)+(N29)-(MAX(0,((O28)+(N29)-(P29)))*(IF(Archetypes!$B$27="",Assumptions!$B$11,Archetypes!$B$27)))</f>
        <v>4914.7860589019147</v>
      </c>
      <c r="P29" s="21">
        <f>Archetypes!$B$36 + (Assumptions!$B$67*(IF($E29=0,0,I29/$E29))*Assumptions!$B$71*(1+Assumptions!$B$68*(Archetypes!$B$14-1))) + (Assumptions!$B$69*Archetypes!$B$34*(IF($E29=0,0,I29/$E29))*Assumptions!$B$72*POWER(Assumptions!$B$70,Archetypes!$B$18-1))</f>
        <v>2668.56</v>
      </c>
      <c r="Q29" s="21">
        <f t="shared" si="3"/>
        <v>2246.2260589019147</v>
      </c>
      <c r="S29" s="21">
        <f t="shared" si="9"/>
        <v>61.558749222283851</v>
      </c>
      <c r="T29" s="21">
        <f>MAX(Assumptions!$B$21,S29+U29)</f>
        <v>62.579052663777418</v>
      </c>
      <c r="U29" s="21">
        <f>((Y29*(Assumptions!$B$22+((Assumptions!$B$23-Assumptions!$B$22)*IF(V29&gt;0,X29/V29,0)))*(1+Assumptions!$B$60*(Archetypes!$C$13-1)))+IF(Y29&gt;V29,V29*Assumptions!$B$24,0)-IF(IF(V29&gt;0,Z29/V29,1)&lt;Assumptions!$B$61,((Z29*(Assumptions!$B$27*(1+Assumptions!$B$28*(Archetypes!$C$14-1))/(1+Assumptions!$B$29*(Archetypes!$C$12-1))))+(((V29*Archetypes!$C$17*IF(V29&gt;0,Z29/V29,1)*Archetypes!$C$31)/100)*Assumptions!$B$30))*Assumptions!$B$62,((Z29*(Assumptions!$B$27*(1+Assumptions!$B$28*(Archetypes!$C$14-1))/(1+Assumptions!$B$29*(Archetypes!$C$12-1))))+(((V29*Archetypes!$C$17*IF(V29&gt;0,Z29/V29,1)*Archetypes!$C$31)/100)*Assumptions!$B$30)))-(Assumptions!$B$25*Assumptions!$B$26*E29))*E29</f>
        <v>1.0203034414935701</v>
      </c>
      <c r="V29" s="21">
        <f>(Archetypes!$C$11*(IF(S29&lt;0,1+Assumptions!$B$32*MIN(1,ABS(S29)/ABS(Assumptions!$B$21)),MAX(0.1,1-Assumptions!$B$31*(S29/50)))))*$E29</f>
        <v>1.5677700559955632</v>
      </c>
      <c r="W29" s="26">
        <f>Archetypes!$C$30</f>
        <v>3.7999999999999999E-2</v>
      </c>
      <c r="X29" s="21">
        <f t="shared" si="4"/>
        <v>5.9575262127831402E-2</v>
      </c>
      <c r="Y29" s="21">
        <f>((V29-X29)*Archetypes!$C$15)+(X29*Archetypes!$C$15*Archetypes!$C$22)</f>
        <v>0.79282131731695626</v>
      </c>
      <c r="Z29" s="21">
        <f>V29*Archetypes!$C$16</f>
        <v>0.70549652519800343</v>
      </c>
      <c r="AA29" s="21">
        <f>(IF(S29&lt;0,Assumptions!$B$8,IF(S29&lt;10,Assumptions!$B$34,IF(S29&lt;25,Assumptions!$B$35,Assumptions!$B$36))))*((((Archetypes!$C$5*Assumptions!$B$4+Archetypes!$C$6*Assumptions!$B$5)*60))+(Assumptions!$B$6*(((Archetypes!$C$11*(IF(S29&lt;0,1+Assumptions!$B$32*MIN(1,ABS(S29)/ABS(Assumptions!$B$21)),MAX(0.1,1-Assumptions!$B$31*(S29/50)))))-((Archetypes!$C$11*(IF(S29&lt;0,1+Assumptions!$B$32*MIN(1,ABS(S29)/ABS(Assumptions!$B$21)),MAX(0.1,1-Assumptions!$B$31*(S29/50)))))*W29)*Archetypes!$C$20)+((Archetypes!$C$11*(IF(S29&lt;0,1+Assumptions!$B$32*MIN(1,ABS(S29)/ABS(Assumptions!$B$21)),MAX(0.1,1-Assumptions!$B$31*(S29/50)))))*W29*Archetypes!$C$20*Archetypes!$C$21)*Assumptions!$B$18)*(IF($D29=1,1,Assumptions!$B$7)))+(((((Archetypes!$C$11*(IF(S29&lt;0,1+Assumptions!$B$32*MIN(1,ABS(S29)/ABS(Assumptions!$B$21)),MAX(0.1,1-Assumptions!$B$31*(S29/50)))))-((Archetypes!$C$11*(IF(S29&lt;0,1+Assumptions!$B$32*MIN(1,ABS(S29)/ABS(Assumptions!$B$21)),MAX(0.1,1-Assumptions!$B$31*(S29/50)))))*W29)*Archetypes!$C$15)*(Archetypes!$C$13*IF(S29&lt;0,1-Assumptions!$B$33*MIN(1,ABS(S29)/ABS(Assumptions!$B$21)),1))*5)+(((Archetypes!$C$11*(IF(S29&lt;0,1+Assumptions!$B$32*MIN(1,ABS(S29)/ABS(Assumptions!$B$21)),MAX(0.1,1-Assumptions!$B$31*(S29/50)))))*W29*Archetypes!$C$15*Archetypes!$C$22)*(Archetypes!$C$13*IF(S29&lt;0,1-Assumptions!$B$33*MIN(1,ABS(S29)/ABS(Assumptions!$B$21)),1))*5*Assumptions!$B$18))*IF(S29&lt;0,Assumptions!$B$9,1)))*$E29</f>
        <v>746.68450568031233</v>
      </c>
      <c r="AB29" s="21">
        <f>(AB28)+(AA29)-(MAX(0,((AB28)+(AA29)-(AC29)))*(IF(Archetypes!$C$27="",Assumptions!$B$11,Archetypes!$C$27)))</f>
        <v>11358.246154193939</v>
      </c>
      <c r="AC29" s="21">
        <f>Archetypes!$C$36 + (Assumptions!$B$67*(IF($E29=0,0,V29/$E29))*Assumptions!$B$71*(1+Assumptions!$B$68*(Archetypes!$C$14-1))) + (Assumptions!$B$69*Archetypes!$C$34*(IF($E29=0,0,V29/$E29))*Assumptions!$B$72*POWER(Assumptions!$B$70,Archetypes!$C$18-1))</f>
        <v>9195.4593050396034</v>
      </c>
      <c r="AD29" s="21">
        <f t="shared" si="5"/>
        <v>2162.7868491543359</v>
      </c>
      <c r="AF29" s="21">
        <f t="shared" si="10"/>
        <v>82.86851047936679</v>
      </c>
      <c r="AG29" s="21">
        <f>MAX(Assumptions!$B$21,AF29+AH29)</f>
        <v>83.781834963938223</v>
      </c>
      <c r="AH29" s="21">
        <f>((AL29*(Assumptions!$B$22+((Assumptions!$B$23-Assumptions!$B$22)*IF(AI29&gt;0,AK29/AI29,0)))*(1+Assumptions!$B$60*(Archetypes!$D$13-1)))+IF(AL29&gt;AI29,AI29*Assumptions!$B$24,0)-IF(IF(AI29&gt;0,AM29/AI29,1)&lt;Assumptions!$B$61,((AM29*(Assumptions!$B$27*(1+Assumptions!$B$28*(Archetypes!$D$14-1))/(1+Assumptions!$B$29*(Archetypes!$D$12-1))))+(((AI29*Archetypes!$D$17*IF(AI29&gt;0,AM29/AI29,1)*Archetypes!$D$31)/100)*Assumptions!$B$30))*Assumptions!$B$62,((AM29*(Assumptions!$B$27*(1+Assumptions!$B$28*(Archetypes!$D$14-1))/(1+Assumptions!$B$29*(Archetypes!$D$12-1))))+(((AI29*Archetypes!$D$17*IF(AI29&gt;0,AM29/AI29,1)*Archetypes!$D$31)/100)*Assumptions!$B$30)))-(Assumptions!$B$25*Assumptions!$B$26*E29))*E29</f>
        <v>0.9133244845714289</v>
      </c>
      <c r="AI29" s="21">
        <f>(Archetypes!$D$11*(IF(AF29&lt;0,1+Assumptions!$B$32*MIN(1,ABS(AF29)/ABS(Assumptions!$B$21)),MAX(0.1,1-Assumptions!$B$31*(AF29/50)))))*$E29</f>
        <v>0.30000000000000004</v>
      </c>
      <c r="AJ29" s="26">
        <f>Archetypes!$D$30</f>
        <v>0.10400000000000001</v>
      </c>
      <c r="AK29" s="21">
        <f t="shared" si="6"/>
        <v>3.1200000000000009E-2</v>
      </c>
      <c r="AL29" s="21">
        <f>((AI29-AK29)*Archetypes!$D$15)+(AK29*Archetypes!$D$15*Archetypes!$D$22)</f>
        <v>0.46872000000000008</v>
      </c>
      <c r="AM29" s="21">
        <f>AI29*Archetypes!$D$16</f>
        <v>6.0000000000000012E-2</v>
      </c>
      <c r="AN29" s="21">
        <f>(IF(AF29&lt;0,Assumptions!$B$8,IF(AF29&lt;10,Assumptions!$B$34,IF(AF29&lt;25,Assumptions!$B$35,Assumptions!$B$36))))*((((Archetypes!$D$5*Assumptions!$B$4+Archetypes!$D$6*Assumptions!$B$5)*60))+(Assumptions!$B$6*(((Archetypes!$D$11*(IF(AF29&lt;0,1+Assumptions!$B$32*MIN(1,ABS(AF29)/ABS(Assumptions!$B$21)),MAX(0.1,1-Assumptions!$B$31*(AF29/50)))))-((Archetypes!$D$11*(IF(AF29&lt;0,1+Assumptions!$B$32*MIN(1,ABS(AF29)/ABS(Assumptions!$B$21)),MAX(0.1,1-Assumptions!$B$31*(AF29/50)))))*AJ29)*Archetypes!$D$20)+((Archetypes!$D$11*(IF(AF29&lt;0,1+Assumptions!$B$32*MIN(1,ABS(AF29)/ABS(Assumptions!$B$21)),MAX(0.1,1-Assumptions!$B$31*(AF29/50)))))*AJ29*Archetypes!$D$20*Archetypes!$D$21)*Assumptions!$B$18)*(IF($D29=1,1,Assumptions!$B$7)))+(((((Archetypes!$D$11*(IF(AF29&lt;0,1+Assumptions!$B$32*MIN(1,ABS(AF29)/ABS(Assumptions!$B$21)),MAX(0.1,1-Assumptions!$B$31*(AF29/50)))))-((Archetypes!$D$11*(IF(AF29&lt;0,1+Assumptions!$B$32*MIN(1,ABS(AF29)/ABS(Assumptions!$B$21)),MAX(0.1,1-Assumptions!$B$31*(AF29/50)))))*AJ29)*Archetypes!$D$15)*(Archetypes!$D$13*IF(AF29&lt;0,1-Assumptions!$B$33*MIN(1,ABS(AF29)/ABS(Assumptions!$B$21)),1))*5)+(((Archetypes!$D$11*(IF(AF29&lt;0,1+Assumptions!$B$32*MIN(1,ABS(AF29)/ABS(Assumptions!$B$21)),MAX(0.1,1-Assumptions!$B$31*(AF29/50)))))*AJ29*Archetypes!$D$15*Archetypes!$D$22)*(Archetypes!$D$13*IF(AF29&lt;0,1-Assumptions!$B$33*MIN(1,ABS(AF29)/ABS(Assumptions!$B$21)),1))*5*Assumptions!$B$18))*IF(AF29&lt;0,Assumptions!$B$9,1)))*$E29</f>
        <v>1034.6879999999999</v>
      </c>
      <c r="AO29" s="21">
        <f>(AO28)+(AN29)-(MAX(0,((AO28)+(AN29)-(AP29)))*(IF(Archetypes!$D$27="",Assumptions!$B$11,Archetypes!$D$27)))</f>
        <v>22998.842783802254</v>
      </c>
      <c r="AP29" s="21">
        <f>Archetypes!$D$36 + (Assumptions!$B$67*(IF($E29=0,0,AI29/$E29))*Assumptions!$B$71*(1+Assumptions!$B$68*(Archetypes!$D$14-1))) + (Assumptions!$B$69*Archetypes!$D$34*(IF($E29=0,0,AI29/$E29))*Assumptions!$B$72*POWER(Assumptions!$B$70,Archetypes!$D$18-1))</f>
        <v>20774.800648960005</v>
      </c>
      <c r="AQ29" s="21">
        <f t="shared" si="7"/>
        <v>2224.0421348422497</v>
      </c>
    </row>
    <row r="30" spans="1:43" x14ac:dyDescent="0.25">
      <c r="A30" s="20">
        <v>26</v>
      </c>
      <c r="B30" s="20">
        <f t="shared" si="0"/>
        <v>2</v>
      </c>
      <c r="C30" s="20">
        <f t="shared" si="1"/>
        <v>2</v>
      </c>
      <c r="D30" s="6">
        <f>IF(C30&lt;Assumptions!$B$10,1,0)</f>
        <v>0</v>
      </c>
      <c r="E30" s="6">
        <v>1</v>
      </c>
      <c r="F30" s="21">
        <f t="shared" si="8"/>
        <v>-15</v>
      </c>
      <c r="G30" s="21">
        <f>MAX(Assumptions!$B$21,F30+H30)</f>
        <v>-15</v>
      </c>
      <c r="H30" s="21">
        <f>((L30*(Assumptions!$B$22+((Assumptions!$B$23-Assumptions!$B$22)*IF(I30&gt;0,K30/I30,0)))*(1+Assumptions!$B$60*(Archetypes!$B$13-1)))+IF(L30&gt;I30,I30*Assumptions!$B$24,0)-IF(IF(I30&gt;0,M30/I30,1)&lt;Assumptions!$B$61,((M30*(Assumptions!$B$27*(1+Assumptions!$B$28*(Archetypes!$B$14-1))/(1+Assumptions!$B$29*(Archetypes!$B$12-1))))+(((I30*Archetypes!$B$17*IF(I30&gt;0,M30/I30,1)*Archetypes!$B$31)/100)*Assumptions!$B$30))*Assumptions!$B$62,((M30*(Assumptions!$B$27*(1+Assumptions!$B$28*(Archetypes!$B$14-1))/(1+Assumptions!$B$29*(Archetypes!$B$12-1))))+(((I30*Archetypes!$B$17*IF(I30&gt;0,M30/I30,1)*Archetypes!$B$31)/100)*Assumptions!$B$30)))-(Assumptions!$B$25*Assumptions!$B$26*E30))*E30</f>
        <v>-2.8381702909090891</v>
      </c>
      <c r="I30" s="21">
        <f>(Archetypes!$B$11*(IF(F30&lt;0,1+Assumptions!$B$32*MIN(1,ABS(F30)/ABS(Assumptions!$B$21)),MAX(0.1,1-Assumptions!$B$31*(F30/50)))))*$E30</f>
        <v>14</v>
      </c>
      <c r="J30" s="26">
        <f>Archetypes!$B$30</f>
        <v>2.1999999999999999E-2</v>
      </c>
      <c r="K30" s="21">
        <f t="shared" si="2"/>
        <v>0.308</v>
      </c>
      <c r="L30" s="21">
        <f>((I30-K30)*Archetypes!$B$15)+(K30*Archetypes!$B$15*Archetypes!$B$22)</f>
        <v>1.4061600000000003</v>
      </c>
      <c r="M30" s="21">
        <f>I30*Archetypes!$B$16</f>
        <v>10.5</v>
      </c>
      <c r="N30" s="21">
        <f>(IF(F30&lt;0,Assumptions!$B$8,IF(F30&lt;10,Assumptions!$B$34,IF(F30&lt;25,Assumptions!$B$35,Assumptions!$B$36))))*((((Archetypes!$B$5*Assumptions!$B$4+Archetypes!$B$6*Assumptions!$B$5)*60))+(Assumptions!$B$6*(((Archetypes!$B$11*(IF(F30&lt;0,1+Assumptions!$B$32*MIN(1,ABS(F30)/ABS(Assumptions!$B$21)),MAX(0.1,1-Assumptions!$B$31*(F30/50)))))-((Archetypes!$B$11*(IF(F30&lt;0,1+Assumptions!$B$32*MIN(1,ABS(F30)/ABS(Assumptions!$B$21)),MAX(0.1,1-Assumptions!$B$31*(F30/50)))))*J30)*Archetypes!$B$20)+((Archetypes!$B$11*(IF(F30&lt;0,1+Assumptions!$B$32*MIN(1,ABS(F30)/ABS(Assumptions!$B$21)),MAX(0.1,1-Assumptions!$B$31*(F30/50)))))*J30*Archetypes!$B$20*Archetypes!$B$21)*Assumptions!$B$18)*(IF($D30=1,1,Assumptions!$B$7)))+(((((Archetypes!$B$11*(IF(F30&lt;0,1+Assumptions!$B$32*MIN(1,ABS(F30)/ABS(Assumptions!$B$21)),MAX(0.1,1-Assumptions!$B$31*(F30/50)))))-((Archetypes!$B$11*(IF(F30&lt;0,1+Assumptions!$B$32*MIN(1,ABS(F30)/ABS(Assumptions!$B$21)),MAX(0.1,1-Assumptions!$B$31*(F30/50)))))*J30)*Archetypes!$B$15)*(Archetypes!$B$13*IF(F30&lt;0,1-Assumptions!$B$33*MIN(1,ABS(F30)/ABS(Assumptions!$B$21)),1))*5)+(((Archetypes!$B$11*(IF(F30&lt;0,1+Assumptions!$B$32*MIN(1,ABS(F30)/ABS(Assumptions!$B$21)),MAX(0.1,1-Assumptions!$B$31*(F30/50)))))*J30*Archetypes!$B$15*Archetypes!$B$22)*(Archetypes!$B$13*IF(F30&lt;0,1-Assumptions!$B$33*MIN(1,ABS(F30)/ABS(Assumptions!$B$21)),1))*5*Assumptions!$B$18))*IF(F30&lt;0,Assumptions!$B$9,1)))*$E30</f>
        <v>484.478544</v>
      </c>
      <c r="O30" s="21">
        <f>(O29)+(N30)-(MAX(0,((O29)+(N30)-(P30)))*(IF(Archetypes!$B$27="",Assumptions!$B$11,Archetypes!$B$27)))</f>
        <v>4853.1236823215313</v>
      </c>
      <c r="P30" s="21">
        <f>Archetypes!$B$36 + (Assumptions!$B$67*(IF($E30=0,0,I30/$E30))*Assumptions!$B$71*(1+Assumptions!$B$68*(Archetypes!$B$14-1))) + (Assumptions!$B$69*Archetypes!$B$34*(IF($E30=0,0,I30/$E30))*Assumptions!$B$72*POWER(Assumptions!$B$70,Archetypes!$B$18-1))</f>
        <v>2668.56</v>
      </c>
      <c r="Q30" s="21">
        <f t="shared" si="3"/>
        <v>2184.5636823215314</v>
      </c>
      <c r="S30" s="21">
        <f t="shared" si="9"/>
        <v>62.579052663777418</v>
      </c>
      <c r="T30" s="21">
        <f>MAX(Assumptions!$B$21,S30+U30)</f>
        <v>63.544518565189492</v>
      </c>
      <c r="U30" s="21">
        <f>((Y30*(Assumptions!$B$22+((Assumptions!$B$23-Assumptions!$B$22)*IF(V30&gt;0,X30/V30,0)))*(1+Assumptions!$B$60*(Archetypes!$C$13-1)))+IF(Y30&gt;V30,V30*Assumptions!$B$24,0)-IF(IF(V30&gt;0,Z30/V30,1)&lt;Assumptions!$B$61,((Z30*(Assumptions!$B$27*(1+Assumptions!$B$28*(Archetypes!$C$14-1))/(1+Assumptions!$B$29*(Archetypes!$C$12-1))))+(((V30*Archetypes!$C$17*IF(V30&gt;0,Z30/V30,1)*Archetypes!$C$31)/100)*Assumptions!$B$30))*Assumptions!$B$62,((Z30*(Assumptions!$B$27*(1+Assumptions!$B$28*(Archetypes!$C$14-1))/(1+Assumptions!$B$29*(Archetypes!$C$12-1))))+(((V30*Archetypes!$C$17*IF(V30&gt;0,Z30/V30,1)*Archetypes!$C$31)/100)*Assumptions!$B$30)))-(Assumptions!$B$25*Assumptions!$B$26*E30))*E30</f>
        <v>0.96546590141207067</v>
      </c>
      <c r="V30" s="21">
        <f>(Archetypes!$C$11*(IF(S30&lt;0,1+Assumptions!$B$32*MIN(1,ABS(S30)/ABS(Assumptions!$B$21)),MAX(0.1,1-Assumptions!$B$31*(S30/50)))))*$E30</f>
        <v>1.4943082082080266</v>
      </c>
      <c r="W30" s="26">
        <f>Archetypes!$C$30</f>
        <v>3.7999999999999999E-2</v>
      </c>
      <c r="X30" s="21">
        <f t="shared" si="4"/>
        <v>5.678371191190501E-2</v>
      </c>
      <c r="Y30" s="21">
        <f>((V30-X30)*Archetypes!$C$15)+(X30*Archetypes!$C$15*Archetypes!$C$22)</f>
        <v>0.75567166089079907</v>
      </c>
      <c r="Z30" s="21">
        <f>V30*Archetypes!$C$16</f>
        <v>0.67243869369361198</v>
      </c>
      <c r="AA30" s="21">
        <f>(IF(S30&lt;0,Assumptions!$B$8,IF(S30&lt;10,Assumptions!$B$34,IF(S30&lt;25,Assumptions!$B$35,Assumptions!$B$36))))*((((Archetypes!$C$5*Assumptions!$B$4+Archetypes!$C$6*Assumptions!$B$5)*60))+(Assumptions!$B$6*(((Archetypes!$C$11*(IF(S30&lt;0,1+Assumptions!$B$32*MIN(1,ABS(S30)/ABS(Assumptions!$B$21)),MAX(0.1,1-Assumptions!$B$31*(S30/50)))))-((Archetypes!$C$11*(IF(S30&lt;0,1+Assumptions!$B$32*MIN(1,ABS(S30)/ABS(Assumptions!$B$21)),MAX(0.1,1-Assumptions!$B$31*(S30/50)))))*W30)*Archetypes!$C$20)+((Archetypes!$C$11*(IF(S30&lt;0,1+Assumptions!$B$32*MIN(1,ABS(S30)/ABS(Assumptions!$B$21)),MAX(0.1,1-Assumptions!$B$31*(S30/50)))))*W30*Archetypes!$C$20*Archetypes!$C$21)*Assumptions!$B$18)*(IF($D30=1,1,Assumptions!$B$7)))+(((((Archetypes!$C$11*(IF(S30&lt;0,1+Assumptions!$B$32*MIN(1,ABS(S30)/ABS(Assumptions!$B$21)),MAX(0.1,1-Assumptions!$B$31*(S30/50)))))-((Archetypes!$C$11*(IF(S30&lt;0,1+Assumptions!$B$32*MIN(1,ABS(S30)/ABS(Assumptions!$B$21)),MAX(0.1,1-Assumptions!$B$31*(S30/50)))))*W30)*Archetypes!$C$15)*(Archetypes!$C$13*IF(S30&lt;0,1-Assumptions!$B$33*MIN(1,ABS(S30)/ABS(Assumptions!$B$21)),1))*5)+(((Archetypes!$C$11*(IF(S30&lt;0,1+Assumptions!$B$32*MIN(1,ABS(S30)/ABS(Assumptions!$B$21)),MAX(0.1,1-Assumptions!$B$31*(S30/50)))))*W30*Archetypes!$C$15*Archetypes!$C$22)*(Archetypes!$C$13*IF(S30&lt;0,1-Assumptions!$B$33*MIN(1,ABS(S30)/ABS(Assumptions!$B$21)),1))*5*Assumptions!$B$18))*IF(S30&lt;0,Assumptions!$B$9,1)))*$E30</f>
        <v>651.51405465310904</v>
      </c>
      <c r="AB30" s="21">
        <f>(AB29)+(AA30)-(MAX(0,((AB29)+(AA30)-(AC30)))*(IF(Archetypes!$C$27="",Assumptions!$B$11,Archetypes!$C$27)))</f>
        <v>11304.532091319968</v>
      </c>
      <c r="AC30" s="21">
        <f>Archetypes!$C$36 + (Assumptions!$B$67*(IF($E30=0,0,V30/$E30))*Assumptions!$B$71*(1+Assumptions!$B$68*(Archetypes!$C$14-1))) + (Assumptions!$B$69*Archetypes!$C$34*(IF($E30=0,0,V30/$E30))*Assumptions!$B$72*POWER(Assumptions!$B$70,Archetypes!$C$18-1))</f>
        <v>9188.8477387387247</v>
      </c>
      <c r="AD30" s="21">
        <f t="shared" si="5"/>
        <v>2115.6843525812437</v>
      </c>
      <c r="AF30" s="21">
        <f t="shared" si="10"/>
        <v>83.781834963938223</v>
      </c>
      <c r="AG30" s="21">
        <f>MAX(Assumptions!$B$21,AF30+AH30)</f>
        <v>84.695159448509656</v>
      </c>
      <c r="AH30" s="21">
        <f>((AL30*(Assumptions!$B$22+((Assumptions!$B$23-Assumptions!$B$22)*IF(AI30&gt;0,AK30/AI30,0)))*(1+Assumptions!$B$60*(Archetypes!$D$13-1)))+IF(AL30&gt;AI30,AI30*Assumptions!$B$24,0)-IF(IF(AI30&gt;0,AM30/AI30,1)&lt;Assumptions!$B$61,((AM30*(Assumptions!$B$27*(1+Assumptions!$B$28*(Archetypes!$D$14-1))/(1+Assumptions!$B$29*(Archetypes!$D$12-1))))+(((AI30*Archetypes!$D$17*IF(AI30&gt;0,AM30/AI30,1)*Archetypes!$D$31)/100)*Assumptions!$B$30))*Assumptions!$B$62,((AM30*(Assumptions!$B$27*(1+Assumptions!$B$28*(Archetypes!$D$14-1))/(1+Assumptions!$B$29*(Archetypes!$D$12-1))))+(((AI30*Archetypes!$D$17*IF(AI30&gt;0,AM30/AI30,1)*Archetypes!$D$31)/100)*Assumptions!$B$30)))-(Assumptions!$B$25*Assumptions!$B$26*E30))*E30</f>
        <v>0.9133244845714289</v>
      </c>
      <c r="AI30" s="21">
        <f>(Archetypes!$D$11*(IF(AF30&lt;0,1+Assumptions!$B$32*MIN(1,ABS(AF30)/ABS(Assumptions!$B$21)),MAX(0.1,1-Assumptions!$B$31*(AF30/50)))))*$E30</f>
        <v>0.30000000000000004</v>
      </c>
      <c r="AJ30" s="26">
        <f>Archetypes!$D$30</f>
        <v>0.10400000000000001</v>
      </c>
      <c r="AK30" s="21">
        <f t="shared" si="6"/>
        <v>3.1200000000000009E-2</v>
      </c>
      <c r="AL30" s="21">
        <f>((AI30-AK30)*Archetypes!$D$15)+(AK30*Archetypes!$D$15*Archetypes!$D$22)</f>
        <v>0.46872000000000008</v>
      </c>
      <c r="AM30" s="21">
        <f>AI30*Archetypes!$D$16</f>
        <v>6.0000000000000012E-2</v>
      </c>
      <c r="AN30" s="21">
        <f>(IF(AF30&lt;0,Assumptions!$B$8,IF(AF30&lt;10,Assumptions!$B$34,IF(AF30&lt;25,Assumptions!$B$35,Assumptions!$B$36))))*((((Archetypes!$D$5*Assumptions!$B$4+Archetypes!$D$6*Assumptions!$B$5)*60))+(Assumptions!$B$6*(((Archetypes!$D$11*(IF(AF30&lt;0,1+Assumptions!$B$32*MIN(1,ABS(AF30)/ABS(Assumptions!$B$21)),MAX(0.1,1-Assumptions!$B$31*(AF30/50)))))-((Archetypes!$D$11*(IF(AF30&lt;0,1+Assumptions!$B$32*MIN(1,ABS(AF30)/ABS(Assumptions!$B$21)),MAX(0.1,1-Assumptions!$B$31*(AF30/50)))))*AJ30)*Archetypes!$D$20)+((Archetypes!$D$11*(IF(AF30&lt;0,1+Assumptions!$B$32*MIN(1,ABS(AF30)/ABS(Assumptions!$B$21)),MAX(0.1,1-Assumptions!$B$31*(AF30/50)))))*AJ30*Archetypes!$D$20*Archetypes!$D$21)*Assumptions!$B$18)*(IF($D30=1,1,Assumptions!$B$7)))+(((((Archetypes!$D$11*(IF(AF30&lt;0,1+Assumptions!$B$32*MIN(1,ABS(AF30)/ABS(Assumptions!$B$21)),MAX(0.1,1-Assumptions!$B$31*(AF30/50)))))-((Archetypes!$D$11*(IF(AF30&lt;0,1+Assumptions!$B$32*MIN(1,ABS(AF30)/ABS(Assumptions!$B$21)),MAX(0.1,1-Assumptions!$B$31*(AF30/50)))))*AJ30)*Archetypes!$D$15)*(Archetypes!$D$13*IF(AF30&lt;0,1-Assumptions!$B$33*MIN(1,ABS(AF30)/ABS(Assumptions!$B$21)),1))*5)+(((Archetypes!$D$11*(IF(AF30&lt;0,1+Assumptions!$B$32*MIN(1,ABS(AF30)/ABS(Assumptions!$B$21)),MAX(0.1,1-Assumptions!$B$31*(AF30/50)))))*AJ30*Archetypes!$D$15*Archetypes!$D$22)*(Archetypes!$D$13*IF(AF30&lt;0,1-Assumptions!$B$33*MIN(1,ABS(AF30)/ABS(Assumptions!$B$21)),1))*5*Assumptions!$B$18))*IF(AF30&lt;0,Assumptions!$B$9,1)))*$E30</f>
        <v>939.63674999999989</v>
      </c>
      <c r="AO30" s="21">
        <f>(AO29)+(AN30)-(MAX(0,((AO29)+(AN30)-(AP30)))*(IF(Archetypes!$D$27="",Assumptions!$B$11,Archetypes!$D$27)))</f>
        <v>22989.37586834958</v>
      </c>
      <c r="AP30" s="21">
        <f>Archetypes!$D$36 + (Assumptions!$B$67*(IF($E30=0,0,AI30/$E30))*Assumptions!$B$71*(1+Assumptions!$B$68*(Archetypes!$D$14-1))) + (Assumptions!$B$69*Archetypes!$D$34*(IF($E30=0,0,AI30/$E30))*Assumptions!$B$72*POWER(Assumptions!$B$70,Archetypes!$D$18-1))</f>
        <v>20774.800648960005</v>
      </c>
      <c r="AQ30" s="21">
        <f t="shared" si="7"/>
        <v>2214.5752193895751</v>
      </c>
    </row>
    <row r="31" spans="1:43" x14ac:dyDescent="0.25">
      <c r="A31" s="20">
        <v>27</v>
      </c>
      <c r="B31" s="20">
        <f t="shared" si="0"/>
        <v>2</v>
      </c>
      <c r="C31" s="20">
        <f t="shared" si="1"/>
        <v>3</v>
      </c>
      <c r="D31" s="6">
        <f>IF(C31&lt;Assumptions!$B$10,1,0)</f>
        <v>0</v>
      </c>
      <c r="E31" s="6">
        <v>1</v>
      </c>
      <c r="F31" s="21">
        <f t="shared" si="8"/>
        <v>-15</v>
      </c>
      <c r="G31" s="21">
        <f>MAX(Assumptions!$B$21,F31+H31)</f>
        <v>-15</v>
      </c>
      <c r="H31" s="21">
        <f>((L31*(Assumptions!$B$22+((Assumptions!$B$23-Assumptions!$B$22)*IF(I31&gt;0,K31/I31,0)))*(1+Assumptions!$B$60*(Archetypes!$B$13-1)))+IF(L31&gt;I31,I31*Assumptions!$B$24,0)-IF(IF(I31&gt;0,M31/I31,1)&lt;Assumptions!$B$61,((M31*(Assumptions!$B$27*(1+Assumptions!$B$28*(Archetypes!$B$14-1))/(1+Assumptions!$B$29*(Archetypes!$B$12-1))))+(((I31*Archetypes!$B$17*IF(I31&gt;0,M31/I31,1)*Archetypes!$B$31)/100)*Assumptions!$B$30))*Assumptions!$B$62,((M31*(Assumptions!$B$27*(1+Assumptions!$B$28*(Archetypes!$B$14-1))/(1+Assumptions!$B$29*(Archetypes!$B$12-1))))+(((I31*Archetypes!$B$17*IF(I31&gt;0,M31/I31,1)*Archetypes!$B$31)/100)*Assumptions!$B$30)))-(Assumptions!$B$25*Assumptions!$B$26*E31))*E31</f>
        <v>-2.8381702909090891</v>
      </c>
      <c r="I31" s="21">
        <f>(Archetypes!$B$11*(IF(F31&lt;0,1+Assumptions!$B$32*MIN(1,ABS(F31)/ABS(Assumptions!$B$21)),MAX(0.1,1-Assumptions!$B$31*(F31/50)))))*$E31</f>
        <v>14</v>
      </c>
      <c r="J31" s="26">
        <f>Archetypes!$B$30</f>
        <v>2.1999999999999999E-2</v>
      </c>
      <c r="K31" s="21">
        <f t="shared" si="2"/>
        <v>0.308</v>
      </c>
      <c r="L31" s="21">
        <f>((I31-K31)*Archetypes!$B$15)+(K31*Archetypes!$B$15*Archetypes!$B$22)</f>
        <v>1.4061600000000003</v>
      </c>
      <c r="M31" s="21">
        <f>I31*Archetypes!$B$16</f>
        <v>10.5</v>
      </c>
      <c r="N31" s="21">
        <f>(IF(F31&lt;0,Assumptions!$B$8,IF(F31&lt;10,Assumptions!$B$34,IF(F31&lt;25,Assumptions!$B$35,Assumptions!$B$36))))*((((Archetypes!$B$5*Assumptions!$B$4+Archetypes!$B$6*Assumptions!$B$5)*60))+(Assumptions!$B$6*(((Archetypes!$B$11*(IF(F31&lt;0,1+Assumptions!$B$32*MIN(1,ABS(F31)/ABS(Assumptions!$B$21)),MAX(0.1,1-Assumptions!$B$31*(F31/50)))))-((Archetypes!$B$11*(IF(F31&lt;0,1+Assumptions!$B$32*MIN(1,ABS(F31)/ABS(Assumptions!$B$21)),MAX(0.1,1-Assumptions!$B$31*(F31/50)))))*J31)*Archetypes!$B$20)+((Archetypes!$B$11*(IF(F31&lt;0,1+Assumptions!$B$32*MIN(1,ABS(F31)/ABS(Assumptions!$B$21)),MAX(0.1,1-Assumptions!$B$31*(F31/50)))))*J31*Archetypes!$B$20*Archetypes!$B$21)*Assumptions!$B$18)*(IF($D31=1,1,Assumptions!$B$7)))+(((((Archetypes!$B$11*(IF(F31&lt;0,1+Assumptions!$B$32*MIN(1,ABS(F31)/ABS(Assumptions!$B$21)),MAX(0.1,1-Assumptions!$B$31*(F31/50)))))-((Archetypes!$B$11*(IF(F31&lt;0,1+Assumptions!$B$32*MIN(1,ABS(F31)/ABS(Assumptions!$B$21)),MAX(0.1,1-Assumptions!$B$31*(F31/50)))))*J31)*Archetypes!$B$15)*(Archetypes!$B$13*IF(F31&lt;0,1-Assumptions!$B$33*MIN(1,ABS(F31)/ABS(Assumptions!$B$21)),1))*5)+(((Archetypes!$B$11*(IF(F31&lt;0,1+Assumptions!$B$32*MIN(1,ABS(F31)/ABS(Assumptions!$B$21)),MAX(0.1,1-Assumptions!$B$31*(F31/50)))))*J31*Archetypes!$B$15*Archetypes!$B$22)*(Archetypes!$B$13*IF(F31&lt;0,1-Assumptions!$B$33*MIN(1,ABS(F31)/ABS(Assumptions!$B$21)),1))*5*Assumptions!$B$18))*IF(F31&lt;0,Assumptions!$B$9,1)))*$E31</f>
        <v>484.478544</v>
      </c>
      <c r="O31" s="21">
        <f>(O30)+(N31)-(MAX(0,((O30)+(N31)-(P31)))*(IF(Archetypes!$B$27="",Assumptions!$B$11,Archetypes!$B$27)))</f>
        <v>4803.7937810572248</v>
      </c>
      <c r="P31" s="21">
        <f>Archetypes!$B$36 + (Assumptions!$B$67*(IF($E31=0,0,I31/$E31))*Assumptions!$B$71*(1+Assumptions!$B$68*(Archetypes!$B$14-1))) + (Assumptions!$B$69*Archetypes!$B$34*(IF($E31=0,0,I31/$E31))*Assumptions!$B$72*POWER(Assumptions!$B$70,Archetypes!$B$18-1))</f>
        <v>2668.56</v>
      </c>
      <c r="Q31" s="21">
        <f t="shared" si="3"/>
        <v>2135.2337810572249</v>
      </c>
      <c r="S31" s="21">
        <f t="shared" si="9"/>
        <v>63.544518565189492</v>
      </c>
      <c r="T31" s="21">
        <f>MAX(Assumptions!$B$21,S31+U31)</f>
        <v>64.458094241681309</v>
      </c>
      <c r="U31" s="21">
        <f>((Y31*(Assumptions!$B$22+((Assumptions!$B$23-Assumptions!$B$22)*IF(V31&gt;0,X31/V31,0)))*(1+Assumptions!$B$60*(Archetypes!$C$13-1)))+IF(Y31&gt;V31,V31*Assumptions!$B$24,0)-IF(IF(V31&gt;0,Z31/V31,1)&lt;Assumptions!$B$61,((Z31*(Assumptions!$B$27*(1+Assumptions!$B$28*(Archetypes!$C$14-1))/(1+Assumptions!$B$29*(Archetypes!$C$12-1))))+(((V31*Archetypes!$C$17*IF(V31&gt;0,Z31/V31,1)*Archetypes!$C$31)/100)*Assumptions!$B$30))*Assumptions!$B$62,((Z31*(Assumptions!$B$27*(1+Assumptions!$B$28*(Archetypes!$C$14-1))/(1+Assumptions!$B$29*(Archetypes!$C$12-1))))+(((V31*Archetypes!$C$17*IF(V31&gt;0,Z31/V31,1)*Archetypes!$C$31)/100)*Assumptions!$B$30)))-(Assumptions!$B$25*Assumptions!$B$26*E31))*E31</f>
        <v>0.91357567649182114</v>
      </c>
      <c r="V31" s="21">
        <f>(Archetypes!$C$11*(IF(S31&lt;0,1+Assumptions!$B$32*MIN(1,ABS(S31)/ABS(Assumptions!$B$21)),MAX(0.1,1-Assumptions!$B$31*(S31/50)))))*$E31</f>
        <v>1.4247946633063566</v>
      </c>
      <c r="W31" s="26">
        <f>Archetypes!$C$30</f>
        <v>3.7999999999999999E-2</v>
      </c>
      <c r="X31" s="21">
        <f t="shared" si="4"/>
        <v>5.4142197205641548E-2</v>
      </c>
      <c r="Y31" s="21">
        <f>((V31-X31)*Archetypes!$C$15)+(X31*Archetypes!$C$15*Archetypes!$C$22)</f>
        <v>0.72051866123402453</v>
      </c>
      <c r="Z31" s="21">
        <f>V31*Archetypes!$C$16</f>
        <v>0.64115759848786047</v>
      </c>
      <c r="AA31" s="21">
        <f>(IF(S31&lt;0,Assumptions!$B$8,IF(S31&lt;10,Assumptions!$B$34,IF(S31&lt;25,Assumptions!$B$35,Assumptions!$B$36))))*((((Archetypes!$C$5*Assumptions!$B$4+Archetypes!$C$6*Assumptions!$B$5)*60))+(Assumptions!$B$6*(((Archetypes!$C$11*(IF(S31&lt;0,1+Assumptions!$B$32*MIN(1,ABS(S31)/ABS(Assumptions!$B$21)),MAX(0.1,1-Assumptions!$B$31*(S31/50)))))-((Archetypes!$C$11*(IF(S31&lt;0,1+Assumptions!$B$32*MIN(1,ABS(S31)/ABS(Assumptions!$B$21)),MAX(0.1,1-Assumptions!$B$31*(S31/50)))))*W31)*Archetypes!$C$20)+((Archetypes!$C$11*(IF(S31&lt;0,1+Assumptions!$B$32*MIN(1,ABS(S31)/ABS(Assumptions!$B$21)),MAX(0.1,1-Assumptions!$B$31*(S31/50)))))*W31*Archetypes!$C$20*Archetypes!$C$21)*Assumptions!$B$18)*(IF($D31=1,1,Assumptions!$B$7)))+(((((Archetypes!$C$11*(IF(S31&lt;0,1+Assumptions!$B$32*MIN(1,ABS(S31)/ABS(Assumptions!$B$21)),MAX(0.1,1-Assumptions!$B$31*(S31/50)))))-((Archetypes!$C$11*(IF(S31&lt;0,1+Assumptions!$B$32*MIN(1,ABS(S31)/ABS(Assumptions!$B$21)),MAX(0.1,1-Assumptions!$B$31*(S31/50)))))*W31)*Archetypes!$C$15)*(Archetypes!$C$13*IF(S31&lt;0,1-Assumptions!$B$33*MIN(1,ABS(S31)/ABS(Assumptions!$B$21)),1))*5)+(((Archetypes!$C$11*(IF(S31&lt;0,1+Assumptions!$B$32*MIN(1,ABS(S31)/ABS(Assumptions!$B$21)),MAX(0.1,1-Assumptions!$B$31*(S31/50)))))*W31*Archetypes!$C$15*Archetypes!$C$22)*(Archetypes!$C$13*IF(S31&lt;0,1-Assumptions!$B$33*MIN(1,ABS(S31)/ABS(Assumptions!$B$21)),1))*5*Assumptions!$B$18))*IF(S31&lt;0,Assumptions!$B$9,1)))*$E31</f>
        <v>646.11721071351462</v>
      </c>
      <c r="AB31" s="21">
        <f>(AB30)+(AA31)-(MAX(0,((AB30)+(AA31)-(AC31)))*(IF(Archetypes!$C$27="",Assumptions!$B$11,Archetypes!$C$27)))</f>
        <v>11258.634856449506</v>
      </c>
      <c r="AC31" s="21">
        <f>Archetypes!$C$36 + (Assumptions!$B$67*(IF($E31=0,0,V31/$E31))*Assumptions!$B$71*(1+Assumptions!$B$68*(Archetypes!$C$14-1))) + (Assumptions!$B$69*Archetypes!$C$34*(IF($E31=0,0,V31/$E31))*Assumptions!$B$72*POWER(Assumptions!$B$70,Archetypes!$C$18-1))</f>
        <v>9182.5915196975748</v>
      </c>
      <c r="AD31" s="21">
        <f t="shared" si="5"/>
        <v>2076.0433367519308</v>
      </c>
      <c r="AF31" s="21">
        <f t="shared" si="10"/>
        <v>84.695159448509656</v>
      </c>
      <c r="AG31" s="21">
        <f>MAX(Assumptions!$B$21,AF31+AH31)</f>
        <v>85.608483933081089</v>
      </c>
      <c r="AH31" s="21">
        <f>((AL31*(Assumptions!$B$22+((Assumptions!$B$23-Assumptions!$B$22)*IF(AI31&gt;0,AK31/AI31,0)))*(1+Assumptions!$B$60*(Archetypes!$D$13-1)))+IF(AL31&gt;AI31,AI31*Assumptions!$B$24,0)-IF(IF(AI31&gt;0,AM31/AI31,1)&lt;Assumptions!$B$61,((AM31*(Assumptions!$B$27*(1+Assumptions!$B$28*(Archetypes!$D$14-1))/(1+Assumptions!$B$29*(Archetypes!$D$12-1))))+(((AI31*Archetypes!$D$17*IF(AI31&gt;0,AM31/AI31,1)*Archetypes!$D$31)/100)*Assumptions!$B$30))*Assumptions!$B$62,((AM31*(Assumptions!$B$27*(1+Assumptions!$B$28*(Archetypes!$D$14-1))/(1+Assumptions!$B$29*(Archetypes!$D$12-1))))+(((AI31*Archetypes!$D$17*IF(AI31&gt;0,AM31/AI31,1)*Archetypes!$D$31)/100)*Assumptions!$B$30)))-(Assumptions!$B$25*Assumptions!$B$26*E31))*E31</f>
        <v>0.9133244845714289</v>
      </c>
      <c r="AI31" s="21">
        <f>(Archetypes!$D$11*(IF(AF31&lt;0,1+Assumptions!$B$32*MIN(1,ABS(AF31)/ABS(Assumptions!$B$21)),MAX(0.1,1-Assumptions!$B$31*(AF31/50)))))*$E31</f>
        <v>0.30000000000000004</v>
      </c>
      <c r="AJ31" s="26">
        <f>Archetypes!$D$30</f>
        <v>0.10400000000000001</v>
      </c>
      <c r="AK31" s="21">
        <f t="shared" si="6"/>
        <v>3.1200000000000009E-2</v>
      </c>
      <c r="AL31" s="21">
        <f>((AI31-AK31)*Archetypes!$D$15)+(AK31*Archetypes!$D$15*Archetypes!$D$22)</f>
        <v>0.46872000000000008</v>
      </c>
      <c r="AM31" s="21">
        <f>AI31*Archetypes!$D$16</f>
        <v>6.0000000000000012E-2</v>
      </c>
      <c r="AN31" s="21">
        <f>(IF(AF31&lt;0,Assumptions!$B$8,IF(AF31&lt;10,Assumptions!$B$34,IF(AF31&lt;25,Assumptions!$B$35,Assumptions!$B$36))))*((((Archetypes!$D$5*Assumptions!$B$4+Archetypes!$D$6*Assumptions!$B$5)*60))+(Assumptions!$B$6*(((Archetypes!$D$11*(IF(AF31&lt;0,1+Assumptions!$B$32*MIN(1,ABS(AF31)/ABS(Assumptions!$B$21)),MAX(0.1,1-Assumptions!$B$31*(AF31/50)))))-((Archetypes!$D$11*(IF(AF31&lt;0,1+Assumptions!$B$32*MIN(1,ABS(AF31)/ABS(Assumptions!$B$21)),MAX(0.1,1-Assumptions!$B$31*(AF31/50)))))*AJ31)*Archetypes!$D$20)+((Archetypes!$D$11*(IF(AF31&lt;0,1+Assumptions!$B$32*MIN(1,ABS(AF31)/ABS(Assumptions!$B$21)),MAX(0.1,1-Assumptions!$B$31*(AF31/50)))))*AJ31*Archetypes!$D$20*Archetypes!$D$21)*Assumptions!$B$18)*(IF($D31=1,1,Assumptions!$B$7)))+(((((Archetypes!$D$11*(IF(AF31&lt;0,1+Assumptions!$B$32*MIN(1,ABS(AF31)/ABS(Assumptions!$B$21)),MAX(0.1,1-Assumptions!$B$31*(AF31/50)))))-((Archetypes!$D$11*(IF(AF31&lt;0,1+Assumptions!$B$32*MIN(1,ABS(AF31)/ABS(Assumptions!$B$21)),MAX(0.1,1-Assumptions!$B$31*(AF31/50)))))*AJ31)*Archetypes!$D$15)*(Archetypes!$D$13*IF(AF31&lt;0,1-Assumptions!$B$33*MIN(1,ABS(AF31)/ABS(Assumptions!$B$21)),1))*5)+(((Archetypes!$D$11*(IF(AF31&lt;0,1+Assumptions!$B$32*MIN(1,ABS(AF31)/ABS(Assumptions!$B$21)),MAX(0.1,1-Assumptions!$B$31*(AF31/50)))))*AJ31*Archetypes!$D$15*Archetypes!$D$22)*(Archetypes!$D$13*IF(AF31&lt;0,1-Assumptions!$B$33*MIN(1,ABS(AF31)/ABS(Assumptions!$B$21)),1))*5*Assumptions!$B$18))*IF(AF31&lt;0,Assumptions!$B$9,1)))*$E31</f>
        <v>939.63674999999989</v>
      </c>
      <c r="AO31" s="21">
        <f>(AO30)+(AN31)-(MAX(0,((AO30)+(AN31)-(AP31)))*(IF(Archetypes!$D$27="",Assumptions!$B$11,Archetypes!$D$27)))</f>
        <v>22982.749027532707</v>
      </c>
      <c r="AP31" s="21">
        <f>Archetypes!$D$36 + (Assumptions!$B$67*(IF($E31=0,0,AI31/$E31))*Assumptions!$B$71*(1+Assumptions!$B$68*(Archetypes!$D$14-1))) + (Assumptions!$B$69*Archetypes!$D$34*(IF($E31=0,0,AI31/$E31))*Assumptions!$B$72*POWER(Assumptions!$B$70,Archetypes!$D$18-1))</f>
        <v>20774.800648960005</v>
      </c>
      <c r="AQ31" s="21">
        <f t="shared" si="7"/>
        <v>2207.9483785727025</v>
      </c>
    </row>
    <row r="32" spans="1:43" x14ac:dyDescent="0.25">
      <c r="A32" s="20">
        <v>28</v>
      </c>
      <c r="B32" s="20">
        <f t="shared" si="0"/>
        <v>2</v>
      </c>
      <c r="C32" s="20">
        <f t="shared" si="1"/>
        <v>4</v>
      </c>
      <c r="D32" s="6">
        <f>IF(C32&lt;Assumptions!$B$10,1,0)</f>
        <v>0</v>
      </c>
      <c r="E32" s="6">
        <v>1</v>
      </c>
      <c r="F32" s="21">
        <f t="shared" si="8"/>
        <v>-15</v>
      </c>
      <c r="G32" s="21">
        <f>MAX(Assumptions!$B$21,F32+H32)</f>
        <v>-15</v>
      </c>
      <c r="H32" s="21">
        <f>((L32*(Assumptions!$B$22+((Assumptions!$B$23-Assumptions!$B$22)*IF(I32&gt;0,K32/I32,0)))*(1+Assumptions!$B$60*(Archetypes!$B$13-1)))+IF(L32&gt;I32,I32*Assumptions!$B$24,0)-IF(IF(I32&gt;0,M32/I32,1)&lt;Assumptions!$B$61,((M32*(Assumptions!$B$27*(1+Assumptions!$B$28*(Archetypes!$B$14-1))/(1+Assumptions!$B$29*(Archetypes!$B$12-1))))+(((I32*Archetypes!$B$17*IF(I32&gt;0,M32/I32,1)*Archetypes!$B$31)/100)*Assumptions!$B$30))*Assumptions!$B$62,((M32*(Assumptions!$B$27*(1+Assumptions!$B$28*(Archetypes!$B$14-1))/(1+Assumptions!$B$29*(Archetypes!$B$12-1))))+(((I32*Archetypes!$B$17*IF(I32&gt;0,M32/I32,1)*Archetypes!$B$31)/100)*Assumptions!$B$30)))-(Assumptions!$B$25*Assumptions!$B$26*E32))*E32</f>
        <v>-2.8381702909090891</v>
      </c>
      <c r="I32" s="21">
        <f>(Archetypes!$B$11*(IF(F32&lt;0,1+Assumptions!$B$32*MIN(1,ABS(F32)/ABS(Assumptions!$B$21)),MAX(0.1,1-Assumptions!$B$31*(F32/50)))))*$E32</f>
        <v>14</v>
      </c>
      <c r="J32" s="26">
        <f>Archetypes!$B$30</f>
        <v>2.1999999999999999E-2</v>
      </c>
      <c r="K32" s="21">
        <f t="shared" si="2"/>
        <v>0.308</v>
      </c>
      <c r="L32" s="21">
        <f>((I32-K32)*Archetypes!$B$15)+(K32*Archetypes!$B$15*Archetypes!$B$22)</f>
        <v>1.4061600000000003</v>
      </c>
      <c r="M32" s="21">
        <f>I32*Archetypes!$B$16</f>
        <v>10.5</v>
      </c>
      <c r="N32" s="21">
        <f>(IF(F32&lt;0,Assumptions!$B$8,IF(F32&lt;10,Assumptions!$B$34,IF(F32&lt;25,Assumptions!$B$35,Assumptions!$B$36))))*((((Archetypes!$B$5*Assumptions!$B$4+Archetypes!$B$6*Assumptions!$B$5)*60))+(Assumptions!$B$6*(((Archetypes!$B$11*(IF(F32&lt;0,1+Assumptions!$B$32*MIN(1,ABS(F32)/ABS(Assumptions!$B$21)),MAX(0.1,1-Assumptions!$B$31*(F32/50)))))-((Archetypes!$B$11*(IF(F32&lt;0,1+Assumptions!$B$32*MIN(1,ABS(F32)/ABS(Assumptions!$B$21)),MAX(0.1,1-Assumptions!$B$31*(F32/50)))))*J32)*Archetypes!$B$20)+((Archetypes!$B$11*(IF(F32&lt;0,1+Assumptions!$B$32*MIN(1,ABS(F32)/ABS(Assumptions!$B$21)),MAX(0.1,1-Assumptions!$B$31*(F32/50)))))*J32*Archetypes!$B$20*Archetypes!$B$21)*Assumptions!$B$18)*(IF($D32=1,1,Assumptions!$B$7)))+(((((Archetypes!$B$11*(IF(F32&lt;0,1+Assumptions!$B$32*MIN(1,ABS(F32)/ABS(Assumptions!$B$21)),MAX(0.1,1-Assumptions!$B$31*(F32/50)))))-((Archetypes!$B$11*(IF(F32&lt;0,1+Assumptions!$B$32*MIN(1,ABS(F32)/ABS(Assumptions!$B$21)),MAX(0.1,1-Assumptions!$B$31*(F32/50)))))*J32)*Archetypes!$B$15)*(Archetypes!$B$13*IF(F32&lt;0,1-Assumptions!$B$33*MIN(1,ABS(F32)/ABS(Assumptions!$B$21)),1))*5)+(((Archetypes!$B$11*(IF(F32&lt;0,1+Assumptions!$B$32*MIN(1,ABS(F32)/ABS(Assumptions!$B$21)),MAX(0.1,1-Assumptions!$B$31*(F32/50)))))*J32*Archetypes!$B$15*Archetypes!$B$22)*(Archetypes!$B$13*IF(F32&lt;0,1-Assumptions!$B$33*MIN(1,ABS(F32)/ABS(Assumptions!$B$21)),1))*5*Assumptions!$B$18))*IF(F32&lt;0,Assumptions!$B$9,1)))*$E32</f>
        <v>484.478544</v>
      </c>
      <c r="O32" s="21">
        <f>(O31)+(N32)-(MAX(0,((O31)+(N32)-(P32)))*(IF(Archetypes!$B$27="",Assumptions!$B$11,Archetypes!$B$27)))</f>
        <v>4764.3298600457792</v>
      </c>
      <c r="P32" s="21">
        <f>Archetypes!$B$36 + (Assumptions!$B$67*(IF($E32=0,0,I32/$E32))*Assumptions!$B$71*(1+Assumptions!$B$68*(Archetypes!$B$14-1))) + (Assumptions!$B$69*Archetypes!$B$34*(IF($E32=0,0,I32/$E32))*Assumptions!$B$72*POWER(Assumptions!$B$70,Archetypes!$B$18-1))</f>
        <v>2668.56</v>
      </c>
      <c r="Q32" s="21">
        <f t="shared" si="3"/>
        <v>2095.7698600457793</v>
      </c>
      <c r="S32" s="21">
        <f t="shared" si="9"/>
        <v>64.458094241681309</v>
      </c>
      <c r="T32" s="21">
        <f>MAX(Assumptions!$B$21,S32+U32)</f>
        <v>65.322568601114185</v>
      </c>
      <c r="U32" s="21">
        <f>((Y32*(Assumptions!$B$22+((Assumptions!$B$23-Assumptions!$B$22)*IF(V32&gt;0,X32/V32,0)))*(1+Assumptions!$B$60*(Archetypes!$C$13-1)))+IF(Y32&gt;V32,V32*Assumptions!$B$24,0)-IF(IF(V32&gt;0,Z32/V32,1)&lt;Assumptions!$B$61,((Z32*(Assumptions!$B$27*(1+Assumptions!$B$28*(Archetypes!$C$14-1))/(1+Assumptions!$B$29*(Archetypes!$C$12-1))))+(((V32*Archetypes!$C$17*IF(V32&gt;0,Z32/V32,1)*Archetypes!$C$31)/100)*Assumptions!$B$30))*Assumptions!$B$62,((Z32*(Assumptions!$B$27*(1+Assumptions!$B$28*(Archetypes!$C$14-1))/(1+Assumptions!$B$29*(Archetypes!$C$12-1))))+(((V32*Archetypes!$C$17*IF(V32&gt;0,Z32/V32,1)*Archetypes!$C$31)/100)*Assumptions!$B$30)))-(Assumptions!$B$25*Assumptions!$B$26*E32))*E32</f>
        <v>0.86447435943288153</v>
      </c>
      <c r="V32" s="21">
        <f>(Archetypes!$C$11*(IF(S32&lt;0,1+Assumptions!$B$32*MIN(1,ABS(S32)/ABS(Assumptions!$B$21)),MAX(0.1,1-Assumptions!$B$31*(S32/50)))))*$E32</f>
        <v>1.3590172145989459</v>
      </c>
      <c r="W32" s="26">
        <f>Archetypes!$C$30</f>
        <v>3.7999999999999999E-2</v>
      </c>
      <c r="X32" s="21">
        <f t="shared" si="4"/>
        <v>5.1642654154759944E-2</v>
      </c>
      <c r="Y32" s="21">
        <f>((V32-X32)*Archetypes!$C$15)+(X32*Archetypes!$C$15*Archetypes!$C$22)</f>
        <v>0.68725500542268692</v>
      </c>
      <c r="Z32" s="21">
        <f>V32*Archetypes!$C$16</f>
        <v>0.61155774656952566</v>
      </c>
      <c r="AA32" s="21">
        <f>(IF(S32&lt;0,Assumptions!$B$8,IF(S32&lt;10,Assumptions!$B$34,IF(S32&lt;25,Assumptions!$B$35,Assumptions!$B$36))))*((((Archetypes!$C$5*Assumptions!$B$4+Archetypes!$C$6*Assumptions!$B$5)*60))+(Assumptions!$B$6*(((Archetypes!$C$11*(IF(S32&lt;0,1+Assumptions!$B$32*MIN(1,ABS(S32)/ABS(Assumptions!$B$21)),MAX(0.1,1-Assumptions!$B$31*(S32/50)))))-((Archetypes!$C$11*(IF(S32&lt;0,1+Assumptions!$B$32*MIN(1,ABS(S32)/ABS(Assumptions!$B$21)),MAX(0.1,1-Assumptions!$B$31*(S32/50)))))*W32)*Archetypes!$C$20)+((Archetypes!$C$11*(IF(S32&lt;0,1+Assumptions!$B$32*MIN(1,ABS(S32)/ABS(Assumptions!$B$21)),MAX(0.1,1-Assumptions!$B$31*(S32/50)))))*W32*Archetypes!$C$20*Archetypes!$C$21)*Assumptions!$B$18)*(IF($D32=1,1,Assumptions!$B$7)))+(((((Archetypes!$C$11*(IF(S32&lt;0,1+Assumptions!$B$32*MIN(1,ABS(S32)/ABS(Assumptions!$B$21)),MAX(0.1,1-Assumptions!$B$31*(S32/50)))))-((Archetypes!$C$11*(IF(S32&lt;0,1+Assumptions!$B$32*MIN(1,ABS(S32)/ABS(Assumptions!$B$21)),MAX(0.1,1-Assumptions!$B$31*(S32/50)))))*W32)*Archetypes!$C$15)*(Archetypes!$C$13*IF(S32&lt;0,1-Assumptions!$B$33*MIN(1,ABS(S32)/ABS(Assumptions!$B$21)),1))*5)+(((Archetypes!$C$11*(IF(S32&lt;0,1+Assumptions!$B$32*MIN(1,ABS(S32)/ABS(Assumptions!$B$21)),MAX(0.1,1-Assumptions!$B$31*(S32/50)))))*W32*Archetypes!$C$15*Archetypes!$C$22)*(Archetypes!$C$13*IF(S32&lt;0,1-Assumptions!$B$33*MIN(1,ABS(S32)/ABS(Assumptions!$B$21)),1))*5*Assumptions!$B$18))*IF(S32&lt;0,Assumptions!$B$9,1)))*$E32</f>
        <v>641.01042719498275</v>
      </c>
      <c r="AB32" s="21">
        <f>(AB31)+(AA32)-(MAX(0,((AB31)+(AA32)-(AC32)))*(IF(Archetypes!$C$27="",Assumptions!$B$11,Archetypes!$C$27)))</f>
        <v>11218.901850061842</v>
      </c>
      <c r="AC32" s="21">
        <f>Archetypes!$C$36 + (Assumptions!$B$67*(IF($E32=0,0,V32/$E32))*Assumptions!$B$71*(1+Assumptions!$B$68*(Archetypes!$C$14-1))) + (Assumptions!$B$69*Archetypes!$C$34*(IF($E32=0,0,V32/$E32))*Assumptions!$B$72*POWER(Assumptions!$B$70,Archetypes!$C$18-1))</f>
        <v>9176.6715493139072</v>
      </c>
      <c r="AD32" s="21">
        <f t="shared" si="5"/>
        <v>2042.230300747935</v>
      </c>
      <c r="AF32" s="21">
        <f t="shared" si="10"/>
        <v>85.608483933081089</v>
      </c>
      <c r="AG32" s="21">
        <f>MAX(Assumptions!$B$21,AF32+AH32)</f>
        <v>86.521808417652522</v>
      </c>
      <c r="AH32" s="21">
        <f>((AL32*(Assumptions!$B$22+((Assumptions!$B$23-Assumptions!$B$22)*IF(AI32&gt;0,AK32/AI32,0)))*(1+Assumptions!$B$60*(Archetypes!$D$13-1)))+IF(AL32&gt;AI32,AI32*Assumptions!$B$24,0)-IF(IF(AI32&gt;0,AM32/AI32,1)&lt;Assumptions!$B$61,((AM32*(Assumptions!$B$27*(1+Assumptions!$B$28*(Archetypes!$D$14-1))/(1+Assumptions!$B$29*(Archetypes!$D$12-1))))+(((AI32*Archetypes!$D$17*IF(AI32&gt;0,AM32/AI32,1)*Archetypes!$D$31)/100)*Assumptions!$B$30))*Assumptions!$B$62,((AM32*(Assumptions!$B$27*(1+Assumptions!$B$28*(Archetypes!$D$14-1))/(1+Assumptions!$B$29*(Archetypes!$D$12-1))))+(((AI32*Archetypes!$D$17*IF(AI32&gt;0,AM32/AI32,1)*Archetypes!$D$31)/100)*Assumptions!$B$30)))-(Assumptions!$B$25*Assumptions!$B$26*E32))*E32</f>
        <v>0.9133244845714289</v>
      </c>
      <c r="AI32" s="21">
        <f>(Archetypes!$D$11*(IF(AF32&lt;0,1+Assumptions!$B$32*MIN(1,ABS(AF32)/ABS(Assumptions!$B$21)),MAX(0.1,1-Assumptions!$B$31*(AF32/50)))))*$E32</f>
        <v>0.30000000000000004</v>
      </c>
      <c r="AJ32" s="26">
        <f>Archetypes!$D$30</f>
        <v>0.10400000000000001</v>
      </c>
      <c r="AK32" s="21">
        <f t="shared" si="6"/>
        <v>3.1200000000000009E-2</v>
      </c>
      <c r="AL32" s="21">
        <f>((AI32-AK32)*Archetypes!$D$15)+(AK32*Archetypes!$D$15*Archetypes!$D$22)</f>
        <v>0.46872000000000008</v>
      </c>
      <c r="AM32" s="21">
        <f>AI32*Archetypes!$D$16</f>
        <v>6.0000000000000012E-2</v>
      </c>
      <c r="AN32" s="21">
        <f>(IF(AF32&lt;0,Assumptions!$B$8,IF(AF32&lt;10,Assumptions!$B$34,IF(AF32&lt;25,Assumptions!$B$35,Assumptions!$B$36))))*((((Archetypes!$D$5*Assumptions!$B$4+Archetypes!$D$6*Assumptions!$B$5)*60))+(Assumptions!$B$6*(((Archetypes!$D$11*(IF(AF32&lt;0,1+Assumptions!$B$32*MIN(1,ABS(AF32)/ABS(Assumptions!$B$21)),MAX(0.1,1-Assumptions!$B$31*(AF32/50)))))-((Archetypes!$D$11*(IF(AF32&lt;0,1+Assumptions!$B$32*MIN(1,ABS(AF32)/ABS(Assumptions!$B$21)),MAX(0.1,1-Assumptions!$B$31*(AF32/50)))))*AJ32)*Archetypes!$D$20)+((Archetypes!$D$11*(IF(AF32&lt;0,1+Assumptions!$B$32*MIN(1,ABS(AF32)/ABS(Assumptions!$B$21)),MAX(0.1,1-Assumptions!$B$31*(AF32/50)))))*AJ32*Archetypes!$D$20*Archetypes!$D$21)*Assumptions!$B$18)*(IF($D32=1,1,Assumptions!$B$7)))+(((((Archetypes!$D$11*(IF(AF32&lt;0,1+Assumptions!$B$32*MIN(1,ABS(AF32)/ABS(Assumptions!$B$21)),MAX(0.1,1-Assumptions!$B$31*(AF32/50)))))-((Archetypes!$D$11*(IF(AF32&lt;0,1+Assumptions!$B$32*MIN(1,ABS(AF32)/ABS(Assumptions!$B$21)),MAX(0.1,1-Assumptions!$B$31*(AF32/50)))))*AJ32)*Archetypes!$D$15)*(Archetypes!$D$13*IF(AF32&lt;0,1-Assumptions!$B$33*MIN(1,ABS(AF32)/ABS(Assumptions!$B$21)),1))*5)+(((Archetypes!$D$11*(IF(AF32&lt;0,1+Assumptions!$B$32*MIN(1,ABS(AF32)/ABS(Assumptions!$B$21)),MAX(0.1,1-Assumptions!$B$31*(AF32/50)))))*AJ32*Archetypes!$D$15*Archetypes!$D$22)*(Archetypes!$D$13*IF(AF32&lt;0,1-Assumptions!$B$33*MIN(1,ABS(AF32)/ABS(Assumptions!$B$21)),1))*5*Assumptions!$B$18))*IF(AF32&lt;0,Assumptions!$B$9,1)))*$E32</f>
        <v>939.63674999999989</v>
      </c>
      <c r="AO32" s="21">
        <f>(AO31)+(AN32)-(MAX(0,((AO31)+(AN32)-(AP32)))*(IF(Archetypes!$D$27="",Assumptions!$B$11,Archetypes!$D$27)))</f>
        <v>22978.110238960897</v>
      </c>
      <c r="AP32" s="21">
        <f>Archetypes!$D$36 + (Assumptions!$B$67*(IF($E32=0,0,AI32/$E32))*Assumptions!$B$71*(1+Assumptions!$B$68*(Archetypes!$D$14-1))) + (Assumptions!$B$69*Archetypes!$D$34*(IF($E32=0,0,AI32/$E32))*Assumptions!$B$72*POWER(Assumptions!$B$70,Archetypes!$D$18-1))</f>
        <v>20774.800648960005</v>
      </c>
      <c r="AQ32" s="21">
        <f t="shared" si="7"/>
        <v>2203.3095900008921</v>
      </c>
    </row>
    <row r="33" spans="1:43" x14ac:dyDescent="0.25">
      <c r="A33" s="20">
        <v>29</v>
      </c>
      <c r="B33" s="20">
        <f t="shared" si="0"/>
        <v>2</v>
      </c>
      <c r="C33" s="20">
        <f t="shared" si="1"/>
        <v>5</v>
      </c>
      <c r="D33" s="6">
        <f>IF(C33&lt;Assumptions!$B$10,1,0)</f>
        <v>0</v>
      </c>
      <c r="E33" s="6">
        <v>1</v>
      </c>
      <c r="F33" s="21">
        <f t="shared" si="8"/>
        <v>-15</v>
      </c>
      <c r="G33" s="21">
        <f>MAX(Assumptions!$B$21,F33+H33)</f>
        <v>-15</v>
      </c>
      <c r="H33" s="21">
        <f>((L33*(Assumptions!$B$22+((Assumptions!$B$23-Assumptions!$B$22)*IF(I33&gt;0,K33/I33,0)))*(1+Assumptions!$B$60*(Archetypes!$B$13-1)))+IF(L33&gt;I33,I33*Assumptions!$B$24,0)-IF(IF(I33&gt;0,M33/I33,1)&lt;Assumptions!$B$61,((M33*(Assumptions!$B$27*(1+Assumptions!$B$28*(Archetypes!$B$14-1))/(1+Assumptions!$B$29*(Archetypes!$B$12-1))))+(((I33*Archetypes!$B$17*IF(I33&gt;0,M33/I33,1)*Archetypes!$B$31)/100)*Assumptions!$B$30))*Assumptions!$B$62,((M33*(Assumptions!$B$27*(1+Assumptions!$B$28*(Archetypes!$B$14-1))/(1+Assumptions!$B$29*(Archetypes!$B$12-1))))+(((I33*Archetypes!$B$17*IF(I33&gt;0,M33/I33,1)*Archetypes!$B$31)/100)*Assumptions!$B$30)))-(Assumptions!$B$25*Assumptions!$B$26*E33))*E33</f>
        <v>-2.8381702909090891</v>
      </c>
      <c r="I33" s="21">
        <f>(Archetypes!$B$11*(IF(F33&lt;0,1+Assumptions!$B$32*MIN(1,ABS(F33)/ABS(Assumptions!$B$21)),MAX(0.1,1-Assumptions!$B$31*(F33/50)))))*$E33</f>
        <v>14</v>
      </c>
      <c r="J33" s="26">
        <f>Archetypes!$B$30</f>
        <v>2.1999999999999999E-2</v>
      </c>
      <c r="K33" s="21">
        <f t="shared" si="2"/>
        <v>0.308</v>
      </c>
      <c r="L33" s="21">
        <f>((I33-K33)*Archetypes!$B$15)+(K33*Archetypes!$B$15*Archetypes!$B$22)</f>
        <v>1.4061600000000003</v>
      </c>
      <c r="M33" s="21">
        <f>I33*Archetypes!$B$16</f>
        <v>10.5</v>
      </c>
      <c r="N33" s="21">
        <f>(IF(F33&lt;0,Assumptions!$B$8,IF(F33&lt;10,Assumptions!$B$34,IF(F33&lt;25,Assumptions!$B$35,Assumptions!$B$36))))*((((Archetypes!$B$5*Assumptions!$B$4+Archetypes!$B$6*Assumptions!$B$5)*60))+(Assumptions!$B$6*(((Archetypes!$B$11*(IF(F33&lt;0,1+Assumptions!$B$32*MIN(1,ABS(F33)/ABS(Assumptions!$B$21)),MAX(0.1,1-Assumptions!$B$31*(F33/50)))))-((Archetypes!$B$11*(IF(F33&lt;0,1+Assumptions!$B$32*MIN(1,ABS(F33)/ABS(Assumptions!$B$21)),MAX(0.1,1-Assumptions!$B$31*(F33/50)))))*J33)*Archetypes!$B$20)+((Archetypes!$B$11*(IF(F33&lt;0,1+Assumptions!$B$32*MIN(1,ABS(F33)/ABS(Assumptions!$B$21)),MAX(0.1,1-Assumptions!$B$31*(F33/50)))))*J33*Archetypes!$B$20*Archetypes!$B$21)*Assumptions!$B$18)*(IF($D33=1,1,Assumptions!$B$7)))+(((((Archetypes!$B$11*(IF(F33&lt;0,1+Assumptions!$B$32*MIN(1,ABS(F33)/ABS(Assumptions!$B$21)),MAX(0.1,1-Assumptions!$B$31*(F33/50)))))-((Archetypes!$B$11*(IF(F33&lt;0,1+Assumptions!$B$32*MIN(1,ABS(F33)/ABS(Assumptions!$B$21)),MAX(0.1,1-Assumptions!$B$31*(F33/50)))))*J33)*Archetypes!$B$15)*(Archetypes!$B$13*IF(F33&lt;0,1-Assumptions!$B$33*MIN(1,ABS(F33)/ABS(Assumptions!$B$21)),1))*5)+(((Archetypes!$B$11*(IF(F33&lt;0,1+Assumptions!$B$32*MIN(1,ABS(F33)/ABS(Assumptions!$B$21)),MAX(0.1,1-Assumptions!$B$31*(F33/50)))))*J33*Archetypes!$B$15*Archetypes!$B$22)*(Archetypes!$B$13*IF(F33&lt;0,1-Assumptions!$B$33*MIN(1,ABS(F33)/ABS(Assumptions!$B$21)),1))*5*Assumptions!$B$18))*IF(F33&lt;0,Assumptions!$B$9,1)))*$E33</f>
        <v>484.478544</v>
      </c>
      <c r="O33" s="21">
        <f>(O32)+(N33)-(MAX(0,((O32)+(N33)-(P33)))*(IF(Archetypes!$B$27="",Assumptions!$B$11,Archetypes!$B$27)))</f>
        <v>4732.7587232366232</v>
      </c>
      <c r="P33" s="21">
        <f>Archetypes!$B$36 + (Assumptions!$B$67*(IF($E33=0,0,I33/$E33))*Assumptions!$B$71*(1+Assumptions!$B$68*(Archetypes!$B$14-1))) + (Assumptions!$B$69*Archetypes!$B$34*(IF($E33=0,0,I33/$E33))*Assumptions!$B$72*POWER(Assumptions!$B$70,Archetypes!$B$18-1))</f>
        <v>2668.56</v>
      </c>
      <c r="Q33" s="21">
        <f t="shared" si="3"/>
        <v>2064.1987232366232</v>
      </c>
      <c r="S33" s="21">
        <f t="shared" si="9"/>
        <v>65.322568601114185</v>
      </c>
      <c r="T33" s="21">
        <f>MAX(Assumptions!$B$21,S33+U33)</f>
        <v>66.140580657856574</v>
      </c>
      <c r="U33" s="21">
        <f>((Y33*(Assumptions!$B$22+((Assumptions!$B$23-Assumptions!$B$22)*IF(V33&gt;0,X33/V33,0)))*(1+Assumptions!$B$60*(Archetypes!$C$13-1)))+IF(Y33&gt;V33,V33*Assumptions!$B$24,0)-IF(IF(V33&gt;0,Z33/V33,1)&lt;Assumptions!$B$61,((Z33*(Assumptions!$B$27*(1+Assumptions!$B$28*(Archetypes!$C$14-1))/(1+Assumptions!$B$29*(Archetypes!$C$12-1))))+(((V33*Archetypes!$C$17*IF(V33&gt;0,Z33/V33,1)*Archetypes!$C$31)/100)*Assumptions!$B$30))*Assumptions!$B$62,((Z33*(Assumptions!$B$27*(1+Assumptions!$B$28*(Archetypes!$C$14-1))/(1+Assumptions!$B$29*(Archetypes!$C$12-1))))+(((V33*Archetypes!$C$17*IF(V33&gt;0,Z33/V33,1)*Archetypes!$C$31)/100)*Assumptions!$B$30)))-(Assumptions!$B$25*Assumptions!$B$26*E33))*E33</f>
        <v>0.81801205674238553</v>
      </c>
      <c r="V33" s="21">
        <f>(Archetypes!$C$11*(IF(S33&lt;0,1+Assumptions!$B$32*MIN(1,ABS(S33)/ABS(Assumptions!$B$21)),MAX(0.1,1-Assumptions!$B$31*(S33/50)))))*$E33</f>
        <v>1.2967750607197788</v>
      </c>
      <c r="W33" s="26">
        <f>Archetypes!$C$30</f>
        <v>3.7999999999999999E-2</v>
      </c>
      <c r="X33" s="21">
        <f t="shared" si="4"/>
        <v>4.9277452307351595E-2</v>
      </c>
      <c r="Y33" s="21">
        <f>((V33-X33)*Archetypes!$C$15)+(X33*Archetypes!$C$15*Archetypes!$C$22)</f>
        <v>0.65577914820599215</v>
      </c>
      <c r="Z33" s="21">
        <f>V33*Archetypes!$C$16</f>
        <v>0.58354877732390042</v>
      </c>
      <c r="AA33" s="21">
        <f>(IF(S33&lt;0,Assumptions!$B$8,IF(S33&lt;10,Assumptions!$B$34,IF(S33&lt;25,Assumptions!$B$35,Assumptions!$B$36))))*((((Archetypes!$C$5*Assumptions!$B$4+Archetypes!$C$6*Assumptions!$B$5)*60))+(Assumptions!$B$6*(((Archetypes!$C$11*(IF(S33&lt;0,1+Assumptions!$B$32*MIN(1,ABS(S33)/ABS(Assumptions!$B$21)),MAX(0.1,1-Assumptions!$B$31*(S33/50)))))-((Archetypes!$C$11*(IF(S33&lt;0,1+Assumptions!$B$32*MIN(1,ABS(S33)/ABS(Assumptions!$B$21)),MAX(0.1,1-Assumptions!$B$31*(S33/50)))))*W33)*Archetypes!$C$20)+((Archetypes!$C$11*(IF(S33&lt;0,1+Assumptions!$B$32*MIN(1,ABS(S33)/ABS(Assumptions!$B$21)),MAX(0.1,1-Assumptions!$B$31*(S33/50)))))*W33*Archetypes!$C$20*Archetypes!$C$21)*Assumptions!$B$18)*(IF($D33=1,1,Assumptions!$B$7)))+(((((Archetypes!$C$11*(IF(S33&lt;0,1+Assumptions!$B$32*MIN(1,ABS(S33)/ABS(Assumptions!$B$21)),MAX(0.1,1-Assumptions!$B$31*(S33/50)))))-((Archetypes!$C$11*(IF(S33&lt;0,1+Assumptions!$B$32*MIN(1,ABS(S33)/ABS(Assumptions!$B$21)),MAX(0.1,1-Assumptions!$B$31*(S33/50)))))*W33)*Archetypes!$C$15)*(Archetypes!$C$13*IF(S33&lt;0,1-Assumptions!$B$33*MIN(1,ABS(S33)/ABS(Assumptions!$B$21)),1))*5)+(((Archetypes!$C$11*(IF(S33&lt;0,1+Assumptions!$B$32*MIN(1,ABS(S33)/ABS(Assumptions!$B$21)),MAX(0.1,1-Assumptions!$B$31*(S33/50)))))*W33*Archetypes!$C$15*Archetypes!$C$22)*(Archetypes!$C$13*IF(S33&lt;0,1-Assumptions!$B$33*MIN(1,ABS(S33)/ABS(Assumptions!$B$21)),1))*5*Assumptions!$B$18))*IF(S33&lt;0,Assumptions!$B$9,1)))*$E33</f>
        <v>636.17811442161974</v>
      </c>
      <c r="AB33" s="21">
        <f>(AB32)+(AA33)-(MAX(0,((AB32)+(AA33)-(AC33)))*(IF(Archetypes!$C$27="",Assumptions!$B$11,Archetypes!$C$27)))</f>
        <v>11184.077412228793</v>
      </c>
      <c r="AC33" s="21">
        <f>Archetypes!$C$36 + (Assumptions!$B$67*(IF($E33=0,0,V33/$E33))*Assumptions!$B$71*(1+Assumptions!$B$68*(Archetypes!$C$14-1))) + (Assumptions!$B$69*Archetypes!$C$34*(IF($E33=0,0,V33/$E33))*Assumptions!$B$72*POWER(Assumptions!$B$70,Archetypes!$C$18-1))</f>
        <v>9171.0697554647832</v>
      </c>
      <c r="AD33" s="21">
        <f t="shared" si="5"/>
        <v>2013.0076567640099</v>
      </c>
      <c r="AF33" s="21">
        <f t="shared" si="10"/>
        <v>86.521808417652522</v>
      </c>
      <c r="AG33" s="21">
        <f>MAX(Assumptions!$B$21,AF33+AH33)</f>
        <v>87.435132902223955</v>
      </c>
      <c r="AH33" s="21">
        <f>((AL33*(Assumptions!$B$22+((Assumptions!$B$23-Assumptions!$B$22)*IF(AI33&gt;0,AK33/AI33,0)))*(1+Assumptions!$B$60*(Archetypes!$D$13-1)))+IF(AL33&gt;AI33,AI33*Assumptions!$B$24,0)-IF(IF(AI33&gt;0,AM33/AI33,1)&lt;Assumptions!$B$61,((AM33*(Assumptions!$B$27*(1+Assumptions!$B$28*(Archetypes!$D$14-1))/(1+Assumptions!$B$29*(Archetypes!$D$12-1))))+(((AI33*Archetypes!$D$17*IF(AI33&gt;0,AM33/AI33,1)*Archetypes!$D$31)/100)*Assumptions!$B$30))*Assumptions!$B$62,((AM33*(Assumptions!$B$27*(1+Assumptions!$B$28*(Archetypes!$D$14-1))/(1+Assumptions!$B$29*(Archetypes!$D$12-1))))+(((AI33*Archetypes!$D$17*IF(AI33&gt;0,AM33/AI33,1)*Archetypes!$D$31)/100)*Assumptions!$B$30)))-(Assumptions!$B$25*Assumptions!$B$26*E33))*E33</f>
        <v>0.9133244845714289</v>
      </c>
      <c r="AI33" s="21">
        <f>(Archetypes!$D$11*(IF(AF33&lt;0,1+Assumptions!$B$32*MIN(1,ABS(AF33)/ABS(Assumptions!$B$21)),MAX(0.1,1-Assumptions!$B$31*(AF33/50)))))*$E33</f>
        <v>0.30000000000000004</v>
      </c>
      <c r="AJ33" s="26">
        <f>Archetypes!$D$30</f>
        <v>0.10400000000000001</v>
      </c>
      <c r="AK33" s="21">
        <f t="shared" si="6"/>
        <v>3.1200000000000009E-2</v>
      </c>
      <c r="AL33" s="21">
        <f>((AI33-AK33)*Archetypes!$D$15)+(AK33*Archetypes!$D$15*Archetypes!$D$22)</f>
        <v>0.46872000000000008</v>
      </c>
      <c r="AM33" s="21">
        <f>AI33*Archetypes!$D$16</f>
        <v>6.0000000000000012E-2</v>
      </c>
      <c r="AN33" s="21">
        <f>(IF(AF33&lt;0,Assumptions!$B$8,IF(AF33&lt;10,Assumptions!$B$34,IF(AF33&lt;25,Assumptions!$B$35,Assumptions!$B$36))))*((((Archetypes!$D$5*Assumptions!$B$4+Archetypes!$D$6*Assumptions!$B$5)*60))+(Assumptions!$B$6*(((Archetypes!$D$11*(IF(AF33&lt;0,1+Assumptions!$B$32*MIN(1,ABS(AF33)/ABS(Assumptions!$B$21)),MAX(0.1,1-Assumptions!$B$31*(AF33/50)))))-((Archetypes!$D$11*(IF(AF33&lt;0,1+Assumptions!$B$32*MIN(1,ABS(AF33)/ABS(Assumptions!$B$21)),MAX(0.1,1-Assumptions!$B$31*(AF33/50)))))*AJ33)*Archetypes!$D$20)+((Archetypes!$D$11*(IF(AF33&lt;0,1+Assumptions!$B$32*MIN(1,ABS(AF33)/ABS(Assumptions!$B$21)),MAX(0.1,1-Assumptions!$B$31*(AF33/50)))))*AJ33*Archetypes!$D$20*Archetypes!$D$21)*Assumptions!$B$18)*(IF($D33=1,1,Assumptions!$B$7)))+(((((Archetypes!$D$11*(IF(AF33&lt;0,1+Assumptions!$B$32*MIN(1,ABS(AF33)/ABS(Assumptions!$B$21)),MAX(0.1,1-Assumptions!$B$31*(AF33/50)))))-((Archetypes!$D$11*(IF(AF33&lt;0,1+Assumptions!$B$32*MIN(1,ABS(AF33)/ABS(Assumptions!$B$21)),MAX(0.1,1-Assumptions!$B$31*(AF33/50)))))*AJ33)*Archetypes!$D$15)*(Archetypes!$D$13*IF(AF33&lt;0,1-Assumptions!$B$33*MIN(1,ABS(AF33)/ABS(Assumptions!$B$21)),1))*5)+(((Archetypes!$D$11*(IF(AF33&lt;0,1+Assumptions!$B$32*MIN(1,ABS(AF33)/ABS(Assumptions!$B$21)),MAX(0.1,1-Assumptions!$B$31*(AF33/50)))))*AJ33*Archetypes!$D$15*Archetypes!$D$22)*(Archetypes!$D$13*IF(AF33&lt;0,1-Assumptions!$B$33*MIN(1,ABS(AF33)/ABS(Assumptions!$B$21)),1))*5*Assumptions!$B$18))*IF(AF33&lt;0,Assumptions!$B$9,1)))*$E33</f>
        <v>939.63674999999989</v>
      </c>
      <c r="AO33" s="21">
        <f>(AO32)+(AN33)-(MAX(0,((AO32)+(AN33)-(AP33)))*(IF(Archetypes!$D$27="",Assumptions!$B$11,Archetypes!$D$27)))</f>
        <v>22974.863086960631</v>
      </c>
      <c r="AP33" s="21">
        <f>Archetypes!$D$36 + (Assumptions!$B$67*(IF($E33=0,0,AI33/$E33))*Assumptions!$B$71*(1+Assumptions!$B$68*(Archetypes!$D$14-1))) + (Assumptions!$B$69*Archetypes!$D$34*(IF($E33=0,0,AI33/$E33))*Assumptions!$B$72*POWER(Assumptions!$B$70,Archetypes!$D$18-1))</f>
        <v>20774.800648960005</v>
      </c>
      <c r="AQ33" s="21">
        <f t="shared" si="7"/>
        <v>2200.0624380006266</v>
      </c>
    </row>
    <row r="34" spans="1:43" x14ac:dyDescent="0.25">
      <c r="A34" s="20">
        <v>30</v>
      </c>
      <c r="B34" s="20">
        <f t="shared" si="0"/>
        <v>2</v>
      </c>
      <c r="C34" s="20">
        <f t="shared" si="1"/>
        <v>6</v>
      </c>
      <c r="D34" s="6">
        <f>IF(C34&lt;Assumptions!$B$10,1,0)</f>
        <v>0</v>
      </c>
      <c r="E34" s="6">
        <v>1</v>
      </c>
      <c r="F34" s="21">
        <f t="shared" si="8"/>
        <v>-15</v>
      </c>
      <c r="G34" s="21">
        <f>MAX(Assumptions!$B$21,F34+H34)</f>
        <v>-15</v>
      </c>
      <c r="H34" s="21">
        <f>((L34*(Assumptions!$B$22+((Assumptions!$B$23-Assumptions!$B$22)*IF(I34&gt;0,K34/I34,0)))*(1+Assumptions!$B$60*(Archetypes!$B$13-1)))+IF(L34&gt;I34,I34*Assumptions!$B$24,0)-IF(IF(I34&gt;0,M34/I34,1)&lt;Assumptions!$B$61,((M34*(Assumptions!$B$27*(1+Assumptions!$B$28*(Archetypes!$B$14-1))/(1+Assumptions!$B$29*(Archetypes!$B$12-1))))+(((I34*Archetypes!$B$17*IF(I34&gt;0,M34/I34,1)*Archetypes!$B$31)/100)*Assumptions!$B$30))*Assumptions!$B$62,((M34*(Assumptions!$B$27*(1+Assumptions!$B$28*(Archetypes!$B$14-1))/(1+Assumptions!$B$29*(Archetypes!$B$12-1))))+(((I34*Archetypes!$B$17*IF(I34&gt;0,M34/I34,1)*Archetypes!$B$31)/100)*Assumptions!$B$30)))-(Assumptions!$B$25*Assumptions!$B$26*E34))*E34</f>
        <v>-2.8381702909090891</v>
      </c>
      <c r="I34" s="21">
        <f>(Archetypes!$B$11*(IF(F34&lt;0,1+Assumptions!$B$32*MIN(1,ABS(F34)/ABS(Assumptions!$B$21)),MAX(0.1,1-Assumptions!$B$31*(F34/50)))))*$E34</f>
        <v>14</v>
      </c>
      <c r="J34" s="26">
        <f>Archetypes!$B$30</f>
        <v>2.1999999999999999E-2</v>
      </c>
      <c r="K34" s="21">
        <f t="shared" si="2"/>
        <v>0.308</v>
      </c>
      <c r="L34" s="21">
        <f>((I34-K34)*Archetypes!$B$15)+(K34*Archetypes!$B$15*Archetypes!$B$22)</f>
        <v>1.4061600000000003</v>
      </c>
      <c r="M34" s="21">
        <f>I34*Archetypes!$B$16</f>
        <v>10.5</v>
      </c>
      <c r="N34" s="21">
        <f>(IF(F34&lt;0,Assumptions!$B$8,IF(F34&lt;10,Assumptions!$B$34,IF(F34&lt;25,Assumptions!$B$35,Assumptions!$B$36))))*((((Archetypes!$B$5*Assumptions!$B$4+Archetypes!$B$6*Assumptions!$B$5)*60))+(Assumptions!$B$6*(((Archetypes!$B$11*(IF(F34&lt;0,1+Assumptions!$B$32*MIN(1,ABS(F34)/ABS(Assumptions!$B$21)),MAX(0.1,1-Assumptions!$B$31*(F34/50)))))-((Archetypes!$B$11*(IF(F34&lt;0,1+Assumptions!$B$32*MIN(1,ABS(F34)/ABS(Assumptions!$B$21)),MAX(0.1,1-Assumptions!$B$31*(F34/50)))))*J34)*Archetypes!$B$20)+((Archetypes!$B$11*(IF(F34&lt;0,1+Assumptions!$B$32*MIN(1,ABS(F34)/ABS(Assumptions!$B$21)),MAX(0.1,1-Assumptions!$B$31*(F34/50)))))*J34*Archetypes!$B$20*Archetypes!$B$21)*Assumptions!$B$18)*(IF($D34=1,1,Assumptions!$B$7)))+(((((Archetypes!$B$11*(IF(F34&lt;0,1+Assumptions!$B$32*MIN(1,ABS(F34)/ABS(Assumptions!$B$21)),MAX(0.1,1-Assumptions!$B$31*(F34/50)))))-((Archetypes!$B$11*(IF(F34&lt;0,1+Assumptions!$B$32*MIN(1,ABS(F34)/ABS(Assumptions!$B$21)),MAX(0.1,1-Assumptions!$B$31*(F34/50)))))*J34)*Archetypes!$B$15)*(Archetypes!$B$13*IF(F34&lt;0,1-Assumptions!$B$33*MIN(1,ABS(F34)/ABS(Assumptions!$B$21)),1))*5)+(((Archetypes!$B$11*(IF(F34&lt;0,1+Assumptions!$B$32*MIN(1,ABS(F34)/ABS(Assumptions!$B$21)),MAX(0.1,1-Assumptions!$B$31*(F34/50)))))*J34*Archetypes!$B$15*Archetypes!$B$22)*(Archetypes!$B$13*IF(F34&lt;0,1-Assumptions!$B$33*MIN(1,ABS(F34)/ABS(Assumptions!$B$21)),1))*5*Assumptions!$B$18))*IF(F34&lt;0,Assumptions!$B$9,1)))*$E34</f>
        <v>484.478544</v>
      </c>
      <c r="O34" s="21">
        <f>(O33)+(N34)-(MAX(0,((O33)+(N34)-(P34)))*(IF(Archetypes!$B$27="",Assumptions!$B$11,Archetypes!$B$27)))</f>
        <v>4707.5018137892985</v>
      </c>
      <c r="P34" s="21">
        <f>Archetypes!$B$36 + (Assumptions!$B$67*(IF($E34=0,0,I34/$E34))*Assumptions!$B$71*(1+Assumptions!$B$68*(Archetypes!$B$14-1))) + (Assumptions!$B$69*Archetypes!$B$34*(IF($E34=0,0,I34/$E34))*Assumptions!$B$72*POWER(Assumptions!$B$70,Archetypes!$B$18-1))</f>
        <v>2668.56</v>
      </c>
      <c r="Q34" s="21">
        <f t="shared" si="3"/>
        <v>2038.9418137892985</v>
      </c>
      <c r="S34" s="21">
        <f t="shared" si="9"/>
        <v>66.140580657856574</v>
      </c>
      <c r="T34" s="21">
        <f>MAX(Assumptions!$B$21,S34+U34)</f>
        <v>66.914627589005448</v>
      </c>
      <c r="U34" s="21">
        <f>((Y34*(Assumptions!$B$22+((Assumptions!$B$23-Assumptions!$B$22)*IF(V34&gt;0,X34/V34,0)))*(1+Assumptions!$B$60*(Archetypes!$C$13-1)))+IF(Y34&gt;V34,V34*Assumptions!$B$24,0)-IF(IF(V34&gt;0,Z34/V34,1)&lt;Assumptions!$B$61,((Z34*(Assumptions!$B$27*(1+Assumptions!$B$28*(Archetypes!$C$14-1))/(1+Assumptions!$B$29*(Archetypes!$C$12-1))))+(((V34*Archetypes!$C$17*IF(V34&gt;0,Z34/V34,1)*Archetypes!$C$31)/100)*Assumptions!$B$30))*Assumptions!$B$62,((Z34*(Assumptions!$B$27*(1+Assumptions!$B$28*(Archetypes!$C$14-1))/(1+Assumptions!$B$29*(Archetypes!$C$12-1))))+(((V34*Archetypes!$C$17*IF(V34&gt;0,Z34/V34,1)*Archetypes!$C$31)/100)*Assumptions!$B$30)))-(Assumptions!$B$25*Assumptions!$B$26*E34))*E34</f>
        <v>0.77404693114887047</v>
      </c>
      <c r="V34" s="21">
        <f>(Archetypes!$C$11*(IF(S34&lt;0,1+Assumptions!$B$32*MIN(1,ABS(S34)/ABS(Assumptions!$B$21)),MAX(0.1,1-Assumptions!$B$31*(S34/50)))))*$E34</f>
        <v>1.237878192634327</v>
      </c>
      <c r="W34" s="26">
        <f>Archetypes!$C$30</f>
        <v>3.7999999999999999E-2</v>
      </c>
      <c r="X34" s="21">
        <f t="shared" si="4"/>
        <v>4.7039371320104426E-2</v>
      </c>
      <c r="Y34" s="21">
        <f>((V34-X34)*Archetypes!$C$15)+(X34*Archetypes!$C$15*Archetypes!$C$22)</f>
        <v>0.6259950020151791</v>
      </c>
      <c r="Z34" s="21">
        <f>V34*Archetypes!$C$16</f>
        <v>0.55704518668544711</v>
      </c>
      <c r="AA34" s="21">
        <f>(IF(S34&lt;0,Assumptions!$B$8,IF(S34&lt;10,Assumptions!$B$34,IF(S34&lt;25,Assumptions!$B$35,Assumptions!$B$36))))*((((Archetypes!$C$5*Assumptions!$B$4+Archetypes!$C$6*Assumptions!$B$5)*60))+(Assumptions!$B$6*(((Archetypes!$C$11*(IF(S34&lt;0,1+Assumptions!$B$32*MIN(1,ABS(S34)/ABS(Assumptions!$B$21)),MAX(0.1,1-Assumptions!$B$31*(S34/50)))))-((Archetypes!$C$11*(IF(S34&lt;0,1+Assumptions!$B$32*MIN(1,ABS(S34)/ABS(Assumptions!$B$21)),MAX(0.1,1-Assumptions!$B$31*(S34/50)))))*W34)*Archetypes!$C$20)+((Archetypes!$C$11*(IF(S34&lt;0,1+Assumptions!$B$32*MIN(1,ABS(S34)/ABS(Assumptions!$B$21)),MAX(0.1,1-Assumptions!$B$31*(S34/50)))))*W34*Archetypes!$C$20*Archetypes!$C$21)*Assumptions!$B$18)*(IF($D34=1,1,Assumptions!$B$7)))+(((((Archetypes!$C$11*(IF(S34&lt;0,1+Assumptions!$B$32*MIN(1,ABS(S34)/ABS(Assumptions!$B$21)),MAX(0.1,1-Assumptions!$B$31*(S34/50)))))-((Archetypes!$C$11*(IF(S34&lt;0,1+Assumptions!$B$32*MIN(1,ABS(S34)/ABS(Assumptions!$B$21)),MAX(0.1,1-Assumptions!$B$31*(S34/50)))))*W34)*Archetypes!$C$15)*(Archetypes!$C$13*IF(S34&lt;0,1-Assumptions!$B$33*MIN(1,ABS(S34)/ABS(Assumptions!$B$21)),1))*5)+(((Archetypes!$C$11*(IF(S34&lt;0,1+Assumptions!$B$32*MIN(1,ABS(S34)/ABS(Assumptions!$B$21)),MAX(0.1,1-Assumptions!$B$31*(S34/50)))))*W34*Archetypes!$C$15*Archetypes!$C$22)*(Archetypes!$C$13*IF(S34&lt;0,1-Assumptions!$B$33*MIN(1,ABS(S34)/ABS(Assumptions!$B$21)),1))*5*Assumptions!$B$18))*IF(S34&lt;0,Assumptions!$B$9,1)))*$E34</f>
        <v>631.60552060500902</v>
      </c>
      <c r="AB34" s="21">
        <f>(AB33)+(AA34)-(MAX(0,((AB33)+(AA34)-(AC34)))*(IF(Archetypes!$C$27="",Assumptions!$B$11,Archetypes!$C$27)))</f>
        <v>11153.204458959624</v>
      </c>
      <c r="AC34" s="21">
        <f>Archetypes!$C$36 + (Assumptions!$B$67*(IF($E34=0,0,V34/$E34))*Assumptions!$B$71*(1+Assumptions!$B$68*(Archetypes!$C$14-1))) + (Assumptions!$B$69*Archetypes!$C$34*(IF($E34=0,0,V34/$E34))*Assumptions!$B$72*POWER(Assumptions!$B$70,Archetypes!$C$18-1))</f>
        <v>9165.7690373370915</v>
      </c>
      <c r="AD34" s="21">
        <f t="shared" si="5"/>
        <v>1987.4354216225329</v>
      </c>
      <c r="AF34" s="21">
        <f t="shared" si="10"/>
        <v>87.435132902223955</v>
      </c>
      <c r="AG34" s="21">
        <f>MAX(Assumptions!$B$21,AF34+AH34)</f>
        <v>88.348457386795388</v>
      </c>
      <c r="AH34" s="21">
        <f>((AL34*(Assumptions!$B$22+((Assumptions!$B$23-Assumptions!$B$22)*IF(AI34&gt;0,AK34/AI34,0)))*(1+Assumptions!$B$60*(Archetypes!$D$13-1)))+IF(AL34&gt;AI34,AI34*Assumptions!$B$24,0)-IF(IF(AI34&gt;0,AM34/AI34,1)&lt;Assumptions!$B$61,((AM34*(Assumptions!$B$27*(1+Assumptions!$B$28*(Archetypes!$D$14-1))/(1+Assumptions!$B$29*(Archetypes!$D$12-1))))+(((AI34*Archetypes!$D$17*IF(AI34&gt;0,AM34/AI34,1)*Archetypes!$D$31)/100)*Assumptions!$B$30))*Assumptions!$B$62,((AM34*(Assumptions!$B$27*(1+Assumptions!$B$28*(Archetypes!$D$14-1))/(1+Assumptions!$B$29*(Archetypes!$D$12-1))))+(((AI34*Archetypes!$D$17*IF(AI34&gt;0,AM34/AI34,1)*Archetypes!$D$31)/100)*Assumptions!$B$30)))-(Assumptions!$B$25*Assumptions!$B$26*E34))*E34</f>
        <v>0.9133244845714289</v>
      </c>
      <c r="AI34" s="21">
        <f>(Archetypes!$D$11*(IF(AF34&lt;0,1+Assumptions!$B$32*MIN(1,ABS(AF34)/ABS(Assumptions!$B$21)),MAX(0.1,1-Assumptions!$B$31*(AF34/50)))))*$E34</f>
        <v>0.30000000000000004</v>
      </c>
      <c r="AJ34" s="26">
        <f>Archetypes!$D$30</f>
        <v>0.10400000000000001</v>
      </c>
      <c r="AK34" s="21">
        <f t="shared" si="6"/>
        <v>3.1200000000000009E-2</v>
      </c>
      <c r="AL34" s="21">
        <f>((AI34-AK34)*Archetypes!$D$15)+(AK34*Archetypes!$D$15*Archetypes!$D$22)</f>
        <v>0.46872000000000008</v>
      </c>
      <c r="AM34" s="21">
        <f>AI34*Archetypes!$D$16</f>
        <v>6.0000000000000012E-2</v>
      </c>
      <c r="AN34" s="21">
        <f>(IF(AF34&lt;0,Assumptions!$B$8,IF(AF34&lt;10,Assumptions!$B$34,IF(AF34&lt;25,Assumptions!$B$35,Assumptions!$B$36))))*((((Archetypes!$D$5*Assumptions!$B$4+Archetypes!$D$6*Assumptions!$B$5)*60))+(Assumptions!$B$6*(((Archetypes!$D$11*(IF(AF34&lt;0,1+Assumptions!$B$32*MIN(1,ABS(AF34)/ABS(Assumptions!$B$21)),MAX(0.1,1-Assumptions!$B$31*(AF34/50)))))-((Archetypes!$D$11*(IF(AF34&lt;0,1+Assumptions!$B$32*MIN(1,ABS(AF34)/ABS(Assumptions!$B$21)),MAX(0.1,1-Assumptions!$B$31*(AF34/50)))))*AJ34)*Archetypes!$D$20)+((Archetypes!$D$11*(IF(AF34&lt;0,1+Assumptions!$B$32*MIN(1,ABS(AF34)/ABS(Assumptions!$B$21)),MAX(0.1,1-Assumptions!$B$31*(AF34/50)))))*AJ34*Archetypes!$D$20*Archetypes!$D$21)*Assumptions!$B$18)*(IF($D34=1,1,Assumptions!$B$7)))+(((((Archetypes!$D$11*(IF(AF34&lt;0,1+Assumptions!$B$32*MIN(1,ABS(AF34)/ABS(Assumptions!$B$21)),MAX(0.1,1-Assumptions!$B$31*(AF34/50)))))-((Archetypes!$D$11*(IF(AF34&lt;0,1+Assumptions!$B$32*MIN(1,ABS(AF34)/ABS(Assumptions!$B$21)),MAX(0.1,1-Assumptions!$B$31*(AF34/50)))))*AJ34)*Archetypes!$D$15)*(Archetypes!$D$13*IF(AF34&lt;0,1-Assumptions!$B$33*MIN(1,ABS(AF34)/ABS(Assumptions!$B$21)),1))*5)+(((Archetypes!$D$11*(IF(AF34&lt;0,1+Assumptions!$B$32*MIN(1,ABS(AF34)/ABS(Assumptions!$B$21)),MAX(0.1,1-Assumptions!$B$31*(AF34/50)))))*AJ34*Archetypes!$D$15*Archetypes!$D$22)*(Archetypes!$D$13*IF(AF34&lt;0,1-Assumptions!$B$33*MIN(1,ABS(AF34)/ABS(Assumptions!$B$21)),1))*5*Assumptions!$B$18))*IF(AF34&lt;0,Assumptions!$B$9,1)))*$E34</f>
        <v>939.63674999999989</v>
      </c>
      <c r="AO34" s="21">
        <f>(AO33)+(AN34)-(MAX(0,((AO33)+(AN34)-(AP34)))*(IF(Archetypes!$D$27="",Assumptions!$B$11,Archetypes!$D$27)))</f>
        <v>22972.590080560443</v>
      </c>
      <c r="AP34" s="21">
        <f>Archetypes!$D$36 + (Assumptions!$B$67*(IF($E34=0,0,AI34/$E34))*Assumptions!$B$71*(1+Assumptions!$B$68*(Archetypes!$D$14-1))) + (Assumptions!$B$69*Archetypes!$D$34*(IF($E34=0,0,AI34/$E34))*Assumptions!$B$72*POWER(Assumptions!$B$70,Archetypes!$D$18-1))</f>
        <v>20774.800648960005</v>
      </c>
      <c r="AQ34" s="21">
        <f t="shared" si="7"/>
        <v>2197.7894316004385</v>
      </c>
    </row>
    <row r="35" spans="1:43" x14ac:dyDescent="0.25">
      <c r="A35" s="20">
        <v>31</v>
      </c>
      <c r="B35" s="20">
        <f t="shared" si="0"/>
        <v>2</v>
      </c>
      <c r="C35" s="20">
        <f t="shared" si="1"/>
        <v>7</v>
      </c>
      <c r="D35" s="6">
        <f>IF(C35&lt;Assumptions!$B$10,1,0)</f>
        <v>0</v>
      </c>
      <c r="E35" s="6">
        <v>1</v>
      </c>
      <c r="F35" s="21">
        <f t="shared" si="8"/>
        <v>-15</v>
      </c>
      <c r="G35" s="21">
        <f>MAX(Assumptions!$B$21,F35+H35)</f>
        <v>-15</v>
      </c>
      <c r="H35" s="21">
        <f>((L35*(Assumptions!$B$22+((Assumptions!$B$23-Assumptions!$B$22)*IF(I35&gt;0,K35/I35,0)))*(1+Assumptions!$B$60*(Archetypes!$B$13-1)))+IF(L35&gt;I35,I35*Assumptions!$B$24,0)-IF(IF(I35&gt;0,M35/I35,1)&lt;Assumptions!$B$61,((M35*(Assumptions!$B$27*(1+Assumptions!$B$28*(Archetypes!$B$14-1))/(1+Assumptions!$B$29*(Archetypes!$B$12-1))))+(((I35*Archetypes!$B$17*IF(I35&gt;0,M35/I35,1)*Archetypes!$B$31)/100)*Assumptions!$B$30))*Assumptions!$B$62,((M35*(Assumptions!$B$27*(1+Assumptions!$B$28*(Archetypes!$B$14-1))/(1+Assumptions!$B$29*(Archetypes!$B$12-1))))+(((I35*Archetypes!$B$17*IF(I35&gt;0,M35/I35,1)*Archetypes!$B$31)/100)*Assumptions!$B$30)))-(Assumptions!$B$25*Assumptions!$B$26*E35))*E35</f>
        <v>-2.8381702909090891</v>
      </c>
      <c r="I35" s="21">
        <f>(Archetypes!$B$11*(IF(F35&lt;0,1+Assumptions!$B$32*MIN(1,ABS(F35)/ABS(Assumptions!$B$21)),MAX(0.1,1-Assumptions!$B$31*(F35/50)))))*$E35</f>
        <v>14</v>
      </c>
      <c r="J35" s="26">
        <f>Archetypes!$B$30</f>
        <v>2.1999999999999999E-2</v>
      </c>
      <c r="K35" s="21">
        <f t="shared" si="2"/>
        <v>0.308</v>
      </c>
      <c r="L35" s="21">
        <f>((I35-K35)*Archetypes!$B$15)+(K35*Archetypes!$B$15*Archetypes!$B$22)</f>
        <v>1.4061600000000003</v>
      </c>
      <c r="M35" s="21">
        <f>I35*Archetypes!$B$16</f>
        <v>10.5</v>
      </c>
      <c r="N35" s="21">
        <f>(IF(F35&lt;0,Assumptions!$B$8,IF(F35&lt;10,Assumptions!$B$34,IF(F35&lt;25,Assumptions!$B$35,Assumptions!$B$36))))*((((Archetypes!$B$5*Assumptions!$B$4+Archetypes!$B$6*Assumptions!$B$5)*60))+(Assumptions!$B$6*(((Archetypes!$B$11*(IF(F35&lt;0,1+Assumptions!$B$32*MIN(1,ABS(F35)/ABS(Assumptions!$B$21)),MAX(0.1,1-Assumptions!$B$31*(F35/50)))))-((Archetypes!$B$11*(IF(F35&lt;0,1+Assumptions!$B$32*MIN(1,ABS(F35)/ABS(Assumptions!$B$21)),MAX(0.1,1-Assumptions!$B$31*(F35/50)))))*J35)*Archetypes!$B$20)+((Archetypes!$B$11*(IF(F35&lt;0,1+Assumptions!$B$32*MIN(1,ABS(F35)/ABS(Assumptions!$B$21)),MAX(0.1,1-Assumptions!$B$31*(F35/50)))))*J35*Archetypes!$B$20*Archetypes!$B$21)*Assumptions!$B$18)*(IF($D35=1,1,Assumptions!$B$7)))+(((((Archetypes!$B$11*(IF(F35&lt;0,1+Assumptions!$B$32*MIN(1,ABS(F35)/ABS(Assumptions!$B$21)),MAX(0.1,1-Assumptions!$B$31*(F35/50)))))-((Archetypes!$B$11*(IF(F35&lt;0,1+Assumptions!$B$32*MIN(1,ABS(F35)/ABS(Assumptions!$B$21)),MAX(0.1,1-Assumptions!$B$31*(F35/50)))))*J35)*Archetypes!$B$15)*(Archetypes!$B$13*IF(F35&lt;0,1-Assumptions!$B$33*MIN(1,ABS(F35)/ABS(Assumptions!$B$21)),1))*5)+(((Archetypes!$B$11*(IF(F35&lt;0,1+Assumptions!$B$32*MIN(1,ABS(F35)/ABS(Assumptions!$B$21)),MAX(0.1,1-Assumptions!$B$31*(F35/50)))))*J35*Archetypes!$B$15*Archetypes!$B$22)*(Archetypes!$B$13*IF(F35&lt;0,1-Assumptions!$B$33*MIN(1,ABS(F35)/ABS(Assumptions!$B$21)),1))*5*Assumptions!$B$18))*IF(F35&lt;0,Assumptions!$B$9,1)))*$E35</f>
        <v>484.478544</v>
      </c>
      <c r="O35" s="21">
        <f>(O34)+(N35)-(MAX(0,((O34)+(N35)-(P35)))*(IF(Archetypes!$B$27="",Assumptions!$B$11,Archetypes!$B$27)))</f>
        <v>4687.296286231438</v>
      </c>
      <c r="P35" s="21">
        <f>Archetypes!$B$36 + (Assumptions!$B$67*(IF($E35=0,0,I35/$E35))*Assumptions!$B$71*(1+Assumptions!$B$68*(Archetypes!$B$14-1))) + (Assumptions!$B$69*Archetypes!$B$34*(IF($E35=0,0,I35/$E35))*Assumptions!$B$72*POWER(Assumptions!$B$70,Archetypes!$B$18-1))</f>
        <v>2668.56</v>
      </c>
      <c r="Q35" s="21">
        <f t="shared" si="3"/>
        <v>2018.736286231438</v>
      </c>
      <c r="S35" s="21">
        <f t="shared" si="9"/>
        <v>66.914627589005448</v>
      </c>
      <c r="T35" s="21">
        <f>MAX(Assumptions!$B$21,S35+U35)</f>
        <v>67.647072357615585</v>
      </c>
      <c r="U35" s="21">
        <f>((Y35*(Assumptions!$B$22+((Assumptions!$B$23-Assumptions!$B$22)*IF(V35&gt;0,X35/V35,0)))*(1+Assumptions!$B$60*(Archetypes!$C$13-1)))+IF(Y35&gt;V35,V35*Assumptions!$B$24,0)-IF(IF(V35&gt;0,Z35/V35,1)&lt;Assumptions!$B$61,((Z35*(Assumptions!$B$27*(1+Assumptions!$B$28*(Archetypes!$C$14-1))/(1+Assumptions!$B$29*(Archetypes!$C$12-1))))+(((V35*Archetypes!$C$17*IF(V35&gt;0,Z35/V35,1)*Archetypes!$C$31)/100)*Assumptions!$B$30))*Assumptions!$B$62,((Z35*(Assumptions!$B$27*(1+Assumptions!$B$28*(Archetypes!$C$14-1))/(1+Assumptions!$B$29*(Archetypes!$C$12-1))))+(((V35*Archetypes!$C$17*IF(V35&gt;0,Z35/V35,1)*Archetypes!$C$31)/100)*Assumptions!$B$30)))-(Assumptions!$B$25*Assumptions!$B$26*E35))*E35</f>
        <v>0.73244476861014296</v>
      </c>
      <c r="V35" s="21">
        <f>(Archetypes!$C$11*(IF(S35&lt;0,1+Assumptions!$B$32*MIN(1,ABS(S35)/ABS(Assumptions!$B$21)),MAX(0.1,1-Assumptions!$B$31*(S35/50)))))*$E35</f>
        <v>1.1821468135916076</v>
      </c>
      <c r="W35" s="26">
        <f>Archetypes!$C$30</f>
        <v>3.7999999999999999E-2</v>
      </c>
      <c r="X35" s="21">
        <f t="shared" si="4"/>
        <v>4.4921578916481089E-2</v>
      </c>
      <c r="Y35" s="21">
        <f>((V35-X35)*Archetypes!$C$15)+(X35*Archetypes!$C$15*Archetypes!$C$22)</f>
        <v>0.59781164363327588</v>
      </c>
      <c r="Z35" s="21">
        <f>V35*Archetypes!$C$16</f>
        <v>0.53196606611622343</v>
      </c>
      <c r="AA35" s="21">
        <f>(IF(S35&lt;0,Assumptions!$B$8,IF(S35&lt;10,Assumptions!$B$34,IF(S35&lt;25,Assumptions!$B$35,Assumptions!$B$36))))*((((Archetypes!$C$5*Assumptions!$B$4+Archetypes!$C$6*Assumptions!$B$5)*60))+(Assumptions!$B$6*(((Archetypes!$C$11*(IF(S35&lt;0,1+Assumptions!$B$32*MIN(1,ABS(S35)/ABS(Assumptions!$B$21)),MAX(0.1,1-Assumptions!$B$31*(S35/50)))))-((Archetypes!$C$11*(IF(S35&lt;0,1+Assumptions!$B$32*MIN(1,ABS(S35)/ABS(Assumptions!$B$21)),MAX(0.1,1-Assumptions!$B$31*(S35/50)))))*W35)*Archetypes!$C$20)+((Archetypes!$C$11*(IF(S35&lt;0,1+Assumptions!$B$32*MIN(1,ABS(S35)/ABS(Assumptions!$B$21)),MAX(0.1,1-Assumptions!$B$31*(S35/50)))))*W35*Archetypes!$C$20*Archetypes!$C$21)*Assumptions!$B$18)*(IF($D35=1,1,Assumptions!$B$7)))+(((((Archetypes!$C$11*(IF(S35&lt;0,1+Assumptions!$B$32*MIN(1,ABS(S35)/ABS(Assumptions!$B$21)),MAX(0.1,1-Assumptions!$B$31*(S35/50)))))-((Archetypes!$C$11*(IF(S35&lt;0,1+Assumptions!$B$32*MIN(1,ABS(S35)/ABS(Assumptions!$B$21)),MAX(0.1,1-Assumptions!$B$31*(S35/50)))))*W35)*Archetypes!$C$15)*(Archetypes!$C$13*IF(S35&lt;0,1-Assumptions!$B$33*MIN(1,ABS(S35)/ABS(Assumptions!$B$21)),1))*5)+(((Archetypes!$C$11*(IF(S35&lt;0,1+Assumptions!$B$32*MIN(1,ABS(S35)/ABS(Assumptions!$B$21)),MAX(0.1,1-Assumptions!$B$31*(S35/50)))))*W35*Archetypes!$C$15*Archetypes!$C$22)*(Archetypes!$C$13*IF(S35&lt;0,1-Assumptions!$B$33*MIN(1,ABS(S35)/ABS(Assumptions!$B$21)),1))*5*Assumptions!$B$18))*IF(S35&lt;0,Assumptions!$B$9,1)))*$E35</f>
        <v>627.27868681085579</v>
      </c>
      <c r="AB35" s="21">
        <f>(AB34)+(AA35)-(MAX(0,((AB34)+(AA35)-(AC35)))*(IF(Archetypes!$C$27="",Assumptions!$B$11,Archetypes!$C$27)))</f>
        <v>11125.550662633672</v>
      </c>
      <c r="AC35" s="21">
        <f>Archetypes!$C$36 + (Assumptions!$B$67*(IF($E35=0,0,V35/$E35))*Assumptions!$B$71*(1+Assumptions!$B$68*(Archetypes!$C$14-1))) + (Assumptions!$B$69*Archetypes!$C$34*(IF($E35=0,0,V35/$E35))*Assumptions!$B$72*POWER(Assumptions!$B$70,Archetypes!$C$18-1))</f>
        <v>9160.7532132232482</v>
      </c>
      <c r="AD35" s="21">
        <f t="shared" si="5"/>
        <v>1964.7974494104237</v>
      </c>
      <c r="AF35" s="21">
        <f t="shared" si="10"/>
        <v>88.348457386795388</v>
      </c>
      <c r="AG35" s="21">
        <f>MAX(Assumptions!$B$21,AF35+AH35)</f>
        <v>89.261781871366821</v>
      </c>
      <c r="AH35" s="21">
        <f>((AL35*(Assumptions!$B$22+((Assumptions!$B$23-Assumptions!$B$22)*IF(AI35&gt;0,AK35/AI35,0)))*(1+Assumptions!$B$60*(Archetypes!$D$13-1)))+IF(AL35&gt;AI35,AI35*Assumptions!$B$24,0)-IF(IF(AI35&gt;0,AM35/AI35,1)&lt;Assumptions!$B$61,((AM35*(Assumptions!$B$27*(1+Assumptions!$B$28*(Archetypes!$D$14-1))/(1+Assumptions!$B$29*(Archetypes!$D$12-1))))+(((AI35*Archetypes!$D$17*IF(AI35&gt;0,AM35/AI35,1)*Archetypes!$D$31)/100)*Assumptions!$B$30))*Assumptions!$B$62,((AM35*(Assumptions!$B$27*(1+Assumptions!$B$28*(Archetypes!$D$14-1))/(1+Assumptions!$B$29*(Archetypes!$D$12-1))))+(((AI35*Archetypes!$D$17*IF(AI35&gt;0,AM35/AI35,1)*Archetypes!$D$31)/100)*Assumptions!$B$30)))-(Assumptions!$B$25*Assumptions!$B$26*E35))*E35</f>
        <v>0.9133244845714289</v>
      </c>
      <c r="AI35" s="21">
        <f>(Archetypes!$D$11*(IF(AF35&lt;0,1+Assumptions!$B$32*MIN(1,ABS(AF35)/ABS(Assumptions!$B$21)),MAX(0.1,1-Assumptions!$B$31*(AF35/50)))))*$E35</f>
        <v>0.30000000000000004</v>
      </c>
      <c r="AJ35" s="26">
        <f>Archetypes!$D$30</f>
        <v>0.10400000000000001</v>
      </c>
      <c r="AK35" s="21">
        <f t="shared" si="6"/>
        <v>3.1200000000000009E-2</v>
      </c>
      <c r="AL35" s="21">
        <f>((AI35-AK35)*Archetypes!$D$15)+(AK35*Archetypes!$D$15*Archetypes!$D$22)</f>
        <v>0.46872000000000008</v>
      </c>
      <c r="AM35" s="21">
        <f>AI35*Archetypes!$D$16</f>
        <v>6.0000000000000012E-2</v>
      </c>
      <c r="AN35" s="21">
        <f>(IF(AF35&lt;0,Assumptions!$B$8,IF(AF35&lt;10,Assumptions!$B$34,IF(AF35&lt;25,Assumptions!$B$35,Assumptions!$B$36))))*((((Archetypes!$D$5*Assumptions!$B$4+Archetypes!$D$6*Assumptions!$B$5)*60))+(Assumptions!$B$6*(((Archetypes!$D$11*(IF(AF35&lt;0,1+Assumptions!$B$32*MIN(1,ABS(AF35)/ABS(Assumptions!$B$21)),MAX(0.1,1-Assumptions!$B$31*(AF35/50)))))-((Archetypes!$D$11*(IF(AF35&lt;0,1+Assumptions!$B$32*MIN(1,ABS(AF35)/ABS(Assumptions!$B$21)),MAX(0.1,1-Assumptions!$B$31*(AF35/50)))))*AJ35)*Archetypes!$D$20)+((Archetypes!$D$11*(IF(AF35&lt;0,1+Assumptions!$B$32*MIN(1,ABS(AF35)/ABS(Assumptions!$B$21)),MAX(0.1,1-Assumptions!$B$31*(AF35/50)))))*AJ35*Archetypes!$D$20*Archetypes!$D$21)*Assumptions!$B$18)*(IF($D35=1,1,Assumptions!$B$7)))+(((((Archetypes!$D$11*(IF(AF35&lt;0,1+Assumptions!$B$32*MIN(1,ABS(AF35)/ABS(Assumptions!$B$21)),MAX(0.1,1-Assumptions!$B$31*(AF35/50)))))-((Archetypes!$D$11*(IF(AF35&lt;0,1+Assumptions!$B$32*MIN(1,ABS(AF35)/ABS(Assumptions!$B$21)),MAX(0.1,1-Assumptions!$B$31*(AF35/50)))))*AJ35)*Archetypes!$D$15)*(Archetypes!$D$13*IF(AF35&lt;0,1-Assumptions!$B$33*MIN(1,ABS(AF35)/ABS(Assumptions!$B$21)),1))*5)+(((Archetypes!$D$11*(IF(AF35&lt;0,1+Assumptions!$B$32*MIN(1,ABS(AF35)/ABS(Assumptions!$B$21)),MAX(0.1,1-Assumptions!$B$31*(AF35/50)))))*AJ35*Archetypes!$D$15*Archetypes!$D$22)*(Archetypes!$D$13*IF(AF35&lt;0,1-Assumptions!$B$33*MIN(1,ABS(AF35)/ABS(Assumptions!$B$21)),1))*5*Assumptions!$B$18))*IF(AF35&lt;0,Assumptions!$B$9,1)))*$E35</f>
        <v>939.63674999999989</v>
      </c>
      <c r="AO35" s="21">
        <f>(AO34)+(AN35)-(MAX(0,((AO34)+(AN35)-(AP35)))*(IF(Archetypes!$D$27="",Assumptions!$B$11,Archetypes!$D$27)))</f>
        <v>22970.998976080315</v>
      </c>
      <c r="AP35" s="21">
        <f>Archetypes!$D$36 + (Assumptions!$B$67*(IF($E35=0,0,AI35/$E35))*Assumptions!$B$71*(1+Assumptions!$B$68*(Archetypes!$D$14-1))) + (Assumptions!$B$69*Archetypes!$D$34*(IF($E35=0,0,AI35/$E35))*Assumptions!$B$72*POWER(Assumptions!$B$70,Archetypes!$D$18-1))</f>
        <v>20774.800648960005</v>
      </c>
      <c r="AQ35" s="21">
        <f t="shared" si="7"/>
        <v>2196.1983271203098</v>
      </c>
    </row>
    <row r="36" spans="1:43" x14ac:dyDescent="0.25">
      <c r="A36" s="20">
        <v>32</v>
      </c>
      <c r="B36" s="20">
        <f t="shared" si="0"/>
        <v>2</v>
      </c>
      <c r="C36" s="20">
        <f t="shared" si="1"/>
        <v>8</v>
      </c>
      <c r="D36" s="6">
        <f>IF(C36&lt;Assumptions!$B$10,1,0)</f>
        <v>0</v>
      </c>
      <c r="E36" s="6">
        <v>1</v>
      </c>
      <c r="F36" s="21">
        <f t="shared" si="8"/>
        <v>-15</v>
      </c>
      <c r="G36" s="21">
        <f>MAX(Assumptions!$B$21,F36+H36)</f>
        <v>-15</v>
      </c>
      <c r="H36" s="21">
        <f>((L36*(Assumptions!$B$22+((Assumptions!$B$23-Assumptions!$B$22)*IF(I36&gt;0,K36/I36,0)))*(1+Assumptions!$B$60*(Archetypes!$B$13-1)))+IF(L36&gt;I36,I36*Assumptions!$B$24,0)-IF(IF(I36&gt;0,M36/I36,1)&lt;Assumptions!$B$61,((M36*(Assumptions!$B$27*(1+Assumptions!$B$28*(Archetypes!$B$14-1))/(1+Assumptions!$B$29*(Archetypes!$B$12-1))))+(((I36*Archetypes!$B$17*IF(I36&gt;0,M36/I36,1)*Archetypes!$B$31)/100)*Assumptions!$B$30))*Assumptions!$B$62,((M36*(Assumptions!$B$27*(1+Assumptions!$B$28*(Archetypes!$B$14-1))/(1+Assumptions!$B$29*(Archetypes!$B$12-1))))+(((I36*Archetypes!$B$17*IF(I36&gt;0,M36/I36,1)*Archetypes!$B$31)/100)*Assumptions!$B$30)))-(Assumptions!$B$25*Assumptions!$B$26*E36))*E36</f>
        <v>-2.8381702909090891</v>
      </c>
      <c r="I36" s="21">
        <f>(Archetypes!$B$11*(IF(F36&lt;0,1+Assumptions!$B$32*MIN(1,ABS(F36)/ABS(Assumptions!$B$21)),MAX(0.1,1-Assumptions!$B$31*(F36/50)))))*$E36</f>
        <v>14</v>
      </c>
      <c r="J36" s="26">
        <f>Archetypes!$B$30</f>
        <v>2.1999999999999999E-2</v>
      </c>
      <c r="K36" s="21">
        <f t="shared" si="2"/>
        <v>0.308</v>
      </c>
      <c r="L36" s="21">
        <f>((I36-K36)*Archetypes!$B$15)+(K36*Archetypes!$B$15*Archetypes!$B$22)</f>
        <v>1.4061600000000003</v>
      </c>
      <c r="M36" s="21">
        <f>I36*Archetypes!$B$16</f>
        <v>10.5</v>
      </c>
      <c r="N36" s="21">
        <f>(IF(F36&lt;0,Assumptions!$B$8,IF(F36&lt;10,Assumptions!$B$34,IF(F36&lt;25,Assumptions!$B$35,Assumptions!$B$36))))*((((Archetypes!$B$5*Assumptions!$B$4+Archetypes!$B$6*Assumptions!$B$5)*60))+(Assumptions!$B$6*(((Archetypes!$B$11*(IF(F36&lt;0,1+Assumptions!$B$32*MIN(1,ABS(F36)/ABS(Assumptions!$B$21)),MAX(0.1,1-Assumptions!$B$31*(F36/50)))))-((Archetypes!$B$11*(IF(F36&lt;0,1+Assumptions!$B$32*MIN(1,ABS(F36)/ABS(Assumptions!$B$21)),MAX(0.1,1-Assumptions!$B$31*(F36/50)))))*J36)*Archetypes!$B$20)+((Archetypes!$B$11*(IF(F36&lt;0,1+Assumptions!$B$32*MIN(1,ABS(F36)/ABS(Assumptions!$B$21)),MAX(0.1,1-Assumptions!$B$31*(F36/50)))))*J36*Archetypes!$B$20*Archetypes!$B$21)*Assumptions!$B$18)*(IF($D36=1,1,Assumptions!$B$7)))+(((((Archetypes!$B$11*(IF(F36&lt;0,1+Assumptions!$B$32*MIN(1,ABS(F36)/ABS(Assumptions!$B$21)),MAX(0.1,1-Assumptions!$B$31*(F36/50)))))-((Archetypes!$B$11*(IF(F36&lt;0,1+Assumptions!$B$32*MIN(1,ABS(F36)/ABS(Assumptions!$B$21)),MAX(0.1,1-Assumptions!$B$31*(F36/50)))))*J36)*Archetypes!$B$15)*(Archetypes!$B$13*IF(F36&lt;0,1-Assumptions!$B$33*MIN(1,ABS(F36)/ABS(Assumptions!$B$21)),1))*5)+(((Archetypes!$B$11*(IF(F36&lt;0,1+Assumptions!$B$32*MIN(1,ABS(F36)/ABS(Assumptions!$B$21)),MAX(0.1,1-Assumptions!$B$31*(F36/50)))))*J36*Archetypes!$B$15*Archetypes!$B$22)*(Archetypes!$B$13*IF(F36&lt;0,1-Assumptions!$B$33*MIN(1,ABS(F36)/ABS(Assumptions!$B$21)),1))*5*Assumptions!$B$18))*IF(F36&lt;0,Assumptions!$B$9,1)))*$E36</f>
        <v>484.478544</v>
      </c>
      <c r="O36" s="21">
        <f>(O35)+(N36)-(MAX(0,((O35)+(N36)-(P36)))*(IF(Archetypes!$B$27="",Assumptions!$B$11,Archetypes!$B$27)))</f>
        <v>4671.1318641851503</v>
      </c>
      <c r="P36" s="21">
        <f>Archetypes!$B$36 + (Assumptions!$B$67*(IF($E36=0,0,I36/$E36))*Assumptions!$B$71*(1+Assumptions!$B$68*(Archetypes!$B$14-1))) + (Assumptions!$B$69*Archetypes!$B$34*(IF($E36=0,0,I36/$E36))*Assumptions!$B$72*POWER(Assumptions!$B$70,Archetypes!$B$18-1))</f>
        <v>2668.56</v>
      </c>
      <c r="Q36" s="21">
        <f t="shared" si="3"/>
        <v>2002.5718641851504</v>
      </c>
      <c r="S36" s="21">
        <f t="shared" si="9"/>
        <v>67.647072357615585</v>
      </c>
      <c r="T36" s="21">
        <f>MAX(Assumptions!$B$21,S36+U36)</f>
        <v>68.340150926208466</v>
      </c>
      <c r="U36" s="21">
        <f>((Y36*(Assumptions!$B$22+((Assumptions!$B$23-Assumptions!$B$22)*IF(V36&gt;0,X36/V36,0)))*(1+Assumptions!$B$60*(Archetypes!$C$13-1)))+IF(Y36&gt;V36,V36*Assumptions!$B$24,0)-IF(IF(V36&gt;0,Z36/V36,1)&lt;Assumptions!$B$61,((Z36*(Assumptions!$B$27*(1+Assumptions!$B$28*(Archetypes!$C$14-1))/(1+Assumptions!$B$29*(Archetypes!$C$12-1))))+(((V36*Archetypes!$C$17*IF(V36&gt;0,Z36/V36,1)*Archetypes!$C$31)/100)*Assumptions!$B$30))*Assumptions!$B$62,((Z36*(Assumptions!$B$27*(1+Assumptions!$B$28*(Archetypes!$C$14-1))/(1+Assumptions!$B$29*(Archetypes!$C$12-1))))+(((V36*Archetypes!$C$17*IF(V36&gt;0,Z36/V36,1)*Archetypes!$C$31)/100)*Assumptions!$B$30)))-(Assumptions!$B$25*Assumptions!$B$26*E36))*E36</f>
        <v>0.69307856859287476</v>
      </c>
      <c r="V36" s="21">
        <f>(Archetypes!$C$11*(IF(S36&lt;0,1+Assumptions!$B$32*MIN(1,ABS(S36)/ABS(Assumptions!$B$21)),MAX(0.1,1-Assumptions!$B$31*(S36/50)))))*$E36</f>
        <v>1.1294107902516777</v>
      </c>
      <c r="W36" s="26">
        <f>Archetypes!$C$30</f>
        <v>3.7999999999999999E-2</v>
      </c>
      <c r="X36" s="21">
        <f t="shared" si="4"/>
        <v>4.2917610029563749E-2</v>
      </c>
      <c r="Y36" s="21">
        <f>((V36-X36)*Archetypes!$C$15)+(X36*Archetypes!$C$15*Archetypes!$C$22)</f>
        <v>0.57114303663027333</v>
      </c>
      <c r="Z36" s="21">
        <f>V36*Archetypes!$C$16</f>
        <v>0.50823485561325499</v>
      </c>
      <c r="AA36" s="21">
        <f>(IF(S36&lt;0,Assumptions!$B$8,IF(S36&lt;10,Assumptions!$B$34,IF(S36&lt;25,Assumptions!$B$35,Assumptions!$B$36))))*((((Archetypes!$C$5*Assumptions!$B$4+Archetypes!$C$6*Assumptions!$B$5)*60))+(Assumptions!$B$6*(((Archetypes!$C$11*(IF(S36&lt;0,1+Assumptions!$B$32*MIN(1,ABS(S36)/ABS(Assumptions!$B$21)),MAX(0.1,1-Assumptions!$B$31*(S36/50)))))-((Archetypes!$C$11*(IF(S36&lt;0,1+Assumptions!$B$32*MIN(1,ABS(S36)/ABS(Assumptions!$B$21)),MAX(0.1,1-Assumptions!$B$31*(S36/50)))))*W36)*Archetypes!$C$20)+((Archetypes!$C$11*(IF(S36&lt;0,1+Assumptions!$B$32*MIN(1,ABS(S36)/ABS(Assumptions!$B$21)),MAX(0.1,1-Assumptions!$B$31*(S36/50)))))*W36*Archetypes!$C$20*Archetypes!$C$21)*Assumptions!$B$18)*(IF($D36=1,1,Assumptions!$B$7)))+(((((Archetypes!$C$11*(IF(S36&lt;0,1+Assumptions!$B$32*MIN(1,ABS(S36)/ABS(Assumptions!$B$21)),MAX(0.1,1-Assumptions!$B$31*(S36/50)))))-((Archetypes!$C$11*(IF(S36&lt;0,1+Assumptions!$B$32*MIN(1,ABS(S36)/ABS(Assumptions!$B$21)),MAX(0.1,1-Assumptions!$B$31*(S36/50)))))*W36)*Archetypes!$C$15)*(Archetypes!$C$13*IF(S36&lt;0,1-Assumptions!$B$33*MIN(1,ABS(S36)/ABS(Assumptions!$B$21)),1))*5)+(((Archetypes!$C$11*(IF(S36&lt;0,1+Assumptions!$B$32*MIN(1,ABS(S36)/ABS(Assumptions!$B$21)),MAX(0.1,1-Assumptions!$B$31*(S36/50)))))*W36*Archetypes!$C$15*Archetypes!$C$22)*(Archetypes!$C$13*IF(S36&lt;0,1-Assumptions!$B$33*MIN(1,ABS(S36)/ABS(Assumptions!$B$21)),1))*5*Assumptions!$B$18))*IF(S36&lt;0,Assumptions!$B$9,1)))*$E36</f>
        <v>623.18440434600654</v>
      </c>
      <c r="AB36" s="21">
        <f>(AB35)+(AA36)-(MAX(0,((AB35)+(AA36)-(AC36)))*(IF(Archetypes!$C$27="",Assumptions!$B$11,Archetypes!$C$27)))</f>
        <v>11100.553043015421</v>
      </c>
      <c r="AC36" s="21">
        <f>Archetypes!$C$36 + (Assumptions!$B$67*(IF($E36=0,0,V36/$E36))*Assumptions!$B$71*(1+Assumptions!$B$68*(Archetypes!$C$14-1))) + (Assumptions!$B$69*Archetypes!$C$34*(IF($E36=0,0,V36/$E36))*Assumptions!$B$72*POWER(Assumptions!$B$70,Archetypes!$C$18-1))</f>
        <v>9156.0069711226533</v>
      </c>
      <c r="AD36" s="21">
        <f t="shared" si="5"/>
        <v>1944.5460718927679</v>
      </c>
      <c r="AF36" s="21">
        <f t="shared" si="10"/>
        <v>89.261781871366821</v>
      </c>
      <c r="AG36" s="21">
        <f>MAX(Assumptions!$B$21,AF36+AH36)</f>
        <v>90.175106355938254</v>
      </c>
      <c r="AH36" s="21">
        <f>((AL36*(Assumptions!$B$22+((Assumptions!$B$23-Assumptions!$B$22)*IF(AI36&gt;0,AK36/AI36,0)))*(1+Assumptions!$B$60*(Archetypes!$D$13-1)))+IF(AL36&gt;AI36,AI36*Assumptions!$B$24,0)-IF(IF(AI36&gt;0,AM36/AI36,1)&lt;Assumptions!$B$61,((AM36*(Assumptions!$B$27*(1+Assumptions!$B$28*(Archetypes!$D$14-1))/(1+Assumptions!$B$29*(Archetypes!$D$12-1))))+(((AI36*Archetypes!$D$17*IF(AI36&gt;0,AM36/AI36,1)*Archetypes!$D$31)/100)*Assumptions!$B$30))*Assumptions!$B$62,((AM36*(Assumptions!$B$27*(1+Assumptions!$B$28*(Archetypes!$D$14-1))/(1+Assumptions!$B$29*(Archetypes!$D$12-1))))+(((AI36*Archetypes!$D$17*IF(AI36&gt;0,AM36/AI36,1)*Archetypes!$D$31)/100)*Assumptions!$B$30)))-(Assumptions!$B$25*Assumptions!$B$26*E36))*E36</f>
        <v>0.9133244845714289</v>
      </c>
      <c r="AI36" s="21">
        <f>(Archetypes!$D$11*(IF(AF36&lt;0,1+Assumptions!$B$32*MIN(1,ABS(AF36)/ABS(Assumptions!$B$21)),MAX(0.1,1-Assumptions!$B$31*(AF36/50)))))*$E36</f>
        <v>0.30000000000000004</v>
      </c>
      <c r="AJ36" s="26">
        <f>Archetypes!$D$30</f>
        <v>0.10400000000000001</v>
      </c>
      <c r="AK36" s="21">
        <f t="shared" si="6"/>
        <v>3.1200000000000009E-2</v>
      </c>
      <c r="AL36" s="21">
        <f>((AI36-AK36)*Archetypes!$D$15)+(AK36*Archetypes!$D$15*Archetypes!$D$22)</f>
        <v>0.46872000000000008</v>
      </c>
      <c r="AM36" s="21">
        <f>AI36*Archetypes!$D$16</f>
        <v>6.0000000000000012E-2</v>
      </c>
      <c r="AN36" s="21">
        <f>(IF(AF36&lt;0,Assumptions!$B$8,IF(AF36&lt;10,Assumptions!$B$34,IF(AF36&lt;25,Assumptions!$B$35,Assumptions!$B$36))))*((((Archetypes!$D$5*Assumptions!$B$4+Archetypes!$D$6*Assumptions!$B$5)*60))+(Assumptions!$B$6*(((Archetypes!$D$11*(IF(AF36&lt;0,1+Assumptions!$B$32*MIN(1,ABS(AF36)/ABS(Assumptions!$B$21)),MAX(0.1,1-Assumptions!$B$31*(AF36/50)))))-((Archetypes!$D$11*(IF(AF36&lt;0,1+Assumptions!$B$32*MIN(1,ABS(AF36)/ABS(Assumptions!$B$21)),MAX(0.1,1-Assumptions!$B$31*(AF36/50)))))*AJ36)*Archetypes!$D$20)+((Archetypes!$D$11*(IF(AF36&lt;0,1+Assumptions!$B$32*MIN(1,ABS(AF36)/ABS(Assumptions!$B$21)),MAX(0.1,1-Assumptions!$B$31*(AF36/50)))))*AJ36*Archetypes!$D$20*Archetypes!$D$21)*Assumptions!$B$18)*(IF($D36=1,1,Assumptions!$B$7)))+(((((Archetypes!$D$11*(IF(AF36&lt;0,1+Assumptions!$B$32*MIN(1,ABS(AF36)/ABS(Assumptions!$B$21)),MAX(0.1,1-Assumptions!$B$31*(AF36/50)))))-((Archetypes!$D$11*(IF(AF36&lt;0,1+Assumptions!$B$32*MIN(1,ABS(AF36)/ABS(Assumptions!$B$21)),MAX(0.1,1-Assumptions!$B$31*(AF36/50)))))*AJ36)*Archetypes!$D$15)*(Archetypes!$D$13*IF(AF36&lt;0,1-Assumptions!$B$33*MIN(1,ABS(AF36)/ABS(Assumptions!$B$21)),1))*5)+(((Archetypes!$D$11*(IF(AF36&lt;0,1+Assumptions!$B$32*MIN(1,ABS(AF36)/ABS(Assumptions!$B$21)),MAX(0.1,1-Assumptions!$B$31*(AF36/50)))))*AJ36*Archetypes!$D$15*Archetypes!$D$22)*(Archetypes!$D$13*IF(AF36&lt;0,1-Assumptions!$B$33*MIN(1,ABS(AF36)/ABS(Assumptions!$B$21)),1))*5*Assumptions!$B$18))*IF(AF36&lt;0,Assumptions!$B$9,1)))*$E36</f>
        <v>939.63674999999989</v>
      </c>
      <c r="AO36" s="21">
        <f>(AO35)+(AN36)-(MAX(0,((AO35)+(AN36)-(AP36)))*(IF(Archetypes!$D$27="",Assumptions!$B$11,Archetypes!$D$27)))</f>
        <v>22969.885202944224</v>
      </c>
      <c r="AP36" s="21">
        <f>Archetypes!$D$36 + (Assumptions!$B$67*(IF($E36=0,0,AI36/$E36))*Assumptions!$B$71*(1+Assumptions!$B$68*(Archetypes!$D$14-1))) + (Assumptions!$B$69*Archetypes!$D$34*(IF($E36=0,0,AI36/$E36))*Assumptions!$B$72*POWER(Assumptions!$B$70,Archetypes!$D$18-1))</f>
        <v>20774.800648960005</v>
      </c>
      <c r="AQ36" s="21">
        <f t="shared" si="7"/>
        <v>2195.0845539842194</v>
      </c>
    </row>
    <row r="37" spans="1:43" x14ac:dyDescent="0.25">
      <c r="A37" s="20">
        <v>33</v>
      </c>
      <c r="B37" s="20">
        <f t="shared" si="0"/>
        <v>2</v>
      </c>
      <c r="C37" s="20">
        <f t="shared" si="1"/>
        <v>9</v>
      </c>
      <c r="D37" s="6">
        <f>IF(C37&lt;Assumptions!$B$10,1,0)</f>
        <v>0</v>
      </c>
      <c r="E37" s="6">
        <v>1</v>
      </c>
      <c r="F37" s="21">
        <f t="shared" si="8"/>
        <v>-15</v>
      </c>
      <c r="G37" s="21">
        <f>MAX(Assumptions!$B$21,F37+H37)</f>
        <v>-15</v>
      </c>
      <c r="H37" s="21">
        <f>((L37*(Assumptions!$B$22+((Assumptions!$B$23-Assumptions!$B$22)*IF(I37&gt;0,K37/I37,0)))*(1+Assumptions!$B$60*(Archetypes!$B$13-1)))+IF(L37&gt;I37,I37*Assumptions!$B$24,0)-IF(IF(I37&gt;0,M37/I37,1)&lt;Assumptions!$B$61,((M37*(Assumptions!$B$27*(1+Assumptions!$B$28*(Archetypes!$B$14-1))/(1+Assumptions!$B$29*(Archetypes!$B$12-1))))+(((I37*Archetypes!$B$17*IF(I37&gt;0,M37/I37,1)*Archetypes!$B$31)/100)*Assumptions!$B$30))*Assumptions!$B$62,((M37*(Assumptions!$B$27*(1+Assumptions!$B$28*(Archetypes!$B$14-1))/(1+Assumptions!$B$29*(Archetypes!$B$12-1))))+(((I37*Archetypes!$B$17*IF(I37&gt;0,M37/I37,1)*Archetypes!$B$31)/100)*Assumptions!$B$30)))-(Assumptions!$B$25*Assumptions!$B$26*E37))*E37</f>
        <v>-2.8381702909090891</v>
      </c>
      <c r="I37" s="21">
        <f>(Archetypes!$B$11*(IF(F37&lt;0,1+Assumptions!$B$32*MIN(1,ABS(F37)/ABS(Assumptions!$B$21)),MAX(0.1,1-Assumptions!$B$31*(F37/50)))))*$E37</f>
        <v>14</v>
      </c>
      <c r="J37" s="26">
        <f>Archetypes!$B$30</f>
        <v>2.1999999999999999E-2</v>
      </c>
      <c r="K37" s="21">
        <f t="shared" si="2"/>
        <v>0.308</v>
      </c>
      <c r="L37" s="21">
        <f>((I37-K37)*Archetypes!$B$15)+(K37*Archetypes!$B$15*Archetypes!$B$22)</f>
        <v>1.4061600000000003</v>
      </c>
      <c r="M37" s="21">
        <f>I37*Archetypes!$B$16</f>
        <v>10.5</v>
      </c>
      <c r="N37" s="21">
        <f>(IF(F37&lt;0,Assumptions!$B$8,IF(F37&lt;10,Assumptions!$B$34,IF(F37&lt;25,Assumptions!$B$35,Assumptions!$B$36))))*((((Archetypes!$B$5*Assumptions!$B$4+Archetypes!$B$6*Assumptions!$B$5)*60))+(Assumptions!$B$6*(((Archetypes!$B$11*(IF(F37&lt;0,1+Assumptions!$B$32*MIN(1,ABS(F37)/ABS(Assumptions!$B$21)),MAX(0.1,1-Assumptions!$B$31*(F37/50)))))-((Archetypes!$B$11*(IF(F37&lt;0,1+Assumptions!$B$32*MIN(1,ABS(F37)/ABS(Assumptions!$B$21)),MAX(0.1,1-Assumptions!$B$31*(F37/50)))))*J37)*Archetypes!$B$20)+((Archetypes!$B$11*(IF(F37&lt;0,1+Assumptions!$B$32*MIN(1,ABS(F37)/ABS(Assumptions!$B$21)),MAX(0.1,1-Assumptions!$B$31*(F37/50)))))*J37*Archetypes!$B$20*Archetypes!$B$21)*Assumptions!$B$18)*(IF($D37=1,1,Assumptions!$B$7)))+(((((Archetypes!$B$11*(IF(F37&lt;0,1+Assumptions!$B$32*MIN(1,ABS(F37)/ABS(Assumptions!$B$21)),MAX(0.1,1-Assumptions!$B$31*(F37/50)))))-((Archetypes!$B$11*(IF(F37&lt;0,1+Assumptions!$B$32*MIN(1,ABS(F37)/ABS(Assumptions!$B$21)),MAX(0.1,1-Assumptions!$B$31*(F37/50)))))*J37)*Archetypes!$B$15)*(Archetypes!$B$13*IF(F37&lt;0,1-Assumptions!$B$33*MIN(1,ABS(F37)/ABS(Assumptions!$B$21)),1))*5)+(((Archetypes!$B$11*(IF(F37&lt;0,1+Assumptions!$B$32*MIN(1,ABS(F37)/ABS(Assumptions!$B$21)),MAX(0.1,1-Assumptions!$B$31*(F37/50)))))*J37*Archetypes!$B$15*Archetypes!$B$22)*(Archetypes!$B$13*IF(F37&lt;0,1-Assumptions!$B$33*MIN(1,ABS(F37)/ABS(Assumptions!$B$21)),1))*5*Assumptions!$B$18))*IF(F37&lt;0,Assumptions!$B$9,1)))*$E37</f>
        <v>484.478544</v>
      </c>
      <c r="O37" s="21">
        <f>(O36)+(N37)-(MAX(0,((O36)+(N37)-(P37)))*(IF(Archetypes!$B$27="",Assumptions!$B$11,Archetypes!$B$27)))</f>
        <v>4658.2003265481198</v>
      </c>
      <c r="P37" s="21">
        <f>Archetypes!$B$36 + (Assumptions!$B$67*(IF($E37=0,0,I37/$E37))*Assumptions!$B$71*(1+Assumptions!$B$68*(Archetypes!$B$14-1))) + (Assumptions!$B$69*Archetypes!$B$34*(IF($E37=0,0,I37/$E37))*Assumptions!$B$72*POWER(Assumptions!$B$70,Archetypes!$B$18-1))</f>
        <v>2668.56</v>
      </c>
      <c r="Q37" s="21">
        <f t="shared" si="3"/>
        <v>1989.6403265481199</v>
      </c>
      <c r="S37" s="21">
        <f t="shared" si="9"/>
        <v>68.340150926208466</v>
      </c>
      <c r="T37" s="21">
        <f>MAX(Assumptions!$B$21,S37+U37)</f>
        <v>68.995979082581613</v>
      </c>
      <c r="U37" s="21">
        <f>((Y37*(Assumptions!$B$22+((Assumptions!$B$23-Assumptions!$B$22)*IF(V37&gt;0,X37/V37,0)))*(1+Assumptions!$B$60*(Archetypes!$C$13-1)))+IF(Y37&gt;V37,V37*Assumptions!$B$24,0)-IF(IF(V37&gt;0,Z37/V37,1)&lt;Assumptions!$B$61,((Z37*(Assumptions!$B$27*(1+Assumptions!$B$28*(Archetypes!$C$14-1))/(1+Assumptions!$B$29*(Archetypes!$C$12-1))))+(((V37*Archetypes!$C$17*IF(V37&gt;0,Z37/V37,1)*Archetypes!$C$31)/100)*Assumptions!$B$30))*Assumptions!$B$62,((Z37*(Assumptions!$B$27*(1+Assumptions!$B$28*(Archetypes!$C$14-1))/(1+Assumptions!$B$29*(Archetypes!$C$12-1))))+(((V37*Archetypes!$C$17*IF(V37&gt;0,Z37/V37,1)*Archetypes!$C$31)/100)*Assumptions!$B$30)))-(Assumptions!$B$25*Assumptions!$B$26*E37))*E37</f>
        <v>0.65582815637314973</v>
      </c>
      <c r="V37" s="21">
        <f>(Archetypes!$C$11*(IF(S37&lt;0,1+Assumptions!$B$32*MIN(1,ABS(S37)/ABS(Assumptions!$B$21)),MAX(0.1,1-Assumptions!$B$31*(S37/50)))))*$E37</f>
        <v>1.0795091333129909</v>
      </c>
      <c r="W37" s="26">
        <f>Archetypes!$C$30</f>
        <v>3.7999999999999999E-2</v>
      </c>
      <c r="X37" s="21">
        <f t="shared" si="4"/>
        <v>4.1021347065893651E-2</v>
      </c>
      <c r="Y37" s="21">
        <f>((V37-X37)*Archetypes!$C$15)+(X37*Archetypes!$C$15*Archetypes!$C$22)</f>
        <v>0.54590776871637958</v>
      </c>
      <c r="Z37" s="21">
        <f>V37*Archetypes!$C$16</f>
        <v>0.48577910999084595</v>
      </c>
      <c r="AA37" s="21">
        <f>(IF(S37&lt;0,Assumptions!$B$8,IF(S37&lt;10,Assumptions!$B$34,IF(S37&lt;25,Assumptions!$B$35,Assumptions!$B$36))))*((((Archetypes!$C$5*Assumptions!$B$4+Archetypes!$C$6*Assumptions!$B$5)*60))+(Assumptions!$B$6*(((Archetypes!$C$11*(IF(S37&lt;0,1+Assumptions!$B$32*MIN(1,ABS(S37)/ABS(Assumptions!$B$21)),MAX(0.1,1-Assumptions!$B$31*(S37/50)))))-((Archetypes!$C$11*(IF(S37&lt;0,1+Assumptions!$B$32*MIN(1,ABS(S37)/ABS(Assumptions!$B$21)),MAX(0.1,1-Assumptions!$B$31*(S37/50)))))*W37)*Archetypes!$C$20)+((Archetypes!$C$11*(IF(S37&lt;0,1+Assumptions!$B$32*MIN(1,ABS(S37)/ABS(Assumptions!$B$21)),MAX(0.1,1-Assumptions!$B$31*(S37/50)))))*W37*Archetypes!$C$20*Archetypes!$C$21)*Assumptions!$B$18)*(IF($D37=1,1,Assumptions!$B$7)))+(((((Archetypes!$C$11*(IF(S37&lt;0,1+Assumptions!$B$32*MIN(1,ABS(S37)/ABS(Assumptions!$B$21)),MAX(0.1,1-Assumptions!$B$31*(S37/50)))))-((Archetypes!$C$11*(IF(S37&lt;0,1+Assumptions!$B$32*MIN(1,ABS(S37)/ABS(Assumptions!$B$21)),MAX(0.1,1-Assumptions!$B$31*(S37/50)))))*W37)*Archetypes!$C$15)*(Archetypes!$C$13*IF(S37&lt;0,1-Assumptions!$B$33*MIN(1,ABS(S37)/ABS(Assumptions!$B$21)),1))*5)+(((Archetypes!$C$11*(IF(S37&lt;0,1+Assumptions!$B$32*MIN(1,ABS(S37)/ABS(Assumptions!$B$21)),MAX(0.1,1-Assumptions!$B$31*(S37/50)))))*W37*Archetypes!$C$15*Archetypes!$C$22)*(Archetypes!$C$13*IF(S37&lt;0,1-Assumptions!$B$33*MIN(1,ABS(S37)/ABS(Assumptions!$B$21)),1))*5*Assumptions!$B$18))*IF(S37&lt;0,Assumptions!$B$9,1)))*$E37</f>
        <v>619.3101744357607</v>
      </c>
      <c r="AB37" s="21">
        <f>(AB36)+(AA37)-(MAX(0,((AB36)+(AA37)-(AC37)))*(IF(Archetypes!$C$27="",Assumptions!$B$11,Archetypes!$C$27)))</f>
        <v>11077.776368587929</v>
      </c>
      <c r="AC37" s="21">
        <f>Archetypes!$C$36 + (Assumptions!$B$67*(IF($E37=0,0,V37/$E37))*Assumptions!$B$71*(1+Assumptions!$B$68*(Archetypes!$C$14-1))) + (Assumptions!$B$69*Archetypes!$C$34*(IF($E37=0,0,V37/$E37))*Assumptions!$B$72*POWER(Assumptions!$B$70,Archetypes!$C$18-1))</f>
        <v>9151.5158219981731</v>
      </c>
      <c r="AD37" s="21">
        <f t="shared" si="5"/>
        <v>1926.2605465897559</v>
      </c>
      <c r="AF37" s="21">
        <f t="shared" si="10"/>
        <v>90.175106355938254</v>
      </c>
      <c r="AG37" s="21">
        <f>MAX(Assumptions!$B$21,AF37+AH37)</f>
        <v>91.088430840509687</v>
      </c>
      <c r="AH37" s="21">
        <f>((AL37*(Assumptions!$B$22+((Assumptions!$B$23-Assumptions!$B$22)*IF(AI37&gt;0,AK37/AI37,0)))*(1+Assumptions!$B$60*(Archetypes!$D$13-1)))+IF(AL37&gt;AI37,AI37*Assumptions!$B$24,0)-IF(IF(AI37&gt;0,AM37/AI37,1)&lt;Assumptions!$B$61,((AM37*(Assumptions!$B$27*(1+Assumptions!$B$28*(Archetypes!$D$14-1))/(1+Assumptions!$B$29*(Archetypes!$D$12-1))))+(((AI37*Archetypes!$D$17*IF(AI37&gt;0,AM37/AI37,1)*Archetypes!$D$31)/100)*Assumptions!$B$30))*Assumptions!$B$62,((AM37*(Assumptions!$B$27*(1+Assumptions!$B$28*(Archetypes!$D$14-1))/(1+Assumptions!$B$29*(Archetypes!$D$12-1))))+(((AI37*Archetypes!$D$17*IF(AI37&gt;0,AM37/AI37,1)*Archetypes!$D$31)/100)*Assumptions!$B$30)))-(Assumptions!$B$25*Assumptions!$B$26*E37))*E37</f>
        <v>0.9133244845714289</v>
      </c>
      <c r="AI37" s="21">
        <f>(Archetypes!$D$11*(IF(AF37&lt;0,1+Assumptions!$B$32*MIN(1,ABS(AF37)/ABS(Assumptions!$B$21)),MAX(0.1,1-Assumptions!$B$31*(AF37/50)))))*$E37</f>
        <v>0.30000000000000004</v>
      </c>
      <c r="AJ37" s="26">
        <f>Archetypes!$D$30</f>
        <v>0.10400000000000001</v>
      </c>
      <c r="AK37" s="21">
        <f t="shared" si="6"/>
        <v>3.1200000000000009E-2</v>
      </c>
      <c r="AL37" s="21">
        <f>((AI37-AK37)*Archetypes!$D$15)+(AK37*Archetypes!$D$15*Archetypes!$D$22)</f>
        <v>0.46872000000000008</v>
      </c>
      <c r="AM37" s="21">
        <f>AI37*Archetypes!$D$16</f>
        <v>6.0000000000000012E-2</v>
      </c>
      <c r="AN37" s="21">
        <f>(IF(AF37&lt;0,Assumptions!$B$8,IF(AF37&lt;10,Assumptions!$B$34,IF(AF37&lt;25,Assumptions!$B$35,Assumptions!$B$36))))*((((Archetypes!$D$5*Assumptions!$B$4+Archetypes!$D$6*Assumptions!$B$5)*60))+(Assumptions!$B$6*(((Archetypes!$D$11*(IF(AF37&lt;0,1+Assumptions!$B$32*MIN(1,ABS(AF37)/ABS(Assumptions!$B$21)),MAX(0.1,1-Assumptions!$B$31*(AF37/50)))))-((Archetypes!$D$11*(IF(AF37&lt;0,1+Assumptions!$B$32*MIN(1,ABS(AF37)/ABS(Assumptions!$B$21)),MAX(0.1,1-Assumptions!$B$31*(AF37/50)))))*AJ37)*Archetypes!$D$20)+((Archetypes!$D$11*(IF(AF37&lt;0,1+Assumptions!$B$32*MIN(1,ABS(AF37)/ABS(Assumptions!$B$21)),MAX(0.1,1-Assumptions!$B$31*(AF37/50)))))*AJ37*Archetypes!$D$20*Archetypes!$D$21)*Assumptions!$B$18)*(IF($D37=1,1,Assumptions!$B$7)))+(((((Archetypes!$D$11*(IF(AF37&lt;0,1+Assumptions!$B$32*MIN(1,ABS(AF37)/ABS(Assumptions!$B$21)),MAX(0.1,1-Assumptions!$B$31*(AF37/50)))))-((Archetypes!$D$11*(IF(AF37&lt;0,1+Assumptions!$B$32*MIN(1,ABS(AF37)/ABS(Assumptions!$B$21)),MAX(0.1,1-Assumptions!$B$31*(AF37/50)))))*AJ37)*Archetypes!$D$15)*(Archetypes!$D$13*IF(AF37&lt;0,1-Assumptions!$B$33*MIN(1,ABS(AF37)/ABS(Assumptions!$B$21)),1))*5)+(((Archetypes!$D$11*(IF(AF37&lt;0,1+Assumptions!$B$32*MIN(1,ABS(AF37)/ABS(Assumptions!$B$21)),MAX(0.1,1-Assumptions!$B$31*(AF37/50)))))*AJ37*Archetypes!$D$15*Archetypes!$D$22)*(Archetypes!$D$13*IF(AF37&lt;0,1-Assumptions!$B$33*MIN(1,ABS(AF37)/ABS(Assumptions!$B$21)),1))*5*Assumptions!$B$18))*IF(AF37&lt;0,Assumptions!$B$9,1)))*$E37</f>
        <v>939.63674999999989</v>
      </c>
      <c r="AO37" s="21">
        <f>(AO36)+(AN37)-(MAX(0,((AO36)+(AN37)-(AP37)))*(IF(Archetypes!$D$27="",Assumptions!$B$11,Archetypes!$D$27)))</f>
        <v>22969.105561748958</v>
      </c>
      <c r="AP37" s="21">
        <f>Archetypes!$D$36 + (Assumptions!$B$67*(IF($E37=0,0,AI37/$E37))*Assumptions!$B$71*(1+Assumptions!$B$68*(Archetypes!$D$14-1))) + (Assumptions!$B$69*Archetypes!$D$34*(IF($E37=0,0,AI37/$E37))*Assumptions!$B$72*POWER(Assumptions!$B$70,Archetypes!$D$18-1))</f>
        <v>20774.800648960005</v>
      </c>
      <c r="AQ37" s="21">
        <f t="shared" si="7"/>
        <v>2194.3049127889535</v>
      </c>
    </row>
    <row r="38" spans="1:43" x14ac:dyDescent="0.25">
      <c r="A38" s="20">
        <v>34</v>
      </c>
      <c r="B38" s="20">
        <f t="shared" si="0"/>
        <v>2</v>
      </c>
      <c r="C38" s="20">
        <f t="shared" si="1"/>
        <v>10</v>
      </c>
      <c r="D38" s="6">
        <f>IF(C38&lt;Assumptions!$B$10,1,0)</f>
        <v>0</v>
      </c>
      <c r="E38" s="6">
        <v>1</v>
      </c>
      <c r="F38" s="21">
        <f t="shared" si="8"/>
        <v>-15</v>
      </c>
      <c r="G38" s="21">
        <f>MAX(Assumptions!$B$21,F38+H38)</f>
        <v>-15</v>
      </c>
      <c r="H38" s="21">
        <f>((L38*(Assumptions!$B$22+((Assumptions!$B$23-Assumptions!$B$22)*IF(I38&gt;0,K38/I38,0)))*(1+Assumptions!$B$60*(Archetypes!$B$13-1)))+IF(L38&gt;I38,I38*Assumptions!$B$24,0)-IF(IF(I38&gt;0,M38/I38,1)&lt;Assumptions!$B$61,((M38*(Assumptions!$B$27*(1+Assumptions!$B$28*(Archetypes!$B$14-1))/(1+Assumptions!$B$29*(Archetypes!$B$12-1))))+(((I38*Archetypes!$B$17*IF(I38&gt;0,M38/I38,1)*Archetypes!$B$31)/100)*Assumptions!$B$30))*Assumptions!$B$62,((M38*(Assumptions!$B$27*(1+Assumptions!$B$28*(Archetypes!$B$14-1))/(1+Assumptions!$B$29*(Archetypes!$B$12-1))))+(((I38*Archetypes!$B$17*IF(I38&gt;0,M38/I38,1)*Archetypes!$B$31)/100)*Assumptions!$B$30)))-(Assumptions!$B$25*Assumptions!$B$26*E38))*E38</f>
        <v>-2.8381702909090891</v>
      </c>
      <c r="I38" s="21">
        <f>(Archetypes!$B$11*(IF(F38&lt;0,1+Assumptions!$B$32*MIN(1,ABS(F38)/ABS(Assumptions!$B$21)),MAX(0.1,1-Assumptions!$B$31*(F38/50)))))*$E38</f>
        <v>14</v>
      </c>
      <c r="J38" s="26">
        <f>Archetypes!$B$30</f>
        <v>2.1999999999999999E-2</v>
      </c>
      <c r="K38" s="21">
        <f t="shared" si="2"/>
        <v>0.308</v>
      </c>
      <c r="L38" s="21">
        <f>((I38-K38)*Archetypes!$B$15)+(K38*Archetypes!$B$15*Archetypes!$B$22)</f>
        <v>1.4061600000000003</v>
      </c>
      <c r="M38" s="21">
        <f>I38*Archetypes!$B$16</f>
        <v>10.5</v>
      </c>
      <c r="N38" s="21">
        <f>(IF(F38&lt;0,Assumptions!$B$8,IF(F38&lt;10,Assumptions!$B$34,IF(F38&lt;25,Assumptions!$B$35,Assumptions!$B$36))))*((((Archetypes!$B$5*Assumptions!$B$4+Archetypes!$B$6*Assumptions!$B$5)*60))+(Assumptions!$B$6*(((Archetypes!$B$11*(IF(F38&lt;0,1+Assumptions!$B$32*MIN(1,ABS(F38)/ABS(Assumptions!$B$21)),MAX(0.1,1-Assumptions!$B$31*(F38/50)))))-((Archetypes!$B$11*(IF(F38&lt;0,1+Assumptions!$B$32*MIN(1,ABS(F38)/ABS(Assumptions!$B$21)),MAX(0.1,1-Assumptions!$B$31*(F38/50)))))*J38)*Archetypes!$B$20)+((Archetypes!$B$11*(IF(F38&lt;0,1+Assumptions!$B$32*MIN(1,ABS(F38)/ABS(Assumptions!$B$21)),MAX(0.1,1-Assumptions!$B$31*(F38/50)))))*J38*Archetypes!$B$20*Archetypes!$B$21)*Assumptions!$B$18)*(IF($D38=1,1,Assumptions!$B$7)))+(((((Archetypes!$B$11*(IF(F38&lt;0,1+Assumptions!$B$32*MIN(1,ABS(F38)/ABS(Assumptions!$B$21)),MAX(0.1,1-Assumptions!$B$31*(F38/50)))))-((Archetypes!$B$11*(IF(F38&lt;0,1+Assumptions!$B$32*MIN(1,ABS(F38)/ABS(Assumptions!$B$21)),MAX(0.1,1-Assumptions!$B$31*(F38/50)))))*J38)*Archetypes!$B$15)*(Archetypes!$B$13*IF(F38&lt;0,1-Assumptions!$B$33*MIN(1,ABS(F38)/ABS(Assumptions!$B$21)),1))*5)+(((Archetypes!$B$11*(IF(F38&lt;0,1+Assumptions!$B$32*MIN(1,ABS(F38)/ABS(Assumptions!$B$21)),MAX(0.1,1-Assumptions!$B$31*(F38/50)))))*J38*Archetypes!$B$15*Archetypes!$B$22)*(Archetypes!$B$13*IF(F38&lt;0,1-Assumptions!$B$33*MIN(1,ABS(F38)/ABS(Assumptions!$B$21)),1))*5*Assumptions!$B$18))*IF(F38&lt;0,Assumptions!$B$9,1)))*$E38</f>
        <v>484.478544</v>
      </c>
      <c r="O38" s="21">
        <f>(O37)+(N38)-(MAX(0,((O37)+(N38)-(P38)))*(IF(Archetypes!$B$27="",Assumptions!$B$11,Archetypes!$B$27)))</f>
        <v>4647.8550964384958</v>
      </c>
      <c r="P38" s="21">
        <f>Archetypes!$B$36 + (Assumptions!$B$67*(IF($E38=0,0,I38/$E38))*Assumptions!$B$71*(1+Assumptions!$B$68*(Archetypes!$B$14-1))) + (Assumptions!$B$69*Archetypes!$B$34*(IF($E38=0,0,I38/$E38))*Assumptions!$B$72*POWER(Assumptions!$B$70,Archetypes!$B$18-1))</f>
        <v>2668.56</v>
      </c>
      <c r="Q38" s="21">
        <f t="shared" si="3"/>
        <v>1979.2950964384959</v>
      </c>
      <c r="S38" s="21">
        <f t="shared" si="9"/>
        <v>68.995979082581613</v>
      </c>
      <c r="T38" s="21">
        <f>MAX(Assumptions!$B$21,S38+U38)</f>
        <v>69.61655889875604</v>
      </c>
      <c r="U38" s="21">
        <f>((Y38*(Assumptions!$B$22+((Assumptions!$B$23-Assumptions!$B$22)*IF(V38&gt;0,X38/V38,0)))*(1+Assumptions!$B$60*(Archetypes!$C$13-1)))+IF(Y38&gt;V38,V38*Assumptions!$B$24,0)-IF(IF(V38&gt;0,Z38/V38,1)&lt;Assumptions!$B$61,((Z38*(Assumptions!$B$27*(1+Assumptions!$B$28*(Archetypes!$C$14-1))/(1+Assumptions!$B$29*(Archetypes!$C$12-1))))+(((V38*Archetypes!$C$17*IF(V38&gt;0,Z38/V38,1)*Archetypes!$C$31)/100)*Assumptions!$B$30))*Assumptions!$B$62,((Z38*(Assumptions!$B$27*(1+Assumptions!$B$28*(Archetypes!$C$14-1))/(1+Assumptions!$B$29*(Archetypes!$C$12-1))))+(((V38*Archetypes!$C$17*IF(V38&gt;0,Z38/V38,1)*Archetypes!$C$31)/100)*Assumptions!$B$30)))-(Assumptions!$B$25*Assumptions!$B$26*E38))*E38</f>
        <v>0.62057981617443103</v>
      </c>
      <c r="V38" s="21">
        <f>(Archetypes!$C$11*(IF(S38&lt;0,1+Assumptions!$B$32*MIN(1,ABS(S38)/ABS(Assumptions!$B$21)),MAX(0.1,1-Assumptions!$B$31*(S38/50)))))*$E38</f>
        <v>1.032289506054124</v>
      </c>
      <c r="W38" s="26">
        <f>Archetypes!$C$30</f>
        <v>3.7999999999999999E-2</v>
      </c>
      <c r="X38" s="21">
        <f t="shared" si="4"/>
        <v>3.9227001230056707E-2</v>
      </c>
      <c r="Y38" s="21">
        <f>((V38-X38)*Archetypes!$C$15)+(X38*Archetypes!$C$15*Archetypes!$C$22)</f>
        <v>0.52202880321157052</v>
      </c>
      <c r="Z38" s="21">
        <f>V38*Archetypes!$C$16</f>
        <v>0.46453027772435579</v>
      </c>
      <c r="AA38" s="21">
        <f>(IF(S38&lt;0,Assumptions!$B$8,IF(S38&lt;10,Assumptions!$B$34,IF(S38&lt;25,Assumptions!$B$35,Assumptions!$B$36))))*((((Archetypes!$C$5*Assumptions!$B$4+Archetypes!$C$6*Assumptions!$B$5)*60))+(Assumptions!$B$6*(((Archetypes!$C$11*(IF(S38&lt;0,1+Assumptions!$B$32*MIN(1,ABS(S38)/ABS(Assumptions!$B$21)),MAX(0.1,1-Assumptions!$B$31*(S38/50)))))-((Archetypes!$C$11*(IF(S38&lt;0,1+Assumptions!$B$32*MIN(1,ABS(S38)/ABS(Assumptions!$B$21)),MAX(0.1,1-Assumptions!$B$31*(S38/50)))))*W38)*Archetypes!$C$20)+((Archetypes!$C$11*(IF(S38&lt;0,1+Assumptions!$B$32*MIN(1,ABS(S38)/ABS(Assumptions!$B$21)),MAX(0.1,1-Assumptions!$B$31*(S38/50)))))*W38*Archetypes!$C$20*Archetypes!$C$21)*Assumptions!$B$18)*(IF($D38=1,1,Assumptions!$B$7)))+(((((Archetypes!$C$11*(IF(S38&lt;0,1+Assumptions!$B$32*MIN(1,ABS(S38)/ABS(Assumptions!$B$21)),MAX(0.1,1-Assumptions!$B$31*(S38/50)))))-((Archetypes!$C$11*(IF(S38&lt;0,1+Assumptions!$B$32*MIN(1,ABS(S38)/ABS(Assumptions!$B$21)),MAX(0.1,1-Assumptions!$B$31*(S38/50)))))*W38)*Archetypes!$C$15)*(Archetypes!$C$13*IF(S38&lt;0,1-Assumptions!$B$33*MIN(1,ABS(S38)/ABS(Assumptions!$B$21)),1))*5)+(((Archetypes!$C$11*(IF(S38&lt;0,1+Assumptions!$B$32*MIN(1,ABS(S38)/ABS(Assumptions!$B$21)),MAX(0.1,1-Assumptions!$B$31*(S38/50)))))*W38*Archetypes!$C$15*Archetypes!$C$22)*(Archetypes!$C$13*IF(S38&lt;0,1-Assumptions!$B$33*MIN(1,ABS(S38)/ABS(Assumptions!$B$21)),1))*5*Assumptions!$B$18))*IF(S38&lt;0,Assumptions!$B$9,1)))*$E38</f>
        <v>615.64417006837573</v>
      </c>
      <c r="AB38" s="21">
        <f>(AB37)+(AA38)-(MAX(0,((AB37)+(AA38)-(AC38)))*(IF(Archetypes!$C$27="",Assumptions!$B$11,Archetypes!$C$27)))</f>
        <v>11056.881917878447</v>
      </c>
      <c r="AC38" s="21">
        <f>Archetypes!$C$36 + (Assumptions!$B$67*(IF($E38=0,0,V38/$E38))*Assumptions!$B$71*(1+Assumptions!$B$68*(Archetypes!$C$14-1))) + (Assumptions!$B$69*Archetypes!$C$34*(IF($E38=0,0,V38/$E38))*Assumptions!$B$72*POWER(Assumptions!$B$70,Archetypes!$C$18-1))</f>
        <v>9147.2660555448747</v>
      </c>
      <c r="AD38" s="21">
        <f t="shared" si="5"/>
        <v>1909.6158623335723</v>
      </c>
      <c r="AF38" s="21">
        <f t="shared" si="10"/>
        <v>91.088430840509687</v>
      </c>
      <c r="AG38" s="21">
        <f>MAX(Assumptions!$B$21,AF38+AH38)</f>
        <v>92.00175532508112</v>
      </c>
      <c r="AH38" s="21">
        <f>((AL38*(Assumptions!$B$22+((Assumptions!$B$23-Assumptions!$B$22)*IF(AI38&gt;0,AK38/AI38,0)))*(1+Assumptions!$B$60*(Archetypes!$D$13-1)))+IF(AL38&gt;AI38,AI38*Assumptions!$B$24,0)-IF(IF(AI38&gt;0,AM38/AI38,1)&lt;Assumptions!$B$61,((AM38*(Assumptions!$B$27*(1+Assumptions!$B$28*(Archetypes!$D$14-1))/(1+Assumptions!$B$29*(Archetypes!$D$12-1))))+(((AI38*Archetypes!$D$17*IF(AI38&gt;0,AM38/AI38,1)*Archetypes!$D$31)/100)*Assumptions!$B$30))*Assumptions!$B$62,((AM38*(Assumptions!$B$27*(1+Assumptions!$B$28*(Archetypes!$D$14-1))/(1+Assumptions!$B$29*(Archetypes!$D$12-1))))+(((AI38*Archetypes!$D$17*IF(AI38&gt;0,AM38/AI38,1)*Archetypes!$D$31)/100)*Assumptions!$B$30)))-(Assumptions!$B$25*Assumptions!$B$26*E38))*E38</f>
        <v>0.9133244845714289</v>
      </c>
      <c r="AI38" s="21">
        <f>(Archetypes!$D$11*(IF(AF38&lt;0,1+Assumptions!$B$32*MIN(1,ABS(AF38)/ABS(Assumptions!$B$21)),MAX(0.1,1-Assumptions!$B$31*(AF38/50)))))*$E38</f>
        <v>0.30000000000000004</v>
      </c>
      <c r="AJ38" s="26">
        <f>Archetypes!$D$30</f>
        <v>0.10400000000000001</v>
      </c>
      <c r="AK38" s="21">
        <f t="shared" si="6"/>
        <v>3.1200000000000009E-2</v>
      </c>
      <c r="AL38" s="21">
        <f>((AI38-AK38)*Archetypes!$D$15)+(AK38*Archetypes!$D$15*Archetypes!$D$22)</f>
        <v>0.46872000000000008</v>
      </c>
      <c r="AM38" s="21">
        <f>AI38*Archetypes!$D$16</f>
        <v>6.0000000000000012E-2</v>
      </c>
      <c r="AN38" s="21">
        <f>(IF(AF38&lt;0,Assumptions!$B$8,IF(AF38&lt;10,Assumptions!$B$34,IF(AF38&lt;25,Assumptions!$B$35,Assumptions!$B$36))))*((((Archetypes!$D$5*Assumptions!$B$4+Archetypes!$D$6*Assumptions!$B$5)*60))+(Assumptions!$B$6*(((Archetypes!$D$11*(IF(AF38&lt;0,1+Assumptions!$B$32*MIN(1,ABS(AF38)/ABS(Assumptions!$B$21)),MAX(0.1,1-Assumptions!$B$31*(AF38/50)))))-((Archetypes!$D$11*(IF(AF38&lt;0,1+Assumptions!$B$32*MIN(1,ABS(AF38)/ABS(Assumptions!$B$21)),MAX(0.1,1-Assumptions!$B$31*(AF38/50)))))*AJ38)*Archetypes!$D$20)+((Archetypes!$D$11*(IF(AF38&lt;0,1+Assumptions!$B$32*MIN(1,ABS(AF38)/ABS(Assumptions!$B$21)),MAX(0.1,1-Assumptions!$B$31*(AF38/50)))))*AJ38*Archetypes!$D$20*Archetypes!$D$21)*Assumptions!$B$18)*(IF($D38=1,1,Assumptions!$B$7)))+(((((Archetypes!$D$11*(IF(AF38&lt;0,1+Assumptions!$B$32*MIN(1,ABS(AF38)/ABS(Assumptions!$B$21)),MAX(0.1,1-Assumptions!$B$31*(AF38/50)))))-((Archetypes!$D$11*(IF(AF38&lt;0,1+Assumptions!$B$32*MIN(1,ABS(AF38)/ABS(Assumptions!$B$21)),MAX(0.1,1-Assumptions!$B$31*(AF38/50)))))*AJ38)*Archetypes!$D$15)*(Archetypes!$D$13*IF(AF38&lt;0,1-Assumptions!$B$33*MIN(1,ABS(AF38)/ABS(Assumptions!$B$21)),1))*5)+(((Archetypes!$D$11*(IF(AF38&lt;0,1+Assumptions!$B$32*MIN(1,ABS(AF38)/ABS(Assumptions!$B$21)),MAX(0.1,1-Assumptions!$B$31*(AF38/50)))))*AJ38*Archetypes!$D$15*Archetypes!$D$22)*(Archetypes!$D$13*IF(AF38&lt;0,1-Assumptions!$B$33*MIN(1,ABS(AF38)/ABS(Assumptions!$B$21)),1))*5*Assumptions!$B$18))*IF(AF38&lt;0,Assumptions!$B$9,1)))*$E38</f>
        <v>939.63674999999989</v>
      </c>
      <c r="AO38" s="21">
        <f>(AO37)+(AN38)-(MAX(0,((AO37)+(AN38)-(AP38)))*(IF(Archetypes!$D$27="",Assumptions!$B$11,Archetypes!$D$27)))</f>
        <v>22968.559812912274</v>
      </c>
      <c r="AP38" s="21">
        <f>Archetypes!$D$36 + (Assumptions!$B$67*(IF($E38=0,0,AI38/$E38))*Assumptions!$B$71*(1+Assumptions!$B$68*(Archetypes!$D$14-1))) + (Assumptions!$B$69*Archetypes!$D$34*(IF($E38=0,0,AI38/$E38))*Assumptions!$B$72*POWER(Assumptions!$B$70,Archetypes!$D$18-1))</f>
        <v>20774.800648960005</v>
      </c>
      <c r="AQ38" s="21">
        <f t="shared" si="7"/>
        <v>2193.7591639522689</v>
      </c>
    </row>
    <row r="39" spans="1:43" x14ac:dyDescent="0.25">
      <c r="A39" s="20">
        <v>35</v>
      </c>
      <c r="B39" s="20">
        <f t="shared" si="0"/>
        <v>2</v>
      </c>
      <c r="C39" s="20">
        <f t="shared" si="1"/>
        <v>11</v>
      </c>
      <c r="D39" s="6">
        <f>IF(C39&lt;Assumptions!$B$10,1,0)</f>
        <v>0</v>
      </c>
      <c r="E39" s="6">
        <v>1</v>
      </c>
      <c r="F39" s="21">
        <f t="shared" si="8"/>
        <v>-15</v>
      </c>
      <c r="G39" s="21">
        <f>MAX(Assumptions!$B$21,F39+H39)</f>
        <v>-15</v>
      </c>
      <c r="H39" s="21">
        <f>((L39*(Assumptions!$B$22+((Assumptions!$B$23-Assumptions!$B$22)*IF(I39&gt;0,K39/I39,0)))*(1+Assumptions!$B$60*(Archetypes!$B$13-1)))+IF(L39&gt;I39,I39*Assumptions!$B$24,0)-IF(IF(I39&gt;0,M39/I39,1)&lt;Assumptions!$B$61,((M39*(Assumptions!$B$27*(1+Assumptions!$B$28*(Archetypes!$B$14-1))/(1+Assumptions!$B$29*(Archetypes!$B$12-1))))+(((I39*Archetypes!$B$17*IF(I39&gt;0,M39/I39,1)*Archetypes!$B$31)/100)*Assumptions!$B$30))*Assumptions!$B$62,((M39*(Assumptions!$B$27*(1+Assumptions!$B$28*(Archetypes!$B$14-1))/(1+Assumptions!$B$29*(Archetypes!$B$12-1))))+(((I39*Archetypes!$B$17*IF(I39&gt;0,M39/I39,1)*Archetypes!$B$31)/100)*Assumptions!$B$30)))-(Assumptions!$B$25*Assumptions!$B$26*E39))*E39</f>
        <v>-2.8381702909090891</v>
      </c>
      <c r="I39" s="21">
        <f>(Archetypes!$B$11*(IF(F39&lt;0,1+Assumptions!$B$32*MIN(1,ABS(F39)/ABS(Assumptions!$B$21)),MAX(0.1,1-Assumptions!$B$31*(F39/50)))))*$E39</f>
        <v>14</v>
      </c>
      <c r="J39" s="26">
        <f>Archetypes!$B$30</f>
        <v>2.1999999999999999E-2</v>
      </c>
      <c r="K39" s="21">
        <f t="shared" si="2"/>
        <v>0.308</v>
      </c>
      <c r="L39" s="21">
        <f>((I39-K39)*Archetypes!$B$15)+(K39*Archetypes!$B$15*Archetypes!$B$22)</f>
        <v>1.4061600000000003</v>
      </c>
      <c r="M39" s="21">
        <f>I39*Archetypes!$B$16</f>
        <v>10.5</v>
      </c>
      <c r="N39" s="21">
        <f>(IF(F39&lt;0,Assumptions!$B$8,IF(F39&lt;10,Assumptions!$B$34,IF(F39&lt;25,Assumptions!$B$35,Assumptions!$B$36))))*((((Archetypes!$B$5*Assumptions!$B$4+Archetypes!$B$6*Assumptions!$B$5)*60))+(Assumptions!$B$6*(((Archetypes!$B$11*(IF(F39&lt;0,1+Assumptions!$B$32*MIN(1,ABS(F39)/ABS(Assumptions!$B$21)),MAX(0.1,1-Assumptions!$B$31*(F39/50)))))-((Archetypes!$B$11*(IF(F39&lt;0,1+Assumptions!$B$32*MIN(1,ABS(F39)/ABS(Assumptions!$B$21)),MAX(0.1,1-Assumptions!$B$31*(F39/50)))))*J39)*Archetypes!$B$20)+((Archetypes!$B$11*(IF(F39&lt;0,1+Assumptions!$B$32*MIN(1,ABS(F39)/ABS(Assumptions!$B$21)),MAX(0.1,1-Assumptions!$B$31*(F39/50)))))*J39*Archetypes!$B$20*Archetypes!$B$21)*Assumptions!$B$18)*(IF($D39=1,1,Assumptions!$B$7)))+(((((Archetypes!$B$11*(IF(F39&lt;0,1+Assumptions!$B$32*MIN(1,ABS(F39)/ABS(Assumptions!$B$21)),MAX(0.1,1-Assumptions!$B$31*(F39/50)))))-((Archetypes!$B$11*(IF(F39&lt;0,1+Assumptions!$B$32*MIN(1,ABS(F39)/ABS(Assumptions!$B$21)),MAX(0.1,1-Assumptions!$B$31*(F39/50)))))*J39)*Archetypes!$B$15)*(Archetypes!$B$13*IF(F39&lt;0,1-Assumptions!$B$33*MIN(1,ABS(F39)/ABS(Assumptions!$B$21)),1))*5)+(((Archetypes!$B$11*(IF(F39&lt;0,1+Assumptions!$B$32*MIN(1,ABS(F39)/ABS(Assumptions!$B$21)),MAX(0.1,1-Assumptions!$B$31*(F39/50)))))*J39*Archetypes!$B$15*Archetypes!$B$22)*(Archetypes!$B$13*IF(F39&lt;0,1-Assumptions!$B$33*MIN(1,ABS(F39)/ABS(Assumptions!$B$21)),1))*5*Assumptions!$B$18))*IF(F39&lt;0,Assumptions!$B$9,1)))*$E39</f>
        <v>484.478544</v>
      </c>
      <c r="O39" s="21">
        <f>(O38)+(N39)-(MAX(0,((O38)+(N39)-(P39)))*(IF(Archetypes!$B$27="",Assumptions!$B$11,Archetypes!$B$27)))</f>
        <v>4639.5789123507966</v>
      </c>
      <c r="P39" s="21">
        <f>Archetypes!$B$36 + (Assumptions!$B$67*(IF($E39=0,0,I39/$E39))*Assumptions!$B$71*(1+Assumptions!$B$68*(Archetypes!$B$14-1))) + (Assumptions!$B$69*Archetypes!$B$34*(IF($E39=0,0,I39/$E39))*Assumptions!$B$72*POWER(Assumptions!$B$70,Archetypes!$B$18-1))</f>
        <v>2668.56</v>
      </c>
      <c r="Q39" s="21">
        <f t="shared" si="3"/>
        <v>1971.0189123507967</v>
      </c>
      <c r="S39" s="21">
        <f t="shared" si="9"/>
        <v>69.61655889875604</v>
      </c>
      <c r="T39" s="21">
        <f>MAX(Assumptions!$B$21,S39+U39)</f>
        <v>70.203784842779044</v>
      </c>
      <c r="U39" s="21">
        <f>((Y39*(Assumptions!$B$22+((Assumptions!$B$23-Assumptions!$B$22)*IF(V39&gt;0,X39/V39,0)))*(1+Assumptions!$B$60*(Archetypes!$C$13-1)))+IF(Y39&gt;V39,V39*Assumptions!$B$24,0)-IF(IF(V39&gt;0,Z39/V39,1)&lt;Assumptions!$B$61,((Z39*(Assumptions!$B$27*(1+Assumptions!$B$28*(Archetypes!$C$14-1))/(1+Assumptions!$B$29*(Archetypes!$C$12-1))))+(((V39*Archetypes!$C$17*IF(V39&gt;0,Z39/V39,1)*Archetypes!$C$31)/100)*Assumptions!$B$30))*Assumptions!$B$62,((Z39*(Assumptions!$B$27*(1+Assumptions!$B$28*(Archetypes!$C$14-1))/(1+Assumptions!$B$29*(Archetypes!$C$12-1))))+(((V39*Archetypes!$C$17*IF(V39&gt;0,Z39/V39,1)*Archetypes!$C$31)/100)*Assumptions!$B$30)))-(Assumptions!$B$25*Assumptions!$B$26*E39))*E39</f>
        <v>0.58722594402300687</v>
      </c>
      <c r="V39" s="21">
        <f>(Archetypes!$C$11*(IF(S39&lt;0,1+Assumptions!$B$32*MIN(1,ABS(S39)/ABS(Assumptions!$B$21)),MAX(0.1,1-Assumptions!$B$31*(S39/50)))))*$E39</f>
        <v>0.98760775928956535</v>
      </c>
      <c r="W39" s="26">
        <f>Archetypes!$C$30</f>
        <v>3.7999999999999999E-2</v>
      </c>
      <c r="X39" s="21">
        <f t="shared" si="4"/>
        <v>3.7529094853003479E-2</v>
      </c>
      <c r="Y39" s="21">
        <f>((V39-X39)*Archetypes!$C$15)+(X39*Archetypes!$C$15*Archetypes!$C$22)</f>
        <v>0.49943324387273319</v>
      </c>
      <c r="Z39" s="21">
        <f>V39*Archetypes!$C$16</f>
        <v>0.44442349168030443</v>
      </c>
      <c r="AA39" s="21">
        <f>(IF(S39&lt;0,Assumptions!$B$8,IF(S39&lt;10,Assumptions!$B$34,IF(S39&lt;25,Assumptions!$B$35,Assumptions!$B$36))))*((((Archetypes!$C$5*Assumptions!$B$4+Archetypes!$C$6*Assumptions!$B$5)*60))+(Assumptions!$B$6*(((Archetypes!$C$11*(IF(S39&lt;0,1+Assumptions!$B$32*MIN(1,ABS(S39)/ABS(Assumptions!$B$21)),MAX(0.1,1-Assumptions!$B$31*(S39/50)))))-((Archetypes!$C$11*(IF(S39&lt;0,1+Assumptions!$B$32*MIN(1,ABS(S39)/ABS(Assumptions!$B$21)),MAX(0.1,1-Assumptions!$B$31*(S39/50)))))*W39)*Archetypes!$C$20)+((Archetypes!$C$11*(IF(S39&lt;0,1+Assumptions!$B$32*MIN(1,ABS(S39)/ABS(Assumptions!$B$21)),MAX(0.1,1-Assumptions!$B$31*(S39/50)))))*W39*Archetypes!$C$20*Archetypes!$C$21)*Assumptions!$B$18)*(IF($D39=1,1,Assumptions!$B$7)))+(((((Archetypes!$C$11*(IF(S39&lt;0,1+Assumptions!$B$32*MIN(1,ABS(S39)/ABS(Assumptions!$B$21)),MAX(0.1,1-Assumptions!$B$31*(S39/50)))))-((Archetypes!$C$11*(IF(S39&lt;0,1+Assumptions!$B$32*MIN(1,ABS(S39)/ABS(Assumptions!$B$21)),MAX(0.1,1-Assumptions!$B$31*(S39/50)))))*W39)*Archetypes!$C$15)*(Archetypes!$C$13*IF(S39&lt;0,1-Assumptions!$B$33*MIN(1,ABS(S39)/ABS(Assumptions!$B$21)),1))*5)+(((Archetypes!$C$11*(IF(S39&lt;0,1+Assumptions!$B$32*MIN(1,ABS(S39)/ABS(Assumptions!$B$21)),MAX(0.1,1-Assumptions!$B$31*(S39/50)))))*W39*Archetypes!$C$15*Archetypes!$C$22)*(Archetypes!$C$13*IF(S39&lt;0,1-Assumptions!$B$33*MIN(1,ABS(S39)/ABS(Assumptions!$B$21)),1))*5*Assumptions!$B$18))*IF(S39&lt;0,Assumptions!$B$9,1)))*$E39</f>
        <v>612.17519989029176</v>
      </c>
      <c r="AB39" s="21">
        <f>(AB38)+(AA39)-(MAX(0,((AB38)+(AA39)-(AC39)))*(IF(Archetypes!$C$27="",Assumptions!$B$11,Archetypes!$C$27)))</f>
        <v>11037.60401291057</v>
      </c>
      <c r="AC39" s="21">
        <f>Archetypes!$C$36 + (Assumptions!$B$67*(IF($E39=0,0,V39/$E39))*Assumptions!$B$71*(1+Assumptions!$B$68*(Archetypes!$C$14-1))) + (Assumptions!$B$69*Archetypes!$C$34*(IF($E39=0,0,V39/$E39))*Assumptions!$B$72*POWER(Assumptions!$B$70,Archetypes!$C$18-1))</f>
        <v>9143.2446983360624</v>
      </c>
      <c r="AD39" s="21">
        <f t="shared" si="5"/>
        <v>1894.3593145745072</v>
      </c>
      <c r="AF39" s="21">
        <f t="shared" si="10"/>
        <v>92.00175532508112</v>
      </c>
      <c r="AG39" s="21">
        <f>MAX(Assumptions!$B$21,AF39+AH39)</f>
        <v>92.915079809652553</v>
      </c>
      <c r="AH39" s="21">
        <f>((AL39*(Assumptions!$B$22+((Assumptions!$B$23-Assumptions!$B$22)*IF(AI39&gt;0,AK39/AI39,0)))*(1+Assumptions!$B$60*(Archetypes!$D$13-1)))+IF(AL39&gt;AI39,AI39*Assumptions!$B$24,0)-IF(IF(AI39&gt;0,AM39/AI39,1)&lt;Assumptions!$B$61,((AM39*(Assumptions!$B$27*(1+Assumptions!$B$28*(Archetypes!$D$14-1))/(1+Assumptions!$B$29*(Archetypes!$D$12-1))))+(((AI39*Archetypes!$D$17*IF(AI39&gt;0,AM39/AI39,1)*Archetypes!$D$31)/100)*Assumptions!$B$30))*Assumptions!$B$62,((AM39*(Assumptions!$B$27*(1+Assumptions!$B$28*(Archetypes!$D$14-1))/(1+Assumptions!$B$29*(Archetypes!$D$12-1))))+(((AI39*Archetypes!$D$17*IF(AI39&gt;0,AM39/AI39,1)*Archetypes!$D$31)/100)*Assumptions!$B$30)))-(Assumptions!$B$25*Assumptions!$B$26*E39))*E39</f>
        <v>0.9133244845714289</v>
      </c>
      <c r="AI39" s="21">
        <f>(Archetypes!$D$11*(IF(AF39&lt;0,1+Assumptions!$B$32*MIN(1,ABS(AF39)/ABS(Assumptions!$B$21)),MAX(0.1,1-Assumptions!$B$31*(AF39/50)))))*$E39</f>
        <v>0.30000000000000004</v>
      </c>
      <c r="AJ39" s="26">
        <f>Archetypes!$D$30</f>
        <v>0.10400000000000001</v>
      </c>
      <c r="AK39" s="21">
        <f t="shared" si="6"/>
        <v>3.1200000000000009E-2</v>
      </c>
      <c r="AL39" s="21">
        <f>((AI39-AK39)*Archetypes!$D$15)+(AK39*Archetypes!$D$15*Archetypes!$D$22)</f>
        <v>0.46872000000000008</v>
      </c>
      <c r="AM39" s="21">
        <f>AI39*Archetypes!$D$16</f>
        <v>6.0000000000000012E-2</v>
      </c>
      <c r="AN39" s="21">
        <f>(IF(AF39&lt;0,Assumptions!$B$8,IF(AF39&lt;10,Assumptions!$B$34,IF(AF39&lt;25,Assumptions!$B$35,Assumptions!$B$36))))*((((Archetypes!$D$5*Assumptions!$B$4+Archetypes!$D$6*Assumptions!$B$5)*60))+(Assumptions!$B$6*(((Archetypes!$D$11*(IF(AF39&lt;0,1+Assumptions!$B$32*MIN(1,ABS(AF39)/ABS(Assumptions!$B$21)),MAX(0.1,1-Assumptions!$B$31*(AF39/50)))))-((Archetypes!$D$11*(IF(AF39&lt;0,1+Assumptions!$B$32*MIN(1,ABS(AF39)/ABS(Assumptions!$B$21)),MAX(0.1,1-Assumptions!$B$31*(AF39/50)))))*AJ39)*Archetypes!$D$20)+((Archetypes!$D$11*(IF(AF39&lt;0,1+Assumptions!$B$32*MIN(1,ABS(AF39)/ABS(Assumptions!$B$21)),MAX(0.1,1-Assumptions!$B$31*(AF39/50)))))*AJ39*Archetypes!$D$20*Archetypes!$D$21)*Assumptions!$B$18)*(IF($D39=1,1,Assumptions!$B$7)))+(((((Archetypes!$D$11*(IF(AF39&lt;0,1+Assumptions!$B$32*MIN(1,ABS(AF39)/ABS(Assumptions!$B$21)),MAX(0.1,1-Assumptions!$B$31*(AF39/50)))))-((Archetypes!$D$11*(IF(AF39&lt;0,1+Assumptions!$B$32*MIN(1,ABS(AF39)/ABS(Assumptions!$B$21)),MAX(0.1,1-Assumptions!$B$31*(AF39/50)))))*AJ39)*Archetypes!$D$15)*(Archetypes!$D$13*IF(AF39&lt;0,1-Assumptions!$B$33*MIN(1,ABS(AF39)/ABS(Assumptions!$B$21)),1))*5)+(((Archetypes!$D$11*(IF(AF39&lt;0,1+Assumptions!$B$32*MIN(1,ABS(AF39)/ABS(Assumptions!$B$21)),MAX(0.1,1-Assumptions!$B$31*(AF39/50)))))*AJ39*Archetypes!$D$15*Archetypes!$D$22)*(Archetypes!$D$13*IF(AF39&lt;0,1-Assumptions!$B$33*MIN(1,ABS(AF39)/ABS(Assumptions!$B$21)),1))*5*Assumptions!$B$18))*IF(AF39&lt;0,Assumptions!$B$9,1)))*$E39</f>
        <v>939.63674999999989</v>
      </c>
      <c r="AO39" s="21">
        <f>(AO38)+(AN39)-(MAX(0,((AO38)+(AN39)-(AP39)))*(IF(Archetypes!$D$27="",Assumptions!$B$11,Archetypes!$D$27)))</f>
        <v>22968.177788726593</v>
      </c>
      <c r="AP39" s="21">
        <f>Archetypes!$D$36 + (Assumptions!$B$67*(IF($E39=0,0,AI39/$E39))*Assumptions!$B$71*(1+Assumptions!$B$68*(Archetypes!$D$14-1))) + (Assumptions!$B$69*Archetypes!$D$34*(IF($E39=0,0,AI39/$E39))*Assumptions!$B$72*POWER(Assumptions!$B$70,Archetypes!$D$18-1))</f>
        <v>20774.800648960005</v>
      </c>
      <c r="AQ39" s="21">
        <f t="shared" si="7"/>
        <v>2193.3771397665878</v>
      </c>
    </row>
    <row r="40" spans="1:43" x14ac:dyDescent="0.25">
      <c r="A40" s="20">
        <v>36</v>
      </c>
      <c r="B40" s="20">
        <f t="shared" si="0"/>
        <v>2</v>
      </c>
      <c r="C40" s="20">
        <f t="shared" si="1"/>
        <v>12</v>
      </c>
      <c r="D40" s="6">
        <f>IF(C40&lt;Assumptions!$B$10,1,0)</f>
        <v>0</v>
      </c>
      <c r="E40" s="6">
        <v>1</v>
      </c>
      <c r="F40" s="21">
        <f t="shared" si="8"/>
        <v>-15</v>
      </c>
      <c r="G40" s="21">
        <f>MAX(Assumptions!$B$21,F40+H40)</f>
        <v>-15</v>
      </c>
      <c r="H40" s="21">
        <f>((L40*(Assumptions!$B$22+((Assumptions!$B$23-Assumptions!$B$22)*IF(I40&gt;0,K40/I40,0)))*(1+Assumptions!$B$60*(Archetypes!$B$13-1)))+IF(L40&gt;I40,I40*Assumptions!$B$24,0)-IF(IF(I40&gt;0,M40/I40,1)&lt;Assumptions!$B$61,((M40*(Assumptions!$B$27*(1+Assumptions!$B$28*(Archetypes!$B$14-1))/(1+Assumptions!$B$29*(Archetypes!$B$12-1))))+(((I40*Archetypes!$B$17*IF(I40&gt;0,M40/I40,1)*Archetypes!$B$31)/100)*Assumptions!$B$30))*Assumptions!$B$62,((M40*(Assumptions!$B$27*(1+Assumptions!$B$28*(Archetypes!$B$14-1))/(1+Assumptions!$B$29*(Archetypes!$B$12-1))))+(((I40*Archetypes!$B$17*IF(I40&gt;0,M40/I40,1)*Archetypes!$B$31)/100)*Assumptions!$B$30)))-(Assumptions!$B$25*Assumptions!$B$26*E40))*E40</f>
        <v>-2.8381702909090891</v>
      </c>
      <c r="I40" s="21">
        <f>(Archetypes!$B$11*(IF(F40&lt;0,1+Assumptions!$B$32*MIN(1,ABS(F40)/ABS(Assumptions!$B$21)),MAX(0.1,1-Assumptions!$B$31*(F40/50)))))*$E40</f>
        <v>14</v>
      </c>
      <c r="J40" s="26">
        <f>Archetypes!$B$30</f>
        <v>2.1999999999999999E-2</v>
      </c>
      <c r="K40" s="21">
        <f t="shared" si="2"/>
        <v>0.308</v>
      </c>
      <c r="L40" s="21">
        <f>((I40-K40)*Archetypes!$B$15)+(K40*Archetypes!$B$15*Archetypes!$B$22)</f>
        <v>1.4061600000000003</v>
      </c>
      <c r="M40" s="21">
        <f>I40*Archetypes!$B$16</f>
        <v>10.5</v>
      </c>
      <c r="N40" s="21">
        <f>(IF(F40&lt;0,Assumptions!$B$8,IF(F40&lt;10,Assumptions!$B$34,IF(F40&lt;25,Assumptions!$B$35,Assumptions!$B$36))))*((((Archetypes!$B$5*Assumptions!$B$4+Archetypes!$B$6*Assumptions!$B$5)*60))+(Assumptions!$B$6*(((Archetypes!$B$11*(IF(F40&lt;0,1+Assumptions!$B$32*MIN(1,ABS(F40)/ABS(Assumptions!$B$21)),MAX(0.1,1-Assumptions!$B$31*(F40/50)))))-((Archetypes!$B$11*(IF(F40&lt;0,1+Assumptions!$B$32*MIN(1,ABS(F40)/ABS(Assumptions!$B$21)),MAX(0.1,1-Assumptions!$B$31*(F40/50)))))*J40)*Archetypes!$B$20)+((Archetypes!$B$11*(IF(F40&lt;0,1+Assumptions!$B$32*MIN(1,ABS(F40)/ABS(Assumptions!$B$21)),MAX(0.1,1-Assumptions!$B$31*(F40/50)))))*J40*Archetypes!$B$20*Archetypes!$B$21)*Assumptions!$B$18)*(IF($D40=1,1,Assumptions!$B$7)))+(((((Archetypes!$B$11*(IF(F40&lt;0,1+Assumptions!$B$32*MIN(1,ABS(F40)/ABS(Assumptions!$B$21)),MAX(0.1,1-Assumptions!$B$31*(F40/50)))))-((Archetypes!$B$11*(IF(F40&lt;0,1+Assumptions!$B$32*MIN(1,ABS(F40)/ABS(Assumptions!$B$21)),MAX(0.1,1-Assumptions!$B$31*(F40/50)))))*J40)*Archetypes!$B$15)*(Archetypes!$B$13*IF(F40&lt;0,1-Assumptions!$B$33*MIN(1,ABS(F40)/ABS(Assumptions!$B$21)),1))*5)+(((Archetypes!$B$11*(IF(F40&lt;0,1+Assumptions!$B$32*MIN(1,ABS(F40)/ABS(Assumptions!$B$21)),MAX(0.1,1-Assumptions!$B$31*(F40/50)))))*J40*Archetypes!$B$15*Archetypes!$B$22)*(Archetypes!$B$13*IF(F40&lt;0,1-Assumptions!$B$33*MIN(1,ABS(F40)/ABS(Assumptions!$B$21)),1))*5*Assumptions!$B$18))*IF(F40&lt;0,Assumptions!$B$9,1)))*$E40</f>
        <v>484.478544</v>
      </c>
      <c r="O40" s="21">
        <f>(O39)+(N40)-(MAX(0,((O39)+(N40)-(P40)))*(IF(Archetypes!$B$27="",Assumptions!$B$11,Archetypes!$B$27)))</f>
        <v>4632.9579650806372</v>
      </c>
      <c r="P40" s="21">
        <f>Archetypes!$B$36 + (Assumptions!$B$67*(IF($E40=0,0,I40/$E40))*Assumptions!$B$71*(1+Assumptions!$B$68*(Archetypes!$B$14-1))) + (Assumptions!$B$69*Archetypes!$B$34*(IF($E40=0,0,I40/$E40))*Assumptions!$B$72*POWER(Assumptions!$B$70,Archetypes!$B$18-1))</f>
        <v>2668.56</v>
      </c>
      <c r="Q40" s="21">
        <f t="shared" si="3"/>
        <v>1964.3979650806373</v>
      </c>
      <c r="S40" s="21">
        <f t="shared" si="9"/>
        <v>70.203784842779044</v>
      </c>
      <c r="T40" s="21">
        <f>MAX(Assumptions!$B$21,S40+U40)</f>
        <v>70.759449562040203</v>
      </c>
      <c r="U40" s="21">
        <f>((Y40*(Assumptions!$B$22+((Assumptions!$B$23-Assumptions!$B$22)*IF(V40&gt;0,X40/V40,0)))*(1+Assumptions!$B$60*(Archetypes!$C$13-1)))+IF(Y40&gt;V40,V40*Assumptions!$B$24,0)-IF(IF(V40&gt;0,Z40/V40,1)&lt;Assumptions!$B$61,((Z40*(Assumptions!$B$27*(1+Assumptions!$B$28*(Archetypes!$C$14-1))/(1+Assumptions!$B$29*(Archetypes!$C$12-1))))+(((V40*Archetypes!$C$17*IF(V40&gt;0,Z40/V40,1)*Archetypes!$C$31)/100)*Assumptions!$B$30))*Assumptions!$B$62,((Z40*(Assumptions!$B$27*(1+Assumptions!$B$28*(Archetypes!$C$14-1))/(1+Assumptions!$B$29*(Archetypes!$C$12-1))))+(((V40*Archetypes!$C$17*IF(V40&gt;0,Z40/V40,1)*Archetypes!$C$31)/100)*Assumptions!$B$30)))-(Assumptions!$B$25*Assumptions!$B$26*E40))*E40</f>
        <v>0.55566471926116601</v>
      </c>
      <c r="V40" s="21">
        <f>(Archetypes!$C$11*(IF(S40&lt;0,1+Assumptions!$B$32*MIN(1,ABS(S40)/ABS(Assumptions!$B$21)),MAX(0.1,1-Assumptions!$B$31*(S40/50)))))*$E40</f>
        <v>0.94532749131990834</v>
      </c>
      <c r="W40" s="26">
        <f>Archetypes!$C$30</f>
        <v>3.7999999999999999E-2</v>
      </c>
      <c r="X40" s="21">
        <f t="shared" si="4"/>
        <v>3.5922444670156518E-2</v>
      </c>
      <c r="Y40" s="21">
        <f>((V40-X40)*Archetypes!$C$15)+(X40*Archetypes!$C$15*Archetypes!$C$22)</f>
        <v>0.47805211236047768</v>
      </c>
      <c r="Z40" s="21">
        <f>V40*Archetypes!$C$16</f>
        <v>0.42539737109395875</v>
      </c>
      <c r="AA40" s="21">
        <f>(IF(S40&lt;0,Assumptions!$B$8,IF(S40&lt;10,Assumptions!$B$34,IF(S40&lt;25,Assumptions!$B$35,Assumptions!$B$36))))*((((Archetypes!$C$5*Assumptions!$B$4+Archetypes!$C$6*Assumptions!$B$5)*60))+(Assumptions!$B$6*(((Archetypes!$C$11*(IF(S40&lt;0,1+Assumptions!$B$32*MIN(1,ABS(S40)/ABS(Assumptions!$B$21)),MAX(0.1,1-Assumptions!$B$31*(S40/50)))))-((Archetypes!$C$11*(IF(S40&lt;0,1+Assumptions!$B$32*MIN(1,ABS(S40)/ABS(Assumptions!$B$21)),MAX(0.1,1-Assumptions!$B$31*(S40/50)))))*W40)*Archetypes!$C$20)+((Archetypes!$C$11*(IF(S40&lt;0,1+Assumptions!$B$32*MIN(1,ABS(S40)/ABS(Assumptions!$B$21)),MAX(0.1,1-Assumptions!$B$31*(S40/50)))))*W40*Archetypes!$C$20*Archetypes!$C$21)*Assumptions!$B$18)*(IF($D40=1,1,Assumptions!$B$7)))+(((((Archetypes!$C$11*(IF(S40&lt;0,1+Assumptions!$B$32*MIN(1,ABS(S40)/ABS(Assumptions!$B$21)),MAX(0.1,1-Assumptions!$B$31*(S40/50)))))-((Archetypes!$C$11*(IF(S40&lt;0,1+Assumptions!$B$32*MIN(1,ABS(S40)/ABS(Assumptions!$B$21)),MAX(0.1,1-Assumptions!$B$31*(S40/50)))))*W40)*Archetypes!$C$15)*(Archetypes!$C$13*IF(S40&lt;0,1-Assumptions!$B$33*MIN(1,ABS(S40)/ABS(Assumptions!$B$21)),1))*5)+(((Archetypes!$C$11*(IF(S40&lt;0,1+Assumptions!$B$32*MIN(1,ABS(S40)/ABS(Assumptions!$B$21)),MAX(0.1,1-Assumptions!$B$31*(S40/50)))))*W40*Archetypes!$C$15*Archetypes!$C$22)*(Archetypes!$C$13*IF(S40&lt;0,1-Assumptions!$B$33*MIN(1,ABS(S40)/ABS(Assumptions!$B$21)),1))*5*Assumptions!$B$18))*IF(S40&lt;0,Assumptions!$B$9,1)))*$E40</f>
        <v>608.89267404185114</v>
      </c>
      <c r="AB40" s="21">
        <f>(AB39)+(AA40)-(MAX(0,((AB39)+(AA40)-(AC40)))*(IF(Archetypes!$C$27="",Assumptions!$B$11,Archetypes!$C$27)))</f>
        <v>11019.732383769015</v>
      </c>
      <c r="AC40" s="21">
        <f>Archetypes!$C$36 + (Assumptions!$B$67*(IF($E40=0,0,V40/$E40))*Assumptions!$B$71*(1+Assumptions!$B$68*(Archetypes!$C$14-1))) + (Assumptions!$B$69*Archetypes!$C$34*(IF($E40=0,0,V40/$E40))*Assumptions!$B$72*POWER(Assumptions!$B$70,Archetypes!$C$18-1))</f>
        <v>9139.4394742187942</v>
      </c>
      <c r="AD40" s="21">
        <f t="shared" si="5"/>
        <v>1880.2929095502204</v>
      </c>
      <c r="AF40" s="21">
        <f t="shared" si="10"/>
        <v>92.915079809652553</v>
      </c>
      <c r="AG40" s="21">
        <f>MAX(Assumptions!$B$21,AF40+AH40)</f>
        <v>93.828404294223986</v>
      </c>
      <c r="AH40" s="21">
        <f>((AL40*(Assumptions!$B$22+((Assumptions!$B$23-Assumptions!$B$22)*IF(AI40&gt;0,AK40/AI40,0)))*(1+Assumptions!$B$60*(Archetypes!$D$13-1)))+IF(AL40&gt;AI40,AI40*Assumptions!$B$24,0)-IF(IF(AI40&gt;0,AM40/AI40,1)&lt;Assumptions!$B$61,((AM40*(Assumptions!$B$27*(1+Assumptions!$B$28*(Archetypes!$D$14-1))/(1+Assumptions!$B$29*(Archetypes!$D$12-1))))+(((AI40*Archetypes!$D$17*IF(AI40&gt;0,AM40/AI40,1)*Archetypes!$D$31)/100)*Assumptions!$B$30))*Assumptions!$B$62,((AM40*(Assumptions!$B$27*(1+Assumptions!$B$28*(Archetypes!$D$14-1))/(1+Assumptions!$B$29*(Archetypes!$D$12-1))))+(((AI40*Archetypes!$D$17*IF(AI40&gt;0,AM40/AI40,1)*Archetypes!$D$31)/100)*Assumptions!$B$30)))-(Assumptions!$B$25*Assumptions!$B$26*E40))*E40</f>
        <v>0.9133244845714289</v>
      </c>
      <c r="AI40" s="21">
        <f>(Archetypes!$D$11*(IF(AF40&lt;0,1+Assumptions!$B$32*MIN(1,ABS(AF40)/ABS(Assumptions!$B$21)),MAX(0.1,1-Assumptions!$B$31*(AF40/50)))))*$E40</f>
        <v>0.30000000000000004</v>
      </c>
      <c r="AJ40" s="26">
        <f>Archetypes!$D$30</f>
        <v>0.10400000000000001</v>
      </c>
      <c r="AK40" s="21">
        <f t="shared" si="6"/>
        <v>3.1200000000000009E-2</v>
      </c>
      <c r="AL40" s="21">
        <f>((AI40-AK40)*Archetypes!$D$15)+(AK40*Archetypes!$D$15*Archetypes!$D$22)</f>
        <v>0.46872000000000008</v>
      </c>
      <c r="AM40" s="21">
        <f>AI40*Archetypes!$D$16</f>
        <v>6.0000000000000012E-2</v>
      </c>
      <c r="AN40" s="21">
        <f>(IF(AF40&lt;0,Assumptions!$B$8,IF(AF40&lt;10,Assumptions!$B$34,IF(AF40&lt;25,Assumptions!$B$35,Assumptions!$B$36))))*((((Archetypes!$D$5*Assumptions!$B$4+Archetypes!$D$6*Assumptions!$B$5)*60))+(Assumptions!$B$6*(((Archetypes!$D$11*(IF(AF40&lt;0,1+Assumptions!$B$32*MIN(1,ABS(AF40)/ABS(Assumptions!$B$21)),MAX(0.1,1-Assumptions!$B$31*(AF40/50)))))-((Archetypes!$D$11*(IF(AF40&lt;0,1+Assumptions!$B$32*MIN(1,ABS(AF40)/ABS(Assumptions!$B$21)),MAX(0.1,1-Assumptions!$B$31*(AF40/50)))))*AJ40)*Archetypes!$D$20)+((Archetypes!$D$11*(IF(AF40&lt;0,1+Assumptions!$B$32*MIN(1,ABS(AF40)/ABS(Assumptions!$B$21)),MAX(0.1,1-Assumptions!$B$31*(AF40/50)))))*AJ40*Archetypes!$D$20*Archetypes!$D$21)*Assumptions!$B$18)*(IF($D40=1,1,Assumptions!$B$7)))+(((((Archetypes!$D$11*(IF(AF40&lt;0,1+Assumptions!$B$32*MIN(1,ABS(AF40)/ABS(Assumptions!$B$21)),MAX(0.1,1-Assumptions!$B$31*(AF40/50)))))-((Archetypes!$D$11*(IF(AF40&lt;0,1+Assumptions!$B$32*MIN(1,ABS(AF40)/ABS(Assumptions!$B$21)),MAX(0.1,1-Assumptions!$B$31*(AF40/50)))))*AJ40)*Archetypes!$D$15)*(Archetypes!$D$13*IF(AF40&lt;0,1-Assumptions!$B$33*MIN(1,ABS(AF40)/ABS(Assumptions!$B$21)),1))*5)+(((Archetypes!$D$11*(IF(AF40&lt;0,1+Assumptions!$B$32*MIN(1,ABS(AF40)/ABS(Assumptions!$B$21)),MAX(0.1,1-Assumptions!$B$31*(AF40/50)))))*AJ40*Archetypes!$D$15*Archetypes!$D$22)*(Archetypes!$D$13*IF(AF40&lt;0,1-Assumptions!$B$33*MIN(1,ABS(AF40)/ABS(Assumptions!$B$21)),1))*5*Assumptions!$B$18))*IF(AF40&lt;0,Assumptions!$B$9,1)))*$E40</f>
        <v>939.63674999999989</v>
      </c>
      <c r="AO40" s="21">
        <f>(AO39)+(AN40)-(MAX(0,((AO39)+(AN40)-(AP40)))*(IF(Archetypes!$D$27="",Assumptions!$B$11,Archetypes!$D$27)))</f>
        <v>22967.910371796617</v>
      </c>
      <c r="AP40" s="21">
        <f>Archetypes!$D$36 + (Assumptions!$B$67*(IF($E40=0,0,AI40/$E40))*Assumptions!$B$71*(1+Assumptions!$B$68*(Archetypes!$D$14-1))) + (Assumptions!$B$69*Archetypes!$D$34*(IF($E40=0,0,AI40/$E40))*Assumptions!$B$72*POWER(Assumptions!$B$70,Archetypes!$D$18-1))</f>
        <v>20774.800648960005</v>
      </c>
      <c r="AQ40" s="21">
        <f t="shared" si="7"/>
        <v>2193.1097228366125</v>
      </c>
    </row>
    <row r="41" spans="1:43" x14ac:dyDescent="0.25">
      <c r="A41" s="20">
        <v>37</v>
      </c>
      <c r="B41" s="20">
        <f t="shared" si="0"/>
        <v>2</v>
      </c>
      <c r="C41" s="20">
        <f t="shared" si="1"/>
        <v>13</v>
      </c>
      <c r="D41" s="6">
        <f>IF(C41&lt;Assumptions!$B$10,1,0)</f>
        <v>0</v>
      </c>
      <c r="E41" s="6">
        <v>1</v>
      </c>
      <c r="F41" s="21">
        <f t="shared" si="8"/>
        <v>-15</v>
      </c>
      <c r="G41" s="21">
        <f>MAX(Assumptions!$B$21,F41+H41)</f>
        <v>-15</v>
      </c>
      <c r="H41" s="21">
        <f>((L41*(Assumptions!$B$22+((Assumptions!$B$23-Assumptions!$B$22)*IF(I41&gt;0,K41/I41,0)))*(1+Assumptions!$B$60*(Archetypes!$B$13-1)))+IF(L41&gt;I41,I41*Assumptions!$B$24,0)-IF(IF(I41&gt;0,M41/I41,1)&lt;Assumptions!$B$61,((M41*(Assumptions!$B$27*(1+Assumptions!$B$28*(Archetypes!$B$14-1))/(1+Assumptions!$B$29*(Archetypes!$B$12-1))))+(((I41*Archetypes!$B$17*IF(I41&gt;0,M41/I41,1)*Archetypes!$B$31)/100)*Assumptions!$B$30))*Assumptions!$B$62,((M41*(Assumptions!$B$27*(1+Assumptions!$B$28*(Archetypes!$B$14-1))/(1+Assumptions!$B$29*(Archetypes!$B$12-1))))+(((I41*Archetypes!$B$17*IF(I41&gt;0,M41/I41,1)*Archetypes!$B$31)/100)*Assumptions!$B$30)))-(Assumptions!$B$25*Assumptions!$B$26*E41))*E41</f>
        <v>-2.8381702909090891</v>
      </c>
      <c r="I41" s="21">
        <f>(Archetypes!$B$11*(IF(F41&lt;0,1+Assumptions!$B$32*MIN(1,ABS(F41)/ABS(Assumptions!$B$21)),MAX(0.1,1-Assumptions!$B$31*(F41/50)))))*$E41</f>
        <v>14</v>
      </c>
      <c r="J41" s="26">
        <f>Archetypes!$B$30</f>
        <v>2.1999999999999999E-2</v>
      </c>
      <c r="K41" s="21">
        <f t="shared" si="2"/>
        <v>0.308</v>
      </c>
      <c r="L41" s="21">
        <f>((I41-K41)*Archetypes!$B$15)+(K41*Archetypes!$B$15*Archetypes!$B$22)</f>
        <v>1.4061600000000003</v>
      </c>
      <c r="M41" s="21">
        <f>I41*Archetypes!$B$16</f>
        <v>10.5</v>
      </c>
      <c r="N41" s="21">
        <f>(IF(F41&lt;0,Assumptions!$B$8,IF(F41&lt;10,Assumptions!$B$34,IF(F41&lt;25,Assumptions!$B$35,Assumptions!$B$36))))*((((Archetypes!$B$5*Assumptions!$B$4+Archetypes!$B$6*Assumptions!$B$5)*60))+(Assumptions!$B$6*(((Archetypes!$B$11*(IF(F41&lt;0,1+Assumptions!$B$32*MIN(1,ABS(F41)/ABS(Assumptions!$B$21)),MAX(0.1,1-Assumptions!$B$31*(F41/50)))))-((Archetypes!$B$11*(IF(F41&lt;0,1+Assumptions!$B$32*MIN(1,ABS(F41)/ABS(Assumptions!$B$21)),MAX(0.1,1-Assumptions!$B$31*(F41/50)))))*J41)*Archetypes!$B$20)+((Archetypes!$B$11*(IF(F41&lt;0,1+Assumptions!$B$32*MIN(1,ABS(F41)/ABS(Assumptions!$B$21)),MAX(0.1,1-Assumptions!$B$31*(F41/50)))))*J41*Archetypes!$B$20*Archetypes!$B$21)*Assumptions!$B$18)*(IF($D41=1,1,Assumptions!$B$7)))+(((((Archetypes!$B$11*(IF(F41&lt;0,1+Assumptions!$B$32*MIN(1,ABS(F41)/ABS(Assumptions!$B$21)),MAX(0.1,1-Assumptions!$B$31*(F41/50)))))-((Archetypes!$B$11*(IF(F41&lt;0,1+Assumptions!$B$32*MIN(1,ABS(F41)/ABS(Assumptions!$B$21)),MAX(0.1,1-Assumptions!$B$31*(F41/50)))))*J41)*Archetypes!$B$15)*(Archetypes!$B$13*IF(F41&lt;0,1-Assumptions!$B$33*MIN(1,ABS(F41)/ABS(Assumptions!$B$21)),1))*5)+(((Archetypes!$B$11*(IF(F41&lt;0,1+Assumptions!$B$32*MIN(1,ABS(F41)/ABS(Assumptions!$B$21)),MAX(0.1,1-Assumptions!$B$31*(F41/50)))))*J41*Archetypes!$B$15*Archetypes!$B$22)*(Archetypes!$B$13*IF(F41&lt;0,1-Assumptions!$B$33*MIN(1,ABS(F41)/ABS(Assumptions!$B$21)),1))*5*Assumptions!$B$18))*IF(F41&lt;0,Assumptions!$B$9,1)))*$E41</f>
        <v>484.478544</v>
      </c>
      <c r="O41" s="21">
        <f>(O40)+(N41)-(MAX(0,((O40)+(N41)-(P41)))*(IF(Archetypes!$B$27="",Assumptions!$B$11,Archetypes!$B$27)))</f>
        <v>4627.6612072645094</v>
      </c>
      <c r="P41" s="21">
        <f>Archetypes!$B$36 + (Assumptions!$B$67*(IF($E41=0,0,I41/$E41))*Assumptions!$B$71*(1+Assumptions!$B$68*(Archetypes!$B$14-1))) + (Assumptions!$B$69*Archetypes!$B$34*(IF($E41=0,0,I41/$E41))*Assumptions!$B$72*POWER(Assumptions!$B$70,Archetypes!$B$18-1))</f>
        <v>2668.56</v>
      </c>
      <c r="Q41" s="21">
        <f t="shared" si="3"/>
        <v>1959.1012072645094</v>
      </c>
      <c r="S41" s="21">
        <f t="shared" si="9"/>
        <v>70.759449562040203</v>
      </c>
      <c r="T41" s="21">
        <f>MAX(Assumptions!$B$21,S41+U41)</f>
        <v>71.285249355755539</v>
      </c>
      <c r="U41" s="21">
        <f>((Y41*(Assumptions!$B$22+((Assumptions!$B$23-Assumptions!$B$22)*IF(V41&gt;0,X41/V41,0)))*(1+Assumptions!$B$60*(Archetypes!$C$13-1)))+IF(Y41&gt;V41,V41*Assumptions!$B$24,0)-IF(IF(V41&gt;0,Z41/V41,1)&lt;Assumptions!$B$61,((Z41*(Assumptions!$B$27*(1+Assumptions!$B$28*(Archetypes!$C$14-1))/(1+Assumptions!$B$29*(Archetypes!$C$12-1))))+(((V41*Archetypes!$C$17*IF(V41&gt;0,Z41/V41,1)*Archetypes!$C$31)/100)*Assumptions!$B$30))*Assumptions!$B$62,((Z41*(Assumptions!$B$27*(1+Assumptions!$B$28*(Archetypes!$C$14-1))/(1+Assumptions!$B$29*(Archetypes!$C$12-1))))+(((V41*Archetypes!$C$17*IF(V41&gt;0,Z41/V41,1)*Archetypes!$C$31)/100)*Assumptions!$B$30)))-(Assumptions!$B$25*Assumptions!$B$26*E41))*E41</f>
        <v>0.52579979371533747</v>
      </c>
      <c r="V41" s="21">
        <f>(Archetypes!$C$11*(IF(S41&lt;0,1+Assumptions!$B$32*MIN(1,ABS(S41)/ABS(Assumptions!$B$21)),MAX(0.1,1-Assumptions!$B$31*(S41/50)))))*$E41</f>
        <v>0.90531963153310602</v>
      </c>
      <c r="W41" s="26">
        <f>Archetypes!$C$30</f>
        <v>3.7999999999999999E-2</v>
      </c>
      <c r="X41" s="21">
        <f t="shared" si="4"/>
        <v>3.4402145998258027E-2</v>
      </c>
      <c r="Y41" s="21">
        <f>((V41-X41)*Archetypes!$C$15)+(X41*Archetypes!$C$15*Archetypes!$C$22)</f>
        <v>0.45782013766629176</v>
      </c>
      <c r="Z41" s="21">
        <f>V41*Archetypes!$C$16</f>
        <v>0.40739383418989772</v>
      </c>
      <c r="AA41" s="21">
        <f>(IF(S41&lt;0,Assumptions!$B$8,IF(S41&lt;10,Assumptions!$B$34,IF(S41&lt;25,Assumptions!$B$35,Assumptions!$B$36))))*((((Archetypes!$C$5*Assumptions!$B$4+Archetypes!$C$6*Assumptions!$B$5)*60))+(Assumptions!$B$6*(((Archetypes!$C$11*(IF(S41&lt;0,1+Assumptions!$B$32*MIN(1,ABS(S41)/ABS(Assumptions!$B$21)),MAX(0.1,1-Assumptions!$B$31*(S41/50)))))-((Archetypes!$C$11*(IF(S41&lt;0,1+Assumptions!$B$32*MIN(1,ABS(S41)/ABS(Assumptions!$B$21)),MAX(0.1,1-Assumptions!$B$31*(S41/50)))))*W41)*Archetypes!$C$20)+((Archetypes!$C$11*(IF(S41&lt;0,1+Assumptions!$B$32*MIN(1,ABS(S41)/ABS(Assumptions!$B$21)),MAX(0.1,1-Assumptions!$B$31*(S41/50)))))*W41*Archetypes!$C$20*Archetypes!$C$21)*Assumptions!$B$18)*(IF($D41=1,1,Assumptions!$B$7)))+(((((Archetypes!$C$11*(IF(S41&lt;0,1+Assumptions!$B$32*MIN(1,ABS(S41)/ABS(Assumptions!$B$21)),MAX(0.1,1-Assumptions!$B$31*(S41/50)))))-((Archetypes!$C$11*(IF(S41&lt;0,1+Assumptions!$B$32*MIN(1,ABS(S41)/ABS(Assumptions!$B$21)),MAX(0.1,1-Assumptions!$B$31*(S41/50)))))*W41)*Archetypes!$C$15)*(Archetypes!$C$13*IF(S41&lt;0,1-Assumptions!$B$33*MIN(1,ABS(S41)/ABS(Assumptions!$B$21)),1))*5)+(((Archetypes!$C$11*(IF(S41&lt;0,1+Assumptions!$B$32*MIN(1,ABS(S41)/ABS(Assumptions!$B$21)),MAX(0.1,1-Assumptions!$B$31*(S41/50)))))*W41*Archetypes!$C$15*Archetypes!$C$22)*(Archetypes!$C$13*IF(S41&lt;0,1-Assumptions!$B$33*MIN(1,ABS(S41)/ABS(Assumptions!$B$21)),1))*5*Assumptions!$B$18))*IF(S41&lt;0,Assumptions!$B$9,1)))*$E41</f>
        <v>605.78657182922518</v>
      </c>
      <c r="AB41" s="21">
        <f>(AB40)+(AA41)-(MAX(0,((AB40)+(AA41)-(AC41)))*(IF(Archetypes!$C$27="",Assumptions!$B$11,Archetypes!$C$27)))</f>
        <v>11003.098908408176</v>
      </c>
      <c r="AC41" s="21">
        <f>Archetypes!$C$36 + (Assumptions!$B$67*(IF($E41=0,0,V41/$E41))*Assumptions!$B$71*(1+Assumptions!$B$68*(Archetypes!$C$14-1))) + (Assumptions!$B$69*Archetypes!$C$34*(IF($E41=0,0,V41/$E41))*Assumptions!$B$72*POWER(Assumptions!$B$70,Archetypes!$C$18-1))</f>
        <v>9135.8387668379819</v>
      </c>
      <c r="AD41" s="21">
        <f t="shared" si="5"/>
        <v>1867.2601415701938</v>
      </c>
      <c r="AF41" s="21">
        <f t="shared" si="10"/>
        <v>93.828404294223986</v>
      </c>
      <c r="AG41" s="21">
        <f>MAX(Assumptions!$B$21,AF41+AH41)</f>
        <v>94.741728778795419</v>
      </c>
      <c r="AH41" s="21">
        <f>((AL41*(Assumptions!$B$22+((Assumptions!$B$23-Assumptions!$B$22)*IF(AI41&gt;0,AK41/AI41,0)))*(1+Assumptions!$B$60*(Archetypes!$D$13-1)))+IF(AL41&gt;AI41,AI41*Assumptions!$B$24,0)-IF(IF(AI41&gt;0,AM41/AI41,1)&lt;Assumptions!$B$61,((AM41*(Assumptions!$B$27*(1+Assumptions!$B$28*(Archetypes!$D$14-1))/(1+Assumptions!$B$29*(Archetypes!$D$12-1))))+(((AI41*Archetypes!$D$17*IF(AI41&gt;0,AM41/AI41,1)*Archetypes!$D$31)/100)*Assumptions!$B$30))*Assumptions!$B$62,((AM41*(Assumptions!$B$27*(1+Assumptions!$B$28*(Archetypes!$D$14-1))/(1+Assumptions!$B$29*(Archetypes!$D$12-1))))+(((AI41*Archetypes!$D$17*IF(AI41&gt;0,AM41/AI41,1)*Archetypes!$D$31)/100)*Assumptions!$B$30)))-(Assumptions!$B$25*Assumptions!$B$26*E41))*E41</f>
        <v>0.9133244845714289</v>
      </c>
      <c r="AI41" s="21">
        <f>(Archetypes!$D$11*(IF(AF41&lt;0,1+Assumptions!$B$32*MIN(1,ABS(AF41)/ABS(Assumptions!$B$21)),MAX(0.1,1-Assumptions!$B$31*(AF41/50)))))*$E41</f>
        <v>0.30000000000000004</v>
      </c>
      <c r="AJ41" s="26">
        <f>Archetypes!$D$30</f>
        <v>0.10400000000000001</v>
      </c>
      <c r="AK41" s="21">
        <f t="shared" si="6"/>
        <v>3.1200000000000009E-2</v>
      </c>
      <c r="AL41" s="21">
        <f>((AI41-AK41)*Archetypes!$D$15)+(AK41*Archetypes!$D$15*Archetypes!$D$22)</f>
        <v>0.46872000000000008</v>
      </c>
      <c r="AM41" s="21">
        <f>AI41*Archetypes!$D$16</f>
        <v>6.0000000000000012E-2</v>
      </c>
      <c r="AN41" s="21">
        <f>(IF(AF41&lt;0,Assumptions!$B$8,IF(AF41&lt;10,Assumptions!$B$34,IF(AF41&lt;25,Assumptions!$B$35,Assumptions!$B$36))))*((((Archetypes!$D$5*Assumptions!$B$4+Archetypes!$D$6*Assumptions!$B$5)*60))+(Assumptions!$B$6*(((Archetypes!$D$11*(IF(AF41&lt;0,1+Assumptions!$B$32*MIN(1,ABS(AF41)/ABS(Assumptions!$B$21)),MAX(0.1,1-Assumptions!$B$31*(AF41/50)))))-((Archetypes!$D$11*(IF(AF41&lt;0,1+Assumptions!$B$32*MIN(1,ABS(AF41)/ABS(Assumptions!$B$21)),MAX(0.1,1-Assumptions!$B$31*(AF41/50)))))*AJ41)*Archetypes!$D$20)+((Archetypes!$D$11*(IF(AF41&lt;0,1+Assumptions!$B$32*MIN(1,ABS(AF41)/ABS(Assumptions!$B$21)),MAX(0.1,1-Assumptions!$B$31*(AF41/50)))))*AJ41*Archetypes!$D$20*Archetypes!$D$21)*Assumptions!$B$18)*(IF($D41=1,1,Assumptions!$B$7)))+(((((Archetypes!$D$11*(IF(AF41&lt;0,1+Assumptions!$B$32*MIN(1,ABS(AF41)/ABS(Assumptions!$B$21)),MAX(0.1,1-Assumptions!$B$31*(AF41/50)))))-((Archetypes!$D$11*(IF(AF41&lt;0,1+Assumptions!$B$32*MIN(1,ABS(AF41)/ABS(Assumptions!$B$21)),MAX(0.1,1-Assumptions!$B$31*(AF41/50)))))*AJ41)*Archetypes!$D$15)*(Archetypes!$D$13*IF(AF41&lt;0,1-Assumptions!$B$33*MIN(1,ABS(AF41)/ABS(Assumptions!$B$21)),1))*5)+(((Archetypes!$D$11*(IF(AF41&lt;0,1+Assumptions!$B$32*MIN(1,ABS(AF41)/ABS(Assumptions!$B$21)),MAX(0.1,1-Assumptions!$B$31*(AF41/50)))))*AJ41*Archetypes!$D$15*Archetypes!$D$22)*(Archetypes!$D$13*IF(AF41&lt;0,1-Assumptions!$B$33*MIN(1,ABS(AF41)/ABS(Assumptions!$B$21)),1))*5*Assumptions!$B$18))*IF(AF41&lt;0,Assumptions!$B$9,1)))*$E41</f>
        <v>939.63674999999989</v>
      </c>
      <c r="AO41" s="21">
        <f>(AO40)+(AN41)-(MAX(0,((AO40)+(AN41)-(AP41)))*(IF(Archetypes!$D$27="",Assumptions!$B$11,Archetypes!$D$27)))</f>
        <v>22967.723179945635</v>
      </c>
      <c r="AP41" s="21">
        <f>Archetypes!$D$36 + (Assumptions!$B$67*(IF($E41=0,0,AI41/$E41))*Assumptions!$B$71*(1+Assumptions!$B$68*(Archetypes!$D$14-1))) + (Assumptions!$B$69*Archetypes!$D$34*(IF($E41=0,0,AI41/$E41))*Assumptions!$B$72*POWER(Assumptions!$B$70,Archetypes!$D$18-1))</f>
        <v>20774.800648960005</v>
      </c>
      <c r="AQ41" s="21">
        <f t="shared" si="7"/>
        <v>2192.9225309856301</v>
      </c>
    </row>
    <row r="42" spans="1:43" x14ac:dyDescent="0.25">
      <c r="A42" s="20">
        <v>38</v>
      </c>
      <c r="B42" s="20">
        <f t="shared" si="0"/>
        <v>2</v>
      </c>
      <c r="C42" s="20">
        <f t="shared" si="1"/>
        <v>14</v>
      </c>
      <c r="D42" s="6">
        <f>IF(C42&lt;Assumptions!$B$10,1,0)</f>
        <v>0</v>
      </c>
      <c r="E42" s="6">
        <v>1</v>
      </c>
      <c r="F42" s="21">
        <f t="shared" si="8"/>
        <v>-15</v>
      </c>
      <c r="G42" s="21">
        <f>MAX(Assumptions!$B$21,F42+H42)</f>
        <v>-15</v>
      </c>
      <c r="H42" s="21">
        <f>((L42*(Assumptions!$B$22+((Assumptions!$B$23-Assumptions!$B$22)*IF(I42&gt;0,K42/I42,0)))*(1+Assumptions!$B$60*(Archetypes!$B$13-1)))+IF(L42&gt;I42,I42*Assumptions!$B$24,0)-IF(IF(I42&gt;0,M42/I42,1)&lt;Assumptions!$B$61,((M42*(Assumptions!$B$27*(1+Assumptions!$B$28*(Archetypes!$B$14-1))/(1+Assumptions!$B$29*(Archetypes!$B$12-1))))+(((I42*Archetypes!$B$17*IF(I42&gt;0,M42/I42,1)*Archetypes!$B$31)/100)*Assumptions!$B$30))*Assumptions!$B$62,((M42*(Assumptions!$B$27*(1+Assumptions!$B$28*(Archetypes!$B$14-1))/(1+Assumptions!$B$29*(Archetypes!$B$12-1))))+(((I42*Archetypes!$B$17*IF(I42&gt;0,M42/I42,1)*Archetypes!$B$31)/100)*Assumptions!$B$30)))-(Assumptions!$B$25*Assumptions!$B$26*E42))*E42</f>
        <v>-2.8381702909090891</v>
      </c>
      <c r="I42" s="21">
        <f>(Archetypes!$B$11*(IF(F42&lt;0,1+Assumptions!$B$32*MIN(1,ABS(F42)/ABS(Assumptions!$B$21)),MAX(0.1,1-Assumptions!$B$31*(F42/50)))))*$E42</f>
        <v>14</v>
      </c>
      <c r="J42" s="26">
        <f>Archetypes!$B$30</f>
        <v>2.1999999999999999E-2</v>
      </c>
      <c r="K42" s="21">
        <f t="shared" si="2"/>
        <v>0.308</v>
      </c>
      <c r="L42" s="21">
        <f>((I42-K42)*Archetypes!$B$15)+(K42*Archetypes!$B$15*Archetypes!$B$22)</f>
        <v>1.4061600000000003</v>
      </c>
      <c r="M42" s="21">
        <f>I42*Archetypes!$B$16</f>
        <v>10.5</v>
      </c>
      <c r="N42" s="21">
        <f>(IF(F42&lt;0,Assumptions!$B$8,IF(F42&lt;10,Assumptions!$B$34,IF(F42&lt;25,Assumptions!$B$35,Assumptions!$B$36))))*((((Archetypes!$B$5*Assumptions!$B$4+Archetypes!$B$6*Assumptions!$B$5)*60))+(Assumptions!$B$6*(((Archetypes!$B$11*(IF(F42&lt;0,1+Assumptions!$B$32*MIN(1,ABS(F42)/ABS(Assumptions!$B$21)),MAX(0.1,1-Assumptions!$B$31*(F42/50)))))-((Archetypes!$B$11*(IF(F42&lt;0,1+Assumptions!$B$32*MIN(1,ABS(F42)/ABS(Assumptions!$B$21)),MAX(0.1,1-Assumptions!$B$31*(F42/50)))))*J42)*Archetypes!$B$20)+((Archetypes!$B$11*(IF(F42&lt;0,1+Assumptions!$B$32*MIN(1,ABS(F42)/ABS(Assumptions!$B$21)),MAX(0.1,1-Assumptions!$B$31*(F42/50)))))*J42*Archetypes!$B$20*Archetypes!$B$21)*Assumptions!$B$18)*(IF($D42=1,1,Assumptions!$B$7)))+(((((Archetypes!$B$11*(IF(F42&lt;0,1+Assumptions!$B$32*MIN(1,ABS(F42)/ABS(Assumptions!$B$21)),MAX(0.1,1-Assumptions!$B$31*(F42/50)))))-((Archetypes!$B$11*(IF(F42&lt;0,1+Assumptions!$B$32*MIN(1,ABS(F42)/ABS(Assumptions!$B$21)),MAX(0.1,1-Assumptions!$B$31*(F42/50)))))*J42)*Archetypes!$B$15)*(Archetypes!$B$13*IF(F42&lt;0,1-Assumptions!$B$33*MIN(1,ABS(F42)/ABS(Assumptions!$B$21)),1))*5)+(((Archetypes!$B$11*(IF(F42&lt;0,1+Assumptions!$B$32*MIN(1,ABS(F42)/ABS(Assumptions!$B$21)),MAX(0.1,1-Assumptions!$B$31*(F42/50)))))*J42*Archetypes!$B$15*Archetypes!$B$22)*(Archetypes!$B$13*IF(F42&lt;0,1-Assumptions!$B$33*MIN(1,ABS(F42)/ABS(Assumptions!$B$21)),1))*5*Assumptions!$B$18))*IF(F42&lt;0,Assumptions!$B$9,1)))*$E42</f>
        <v>484.478544</v>
      </c>
      <c r="O42" s="21">
        <f>(O41)+(N42)-(MAX(0,((O41)+(N42)-(P42)))*(IF(Archetypes!$B$27="",Assumptions!$B$11,Archetypes!$B$27)))</f>
        <v>4623.4238010116069</v>
      </c>
      <c r="P42" s="21">
        <f>Archetypes!$B$36 + (Assumptions!$B$67*(IF($E42=0,0,I42/$E42))*Assumptions!$B$71*(1+Assumptions!$B$68*(Archetypes!$B$14-1))) + (Assumptions!$B$69*Archetypes!$B$34*(IF($E42=0,0,I42/$E42))*Assumptions!$B$72*POWER(Assumptions!$B$70,Archetypes!$B$18-1))</f>
        <v>2668.56</v>
      </c>
      <c r="Q42" s="21">
        <f t="shared" si="3"/>
        <v>1954.8638010116069</v>
      </c>
      <c r="S42" s="21">
        <f t="shared" si="9"/>
        <v>71.285249355755539</v>
      </c>
      <c r="T42" s="21">
        <f>MAX(Assumptions!$B$21,S42+U42)</f>
        <v>71.782789353325825</v>
      </c>
      <c r="U42" s="21">
        <f>((Y42*(Assumptions!$B$22+((Assumptions!$B$23-Assumptions!$B$22)*IF(V42&gt;0,X42/V42,0)))*(1+Assumptions!$B$60*(Archetypes!$C$13-1)))+IF(Y42&gt;V42,V42*Assumptions!$B$24,0)-IF(IF(V42&gt;0,Z42/V42,1)&lt;Assumptions!$B$61,((Z42*(Assumptions!$B$27*(1+Assumptions!$B$28*(Archetypes!$C$14-1))/(1+Assumptions!$B$29*(Archetypes!$C$12-1))))+(((V42*Archetypes!$C$17*IF(V42&gt;0,Z42/V42,1)*Archetypes!$C$31)/100)*Assumptions!$B$30))*Assumptions!$B$62,((Z42*(Assumptions!$B$27*(1+Assumptions!$B$28*(Archetypes!$C$14-1))/(1+Assumptions!$B$29*(Archetypes!$C$12-1))))+(((V42*Archetypes!$C$17*IF(V42&gt;0,Z42/V42,1)*Archetypes!$C$31)/100)*Assumptions!$B$30)))-(Assumptions!$B$25*Assumptions!$B$26*E42))*E42</f>
        <v>0.49753999757027934</v>
      </c>
      <c r="V42" s="21">
        <f>(Archetypes!$C$11*(IF(S42&lt;0,1+Assumptions!$B$32*MIN(1,ABS(S42)/ABS(Assumptions!$B$21)),MAX(0.1,1-Assumptions!$B$31*(S42/50)))))*$E42</f>
        <v>0.86746204638560109</v>
      </c>
      <c r="W42" s="26">
        <f>Archetypes!$C$30</f>
        <v>3.7999999999999999E-2</v>
      </c>
      <c r="X42" s="21">
        <f t="shared" si="4"/>
        <v>3.2963557762652841E-2</v>
      </c>
      <c r="Y42" s="21">
        <f>((V42-X42)*Archetypes!$C$15)+(X42*Archetypes!$C$15*Archetypes!$C$22)</f>
        <v>0.4386755568571985</v>
      </c>
      <c r="Z42" s="21">
        <f>V42*Archetypes!$C$16</f>
        <v>0.3903579208735205</v>
      </c>
      <c r="AA42" s="21">
        <f>(IF(S42&lt;0,Assumptions!$B$8,IF(S42&lt;10,Assumptions!$B$34,IF(S42&lt;25,Assumptions!$B$35,Assumptions!$B$36))))*((((Archetypes!$C$5*Assumptions!$B$4+Archetypes!$C$6*Assumptions!$B$5)*60))+(Assumptions!$B$6*(((Archetypes!$C$11*(IF(S42&lt;0,1+Assumptions!$B$32*MIN(1,ABS(S42)/ABS(Assumptions!$B$21)),MAX(0.1,1-Assumptions!$B$31*(S42/50)))))-((Archetypes!$C$11*(IF(S42&lt;0,1+Assumptions!$B$32*MIN(1,ABS(S42)/ABS(Assumptions!$B$21)),MAX(0.1,1-Assumptions!$B$31*(S42/50)))))*W42)*Archetypes!$C$20)+((Archetypes!$C$11*(IF(S42&lt;0,1+Assumptions!$B$32*MIN(1,ABS(S42)/ABS(Assumptions!$B$21)),MAX(0.1,1-Assumptions!$B$31*(S42/50)))))*W42*Archetypes!$C$20*Archetypes!$C$21)*Assumptions!$B$18)*(IF($D42=1,1,Assumptions!$B$7)))+(((((Archetypes!$C$11*(IF(S42&lt;0,1+Assumptions!$B$32*MIN(1,ABS(S42)/ABS(Assumptions!$B$21)),MAX(0.1,1-Assumptions!$B$31*(S42/50)))))-((Archetypes!$C$11*(IF(S42&lt;0,1+Assumptions!$B$32*MIN(1,ABS(S42)/ABS(Assumptions!$B$21)),MAX(0.1,1-Assumptions!$B$31*(S42/50)))))*W42)*Archetypes!$C$15)*(Archetypes!$C$13*IF(S42&lt;0,1-Assumptions!$B$33*MIN(1,ABS(S42)/ABS(Assumptions!$B$21)),1))*5)+(((Archetypes!$C$11*(IF(S42&lt;0,1+Assumptions!$B$32*MIN(1,ABS(S42)/ABS(Assumptions!$B$21)),MAX(0.1,1-Assumptions!$B$31*(S42/50)))))*W42*Archetypes!$C$15*Archetypes!$C$22)*(Archetypes!$C$13*IF(S42&lt;0,1-Assumptions!$B$33*MIN(1,ABS(S42)/ABS(Assumptions!$B$21)),1))*5*Assumptions!$B$18))*IF(S42&lt;0,Assumptions!$B$9,1)))*$E42</f>
        <v>602.8474111338528</v>
      </c>
      <c r="AB42" s="21">
        <f>(AB41)+(AA42)-(MAX(0,((AB41)+(AA42)-(AC42)))*(IF(Archetypes!$C$27="",Assumptions!$B$11,Archetypes!$C$27)))</f>
        <v>10987.567635700198</v>
      </c>
      <c r="AC42" s="21">
        <f>Archetypes!$C$36 + (Assumptions!$B$67*(IF($E42=0,0,V42/$E42))*Assumptions!$B$71*(1+Assumptions!$B$68*(Archetypes!$C$14-1))) + (Assumptions!$B$69*Archetypes!$C$34*(IF($E42=0,0,V42/$E42))*Assumptions!$B$72*POWER(Assumptions!$B$70,Archetypes!$C$18-1))</f>
        <v>9132.4315841747066</v>
      </c>
      <c r="AD42" s="21">
        <f t="shared" si="5"/>
        <v>1855.136051525491</v>
      </c>
      <c r="AF42" s="21">
        <f t="shared" si="10"/>
        <v>94.741728778795419</v>
      </c>
      <c r="AG42" s="21">
        <f>MAX(Assumptions!$B$21,AF42+AH42)</f>
        <v>95.655053263366852</v>
      </c>
      <c r="AH42" s="21">
        <f>((AL42*(Assumptions!$B$22+((Assumptions!$B$23-Assumptions!$B$22)*IF(AI42&gt;0,AK42/AI42,0)))*(1+Assumptions!$B$60*(Archetypes!$D$13-1)))+IF(AL42&gt;AI42,AI42*Assumptions!$B$24,0)-IF(IF(AI42&gt;0,AM42/AI42,1)&lt;Assumptions!$B$61,((AM42*(Assumptions!$B$27*(1+Assumptions!$B$28*(Archetypes!$D$14-1))/(1+Assumptions!$B$29*(Archetypes!$D$12-1))))+(((AI42*Archetypes!$D$17*IF(AI42&gt;0,AM42/AI42,1)*Archetypes!$D$31)/100)*Assumptions!$B$30))*Assumptions!$B$62,((AM42*(Assumptions!$B$27*(1+Assumptions!$B$28*(Archetypes!$D$14-1))/(1+Assumptions!$B$29*(Archetypes!$D$12-1))))+(((AI42*Archetypes!$D$17*IF(AI42&gt;0,AM42/AI42,1)*Archetypes!$D$31)/100)*Assumptions!$B$30)))-(Assumptions!$B$25*Assumptions!$B$26*E42))*E42</f>
        <v>0.9133244845714289</v>
      </c>
      <c r="AI42" s="21">
        <f>(Archetypes!$D$11*(IF(AF42&lt;0,1+Assumptions!$B$32*MIN(1,ABS(AF42)/ABS(Assumptions!$B$21)),MAX(0.1,1-Assumptions!$B$31*(AF42/50)))))*$E42</f>
        <v>0.30000000000000004</v>
      </c>
      <c r="AJ42" s="26">
        <f>Archetypes!$D$30</f>
        <v>0.10400000000000001</v>
      </c>
      <c r="AK42" s="21">
        <f t="shared" si="6"/>
        <v>3.1200000000000009E-2</v>
      </c>
      <c r="AL42" s="21">
        <f>((AI42-AK42)*Archetypes!$D$15)+(AK42*Archetypes!$D$15*Archetypes!$D$22)</f>
        <v>0.46872000000000008</v>
      </c>
      <c r="AM42" s="21">
        <f>AI42*Archetypes!$D$16</f>
        <v>6.0000000000000012E-2</v>
      </c>
      <c r="AN42" s="21">
        <f>(IF(AF42&lt;0,Assumptions!$B$8,IF(AF42&lt;10,Assumptions!$B$34,IF(AF42&lt;25,Assumptions!$B$35,Assumptions!$B$36))))*((((Archetypes!$D$5*Assumptions!$B$4+Archetypes!$D$6*Assumptions!$B$5)*60))+(Assumptions!$B$6*(((Archetypes!$D$11*(IF(AF42&lt;0,1+Assumptions!$B$32*MIN(1,ABS(AF42)/ABS(Assumptions!$B$21)),MAX(0.1,1-Assumptions!$B$31*(AF42/50)))))-((Archetypes!$D$11*(IF(AF42&lt;0,1+Assumptions!$B$32*MIN(1,ABS(AF42)/ABS(Assumptions!$B$21)),MAX(0.1,1-Assumptions!$B$31*(AF42/50)))))*AJ42)*Archetypes!$D$20)+((Archetypes!$D$11*(IF(AF42&lt;0,1+Assumptions!$B$32*MIN(1,ABS(AF42)/ABS(Assumptions!$B$21)),MAX(0.1,1-Assumptions!$B$31*(AF42/50)))))*AJ42*Archetypes!$D$20*Archetypes!$D$21)*Assumptions!$B$18)*(IF($D42=1,1,Assumptions!$B$7)))+(((((Archetypes!$D$11*(IF(AF42&lt;0,1+Assumptions!$B$32*MIN(1,ABS(AF42)/ABS(Assumptions!$B$21)),MAX(0.1,1-Assumptions!$B$31*(AF42/50)))))-((Archetypes!$D$11*(IF(AF42&lt;0,1+Assumptions!$B$32*MIN(1,ABS(AF42)/ABS(Assumptions!$B$21)),MAX(0.1,1-Assumptions!$B$31*(AF42/50)))))*AJ42)*Archetypes!$D$15)*(Archetypes!$D$13*IF(AF42&lt;0,1-Assumptions!$B$33*MIN(1,ABS(AF42)/ABS(Assumptions!$B$21)),1))*5)+(((Archetypes!$D$11*(IF(AF42&lt;0,1+Assumptions!$B$32*MIN(1,ABS(AF42)/ABS(Assumptions!$B$21)),MAX(0.1,1-Assumptions!$B$31*(AF42/50)))))*AJ42*Archetypes!$D$15*Archetypes!$D$22)*(Archetypes!$D$13*IF(AF42&lt;0,1-Assumptions!$B$33*MIN(1,ABS(AF42)/ABS(Assumptions!$B$21)),1))*5*Assumptions!$B$18))*IF(AF42&lt;0,Assumptions!$B$9,1)))*$E42</f>
        <v>939.63674999999989</v>
      </c>
      <c r="AO42" s="21">
        <f>(AO41)+(AN42)-(MAX(0,((AO41)+(AN42)-(AP42)))*(IF(Archetypes!$D$27="",Assumptions!$B$11,Archetypes!$D$27)))</f>
        <v>22967.592145649945</v>
      </c>
      <c r="AP42" s="21">
        <f>Archetypes!$D$36 + (Assumptions!$B$67*(IF($E42=0,0,AI42/$E42))*Assumptions!$B$71*(1+Assumptions!$B$68*(Archetypes!$D$14-1))) + (Assumptions!$B$69*Archetypes!$D$34*(IF($E42=0,0,AI42/$E42))*Assumptions!$B$72*POWER(Assumptions!$B$70,Archetypes!$D$18-1))</f>
        <v>20774.800648960005</v>
      </c>
      <c r="AQ42" s="21">
        <f t="shared" si="7"/>
        <v>2192.7914966899407</v>
      </c>
    </row>
    <row r="43" spans="1:43" x14ac:dyDescent="0.25">
      <c r="A43" s="20">
        <v>39</v>
      </c>
      <c r="B43" s="20">
        <f t="shared" si="0"/>
        <v>2</v>
      </c>
      <c r="C43" s="20">
        <f t="shared" si="1"/>
        <v>15</v>
      </c>
      <c r="D43" s="6">
        <f>IF(C43&lt;Assumptions!$B$10,1,0)</f>
        <v>0</v>
      </c>
      <c r="E43" s="6">
        <v>1</v>
      </c>
      <c r="F43" s="21">
        <f t="shared" si="8"/>
        <v>-15</v>
      </c>
      <c r="G43" s="21">
        <f>MAX(Assumptions!$B$21,F43+H43)</f>
        <v>-15</v>
      </c>
      <c r="H43" s="21">
        <f>((L43*(Assumptions!$B$22+((Assumptions!$B$23-Assumptions!$B$22)*IF(I43&gt;0,K43/I43,0)))*(1+Assumptions!$B$60*(Archetypes!$B$13-1)))+IF(L43&gt;I43,I43*Assumptions!$B$24,0)-IF(IF(I43&gt;0,M43/I43,1)&lt;Assumptions!$B$61,((M43*(Assumptions!$B$27*(1+Assumptions!$B$28*(Archetypes!$B$14-1))/(1+Assumptions!$B$29*(Archetypes!$B$12-1))))+(((I43*Archetypes!$B$17*IF(I43&gt;0,M43/I43,1)*Archetypes!$B$31)/100)*Assumptions!$B$30))*Assumptions!$B$62,((M43*(Assumptions!$B$27*(1+Assumptions!$B$28*(Archetypes!$B$14-1))/(1+Assumptions!$B$29*(Archetypes!$B$12-1))))+(((I43*Archetypes!$B$17*IF(I43&gt;0,M43/I43,1)*Archetypes!$B$31)/100)*Assumptions!$B$30)))-(Assumptions!$B$25*Assumptions!$B$26*E43))*E43</f>
        <v>-2.8381702909090891</v>
      </c>
      <c r="I43" s="21">
        <f>(Archetypes!$B$11*(IF(F43&lt;0,1+Assumptions!$B$32*MIN(1,ABS(F43)/ABS(Assumptions!$B$21)),MAX(0.1,1-Assumptions!$B$31*(F43/50)))))*$E43</f>
        <v>14</v>
      </c>
      <c r="J43" s="26">
        <f>Archetypes!$B$30</f>
        <v>2.1999999999999999E-2</v>
      </c>
      <c r="K43" s="21">
        <f t="shared" si="2"/>
        <v>0.308</v>
      </c>
      <c r="L43" s="21">
        <f>((I43-K43)*Archetypes!$B$15)+(K43*Archetypes!$B$15*Archetypes!$B$22)</f>
        <v>1.4061600000000003</v>
      </c>
      <c r="M43" s="21">
        <f>I43*Archetypes!$B$16</f>
        <v>10.5</v>
      </c>
      <c r="N43" s="21">
        <f>(IF(F43&lt;0,Assumptions!$B$8,IF(F43&lt;10,Assumptions!$B$34,IF(F43&lt;25,Assumptions!$B$35,Assumptions!$B$36))))*((((Archetypes!$B$5*Assumptions!$B$4+Archetypes!$B$6*Assumptions!$B$5)*60))+(Assumptions!$B$6*(((Archetypes!$B$11*(IF(F43&lt;0,1+Assumptions!$B$32*MIN(1,ABS(F43)/ABS(Assumptions!$B$21)),MAX(0.1,1-Assumptions!$B$31*(F43/50)))))-((Archetypes!$B$11*(IF(F43&lt;0,1+Assumptions!$B$32*MIN(1,ABS(F43)/ABS(Assumptions!$B$21)),MAX(0.1,1-Assumptions!$B$31*(F43/50)))))*J43)*Archetypes!$B$20)+((Archetypes!$B$11*(IF(F43&lt;0,1+Assumptions!$B$32*MIN(1,ABS(F43)/ABS(Assumptions!$B$21)),MAX(0.1,1-Assumptions!$B$31*(F43/50)))))*J43*Archetypes!$B$20*Archetypes!$B$21)*Assumptions!$B$18)*(IF($D43=1,1,Assumptions!$B$7)))+(((((Archetypes!$B$11*(IF(F43&lt;0,1+Assumptions!$B$32*MIN(1,ABS(F43)/ABS(Assumptions!$B$21)),MAX(0.1,1-Assumptions!$B$31*(F43/50)))))-((Archetypes!$B$11*(IF(F43&lt;0,1+Assumptions!$B$32*MIN(1,ABS(F43)/ABS(Assumptions!$B$21)),MAX(0.1,1-Assumptions!$B$31*(F43/50)))))*J43)*Archetypes!$B$15)*(Archetypes!$B$13*IF(F43&lt;0,1-Assumptions!$B$33*MIN(1,ABS(F43)/ABS(Assumptions!$B$21)),1))*5)+(((Archetypes!$B$11*(IF(F43&lt;0,1+Assumptions!$B$32*MIN(1,ABS(F43)/ABS(Assumptions!$B$21)),MAX(0.1,1-Assumptions!$B$31*(F43/50)))))*J43*Archetypes!$B$15*Archetypes!$B$22)*(Archetypes!$B$13*IF(F43&lt;0,1-Assumptions!$B$33*MIN(1,ABS(F43)/ABS(Assumptions!$B$21)),1))*5*Assumptions!$B$18))*IF(F43&lt;0,Assumptions!$B$9,1)))*$E43</f>
        <v>484.478544</v>
      </c>
      <c r="O43" s="21">
        <f>(O42)+(N43)-(MAX(0,((O42)+(N43)-(P43)))*(IF(Archetypes!$B$27="",Assumptions!$B$11,Archetypes!$B$27)))</f>
        <v>4620.0338760092854</v>
      </c>
      <c r="P43" s="21">
        <f>Archetypes!$B$36 + (Assumptions!$B$67*(IF($E43=0,0,I43/$E43))*Assumptions!$B$71*(1+Assumptions!$B$68*(Archetypes!$B$14-1))) + (Assumptions!$B$69*Archetypes!$B$34*(IF($E43=0,0,I43/$E43))*Assumptions!$B$72*POWER(Assumptions!$B$70,Archetypes!$B$18-1))</f>
        <v>2668.56</v>
      </c>
      <c r="Q43" s="21">
        <f t="shared" si="3"/>
        <v>1951.4738760092855</v>
      </c>
      <c r="S43" s="21">
        <f t="shared" si="9"/>
        <v>71.782789353325825</v>
      </c>
      <c r="T43" s="21">
        <f>MAX(Assumptions!$B$21,S43+U43)</f>
        <v>72.25358841437729</v>
      </c>
      <c r="U43" s="21">
        <f>((Y43*(Assumptions!$B$22+((Assumptions!$B$23-Assumptions!$B$22)*IF(V43&gt;0,X43/V43,0)))*(1+Assumptions!$B$60*(Archetypes!$C$13-1)))+IF(Y43&gt;V43,V43*Assumptions!$B$24,0)-IF(IF(V43&gt;0,Z43/V43,1)&lt;Assumptions!$B$61,((Z43*(Assumptions!$B$27*(1+Assumptions!$B$28*(Archetypes!$C$14-1))/(1+Assumptions!$B$29*(Archetypes!$C$12-1))))+(((V43*Archetypes!$C$17*IF(V43&gt;0,Z43/V43,1)*Archetypes!$C$31)/100)*Assumptions!$B$30))*Assumptions!$B$62,((Z43*(Assumptions!$B$27*(1+Assumptions!$B$28*(Archetypes!$C$14-1))/(1+Assumptions!$B$29*(Archetypes!$C$12-1))))+(((V43*Archetypes!$C$17*IF(V43&gt;0,Z43/V43,1)*Archetypes!$C$31)/100)*Assumptions!$B$30)))-(Assumptions!$B$25*Assumptions!$B$26*E43))*E43</f>
        <v>0.47079906105146263</v>
      </c>
      <c r="V43" s="21">
        <f>(Archetypes!$C$11*(IF(S43&lt;0,1+Assumptions!$B$32*MIN(1,ABS(S43)/ABS(Assumptions!$B$21)),MAX(0.1,1-Assumptions!$B$31*(S43/50)))))*$E43</f>
        <v>0.83163916656054049</v>
      </c>
      <c r="W43" s="26">
        <f>Archetypes!$C$30</f>
        <v>3.7999999999999999E-2</v>
      </c>
      <c r="X43" s="21">
        <f t="shared" si="4"/>
        <v>3.1602288329300537E-2</v>
      </c>
      <c r="Y43" s="21">
        <f>((V43-X43)*Archetypes!$C$15)+(X43*Archetypes!$C$15*Archetypes!$C$22)</f>
        <v>0.42055992652966534</v>
      </c>
      <c r="Z43" s="21">
        <f>V43*Archetypes!$C$16</f>
        <v>0.37423762495224322</v>
      </c>
      <c r="AA43" s="21">
        <f>(IF(S43&lt;0,Assumptions!$B$8,IF(S43&lt;10,Assumptions!$B$34,IF(S43&lt;25,Assumptions!$B$35,Assumptions!$B$36))))*((((Archetypes!$C$5*Assumptions!$B$4+Archetypes!$C$6*Assumptions!$B$5)*60))+(Assumptions!$B$6*(((Archetypes!$C$11*(IF(S43&lt;0,1+Assumptions!$B$32*MIN(1,ABS(S43)/ABS(Assumptions!$B$21)),MAX(0.1,1-Assumptions!$B$31*(S43/50)))))-((Archetypes!$C$11*(IF(S43&lt;0,1+Assumptions!$B$32*MIN(1,ABS(S43)/ABS(Assumptions!$B$21)),MAX(0.1,1-Assumptions!$B$31*(S43/50)))))*W43)*Archetypes!$C$20)+((Archetypes!$C$11*(IF(S43&lt;0,1+Assumptions!$B$32*MIN(1,ABS(S43)/ABS(Assumptions!$B$21)),MAX(0.1,1-Assumptions!$B$31*(S43/50)))))*W43*Archetypes!$C$20*Archetypes!$C$21)*Assumptions!$B$18)*(IF($D43=1,1,Assumptions!$B$7)))+(((((Archetypes!$C$11*(IF(S43&lt;0,1+Assumptions!$B$32*MIN(1,ABS(S43)/ABS(Assumptions!$B$21)),MAX(0.1,1-Assumptions!$B$31*(S43/50)))))-((Archetypes!$C$11*(IF(S43&lt;0,1+Assumptions!$B$32*MIN(1,ABS(S43)/ABS(Assumptions!$B$21)),MAX(0.1,1-Assumptions!$B$31*(S43/50)))))*W43)*Archetypes!$C$15)*(Archetypes!$C$13*IF(S43&lt;0,1-Assumptions!$B$33*MIN(1,ABS(S43)/ABS(Assumptions!$B$21)),1))*5)+(((Archetypes!$C$11*(IF(S43&lt;0,1+Assumptions!$B$32*MIN(1,ABS(S43)/ABS(Assumptions!$B$21)),MAX(0.1,1-Assumptions!$B$31*(S43/50)))))*W43*Archetypes!$C$15*Archetypes!$C$22)*(Archetypes!$C$13*IF(S43&lt;0,1-Assumptions!$B$33*MIN(1,ABS(S43)/ABS(Assumptions!$B$21)),1))*5*Assumptions!$B$18))*IF(S43&lt;0,Assumptions!$B$9,1)))*$E43</f>
        <v>600.06621946601058</v>
      </c>
      <c r="AB43" s="21">
        <f>(AB42)+(AA43)-(MAX(0,((AB42)+(AA43)-(AC43)))*(IF(Archetypes!$C$27="",Assumptions!$B$11,Archetypes!$C$27)))</f>
        <v>10973.027272622268</v>
      </c>
      <c r="AC43" s="21">
        <f>Archetypes!$C$36 + (Assumptions!$B$67*(IF($E43=0,0,V43/$E43))*Assumptions!$B$71*(1+Assumptions!$B$68*(Archetypes!$C$14-1))) + (Assumptions!$B$69*Archetypes!$C$34*(IF($E43=0,0,V43/$E43))*Assumptions!$B$72*POWER(Assumptions!$B$70,Archetypes!$C$18-1))</f>
        <v>9129.2075249904501</v>
      </c>
      <c r="AD43" s="21">
        <f t="shared" si="5"/>
        <v>1843.8197476318182</v>
      </c>
      <c r="AF43" s="21">
        <f t="shared" si="10"/>
        <v>95.655053263366852</v>
      </c>
      <c r="AG43" s="21">
        <f>MAX(Assumptions!$B$21,AF43+AH43)</f>
        <v>96.568377747938285</v>
      </c>
      <c r="AH43" s="21">
        <f>((AL43*(Assumptions!$B$22+((Assumptions!$B$23-Assumptions!$B$22)*IF(AI43&gt;0,AK43/AI43,0)))*(1+Assumptions!$B$60*(Archetypes!$D$13-1)))+IF(AL43&gt;AI43,AI43*Assumptions!$B$24,0)-IF(IF(AI43&gt;0,AM43/AI43,1)&lt;Assumptions!$B$61,((AM43*(Assumptions!$B$27*(1+Assumptions!$B$28*(Archetypes!$D$14-1))/(1+Assumptions!$B$29*(Archetypes!$D$12-1))))+(((AI43*Archetypes!$D$17*IF(AI43&gt;0,AM43/AI43,1)*Archetypes!$D$31)/100)*Assumptions!$B$30))*Assumptions!$B$62,((AM43*(Assumptions!$B$27*(1+Assumptions!$B$28*(Archetypes!$D$14-1))/(1+Assumptions!$B$29*(Archetypes!$D$12-1))))+(((AI43*Archetypes!$D$17*IF(AI43&gt;0,AM43/AI43,1)*Archetypes!$D$31)/100)*Assumptions!$B$30)))-(Assumptions!$B$25*Assumptions!$B$26*E43))*E43</f>
        <v>0.9133244845714289</v>
      </c>
      <c r="AI43" s="21">
        <f>(Archetypes!$D$11*(IF(AF43&lt;0,1+Assumptions!$B$32*MIN(1,ABS(AF43)/ABS(Assumptions!$B$21)),MAX(0.1,1-Assumptions!$B$31*(AF43/50)))))*$E43</f>
        <v>0.30000000000000004</v>
      </c>
      <c r="AJ43" s="26">
        <f>Archetypes!$D$30</f>
        <v>0.10400000000000001</v>
      </c>
      <c r="AK43" s="21">
        <f t="shared" si="6"/>
        <v>3.1200000000000009E-2</v>
      </c>
      <c r="AL43" s="21">
        <f>((AI43-AK43)*Archetypes!$D$15)+(AK43*Archetypes!$D$15*Archetypes!$D$22)</f>
        <v>0.46872000000000008</v>
      </c>
      <c r="AM43" s="21">
        <f>AI43*Archetypes!$D$16</f>
        <v>6.0000000000000012E-2</v>
      </c>
      <c r="AN43" s="21">
        <f>(IF(AF43&lt;0,Assumptions!$B$8,IF(AF43&lt;10,Assumptions!$B$34,IF(AF43&lt;25,Assumptions!$B$35,Assumptions!$B$36))))*((((Archetypes!$D$5*Assumptions!$B$4+Archetypes!$D$6*Assumptions!$B$5)*60))+(Assumptions!$B$6*(((Archetypes!$D$11*(IF(AF43&lt;0,1+Assumptions!$B$32*MIN(1,ABS(AF43)/ABS(Assumptions!$B$21)),MAX(0.1,1-Assumptions!$B$31*(AF43/50)))))-((Archetypes!$D$11*(IF(AF43&lt;0,1+Assumptions!$B$32*MIN(1,ABS(AF43)/ABS(Assumptions!$B$21)),MAX(0.1,1-Assumptions!$B$31*(AF43/50)))))*AJ43)*Archetypes!$D$20)+((Archetypes!$D$11*(IF(AF43&lt;0,1+Assumptions!$B$32*MIN(1,ABS(AF43)/ABS(Assumptions!$B$21)),MAX(0.1,1-Assumptions!$B$31*(AF43/50)))))*AJ43*Archetypes!$D$20*Archetypes!$D$21)*Assumptions!$B$18)*(IF($D43=1,1,Assumptions!$B$7)))+(((((Archetypes!$D$11*(IF(AF43&lt;0,1+Assumptions!$B$32*MIN(1,ABS(AF43)/ABS(Assumptions!$B$21)),MAX(0.1,1-Assumptions!$B$31*(AF43/50)))))-((Archetypes!$D$11*(IF(AF43&lt;0,1+Assumptions!$B$32*MIN(1,ABS(AF43)/ABS(Assumptions!$B$21)),MAX(0.1,1-Assumptions!$B$31*(AF43/50)))))*AJ43)*Archetypes!$D$15)*(Archetypes!$D$13*IF(AF43&lt;0,1-Assumptions!$B$33*MIN(1,ABS(AF43)/ABS(Assumptions!$B$21)),1))*5)+(((Archetypes!$D$11*(IF(AF43&lt;0,1+Assumptions!$B$32*MIN(1,ABS(AF43)/ABS(Assumptions!$B$21)),MAX(0.1,1-Assumptions!$B$31*(AF43/50)))))*AJ43*Archetypes!$D$15*Archetypes!$D$22)*(Archetypes!$D$13*IF(AF43&lt;0,1-Assumptions!$B$33*MIN(1,ABS(AF43)/ABS(Assumptions!$B$21)),1))*5*Assumptions!$B$18))*IF(AF43&lt;0,Assumptions!$B$9,1)))*$E43</f>
        <v>939.63674999999989</v>
      </c>
      <c r="AO43" s="21">
        <f>(AO42)+(AN43)-(MAX(0,((AO42)+(AN43)-(AP43)))*(IF(Archetypes!$D$27="",Assumptions!$B$11,Archetypes!$D$27)))</f>
        <v>22967.500421642966</v>
      </c>
      <c r="AP43" s="21">
        <f>Archetypes!$D$36 + (Assumptions!$B$67*(IF($E43=0,0,AI43/$E43))*Assumptions!$B$71*(1+Assumptions!$B$68*(Archetypes!$D$14-1))) + (Assumptions!$B$69*Archetypes!$D$34*(IF($E43=0,0,AI43/$E43))*Assumptions!$B$72*POWER(Assumptions!$B$70,Archetypes!$D$18-1))</f>
        <v>20774.800648960005</v>
      </c>
      <c r="AQ43" s="21">
        <f t="shared" si="7"/>
        <v>2192.6997726829613</v>
      </c>
    </row>
    <row r="44" spans="1:43" x14ac:dyDescent="0.25">
      <c r="A44" s="20">
        <v>40</v>
      </c>
      <c r="B44" s="20">
        <f t="shared" si="0"/>
        <v>2</v>
      </c>
      <c r="C44" s="20">
        <f t="shared" si="1"/>
        <v>16</v>
      </c>
      <c r="D44" s="6">
        <f>IF(C44&lt;Assumptions!$B$10,1,0)</f>
        <v>0</v>
      </c>
      <c r="E44" s="6">
        <v>1</v>
      </c>
      <c r="F44" s="21">
        <f t="shared" si="8"/>
        <v>-15</v>
      </c>
      <c r="G44" s="21">
        <f>MAX(Assumptions!$B$21,F44+H44)</f>
        <v>-15</v>
      </c>
      <c r="H44" s="21">
        <f>((L44*(Assumptions!$B$22+((Assumptions!$B$23-Assumptions!$B$22)*IF(I44&gt;0,K44/I44,0)))*(1+Assumptions!$B$60*(Archetypes!$B$13-1)))+IF(L44&gt;I44,I44*Assumptions!$B$24,0)-IF(IF(I44&gt;0,M44/I44,1)&lt;Assumptions!$B$61,((M44*(Assumptions!$B$27*(1+Assumptions!$B$28*(Archetypes!$B$14-1))/(1+Assumptions!$B$29*(Archetypes!$B$12-1))))+(((I44*Archetypes!$B$17*IF(I44&gt;0,M44/I44,1)*Archetypes!$B$31)/100)*Assumptions!$B$30))*Assumptions!$B$62,((M44*(Assumptions!$B$27*(1+Assumptions!$B$28*(Archetypes!$B$14-1))/(1+Assumptions!$B$29*(Archetypes!$B$12-1))))+(((I44*Archetypes!$B$17*IF(I44&gt;0,M44/I44,1)*Archetypes!$B$31)/100)*Assumptions!$B$30)))-(Assumptions!$B$25*Assumptions!$B$26*E44))*E44</f>
        <v>-2.8381702909090891</v>
      </c>
      <c r="I44" s="21">
        <f>(Archetypes!$B$11*(IF(F44&lt;0,1+Assumptions!$B$32*MIN(1,ABS(F44)/ABS(Assumptions!$B$21)),MAX(0.1,1-Assumptions!$B$31*(F44/50)))))*$E44</f>
        <v>14</v>
      </c>
      <c r="J44" s="26">
        <f>Archetypes!$B$30</f>
        <v>2.1999999999999999E-2</v>
      </c>
      <c r="K44" s="21">
        <f t="shared" si="2"/>
        <v>0.308</v>
      </c>
      <c r="L44" s="21">
        <f>((I44-K44)*Archetypes!$B$15)+(K44*Archetypes!$B$15*Archetypes!$B$22)</f>
        <v>1.4061600000000003</v>
      </c>
      <c r="M44" s="21">
        <f>I44*Archetypes!$B$16</f>
        <v>10.5</v>
      </c>
      <c r="N44" s="21">
        <f>(IF(F44&lt;0,Assumptions!$B$8,IF(F44&lt;10,Assumptions!$B$34,IF(F44&lt;25,Assumptions!$B$35,Assumptions!$B$36))))*((((Archetypes!$B$5*Assumptions!$B$4+Archetypes!$B$6*Assumptions!$B$5)*60))+(Assumptions!$B$6*(((Archetypes!$B$11*(IF(F44&lt;0,1+Assumptions!$B$32*MIN(1,ABS(F44)/ABS(Assumptions!$B$21)),MAX(0.1,1-Assumptions!$B$31*(F44/50)))))-((Archetypes!$B$11*(IF(F44&lt;0,1+Assumptions!$B$32*MIN(1,ABS(F44)/ABS(Assumptions!$B$21)),MAX(0.1,1-Assumptions!$B$31*(F44/50)))))*J44)*Archetypes!$B$20)+((Archetypes!$B$11*(IF(F44&lt;0,1+Assumptions!$B$32*MIN(1,ABS(F44)/ABS(Assumptions!$B$21)),MAX(0.1,1-Assumptions!$B$31*(F44/50)))))*J44*Archetypes!$B$20*Archetypes!$B$21)*Assumptions!$B$18)*(IF($D44=1,1,Assumptions!$B$7)))+(((((Archetypes!$B$11*(IF(F44&lt;0,1+Assumptions!$B$32*MIN(1,ABS(F44)/ABS(Assumptions!$B$21)),MAX(0.1,1-Assumptions!$B$31*(F44/50)))))-((Archetypes!$B$11*(IF(F44&lt;0,1+Assumptions!$B$32*MIN(1,ABS(F44)/ABS(Assumptions!$B$21)),MAX(0.1,1-Assumptions!$B$31*(F44/50)))))*J44)*Archetypes!$B$15)*(Archetypes!$B$13*IF(F44&lt;0,1-Assumptions!$B$33*MIN(1,ABS(F44)/ABS(Assumptions!$B$21)),1))*5)+(((Archetypes!$B$11*(IF(F44&lt;0,1+Assumptions!$B$32*MIN(1,ABS(F44)/ABS(Assumptions!$B$21)),MAX(0.1,1-Assumptions!$B$31*(F44/50)))))*J44*Archetypes!$B$15*Archetypes!$B$22)*(Archetypes!$B$13*IF(F44&lt;0,1-Assumptions!$B$33*MIN(1,ABS(F44)/ABS(Assumptions!$B$21)),1))*5*Assumptions!$B$18))*IF(F44&lt;0,Assumptions!$B$9,1)))*$E44</f>
        <v>484.478544</v>
      </c>
      <c r="O44" s="21">
        <f>(O43)+(N44)-(MAX(0,((O43)+(N44)-(P44)))*(IF(Archetypes!$B$27="",Assumptions!$B$11,Archetypes!$B$27)))</f>
        <v>4617.3219360074281</v>
      </c>
      <c r="P44" s="21">
        <f>Archetypes!$B$36 + (Assumptions!$B$67*(IF($E44=0,0,I44/$E44))*Assumptions!$B$71*(1+Assumptions!$B$68*(Archetypes!$B$14-1))) + (Assumptions!$B$69*Archetypes!$B$34*(IF($E44=0,0,I44/$E44))*Assumptions!$B$72*POWER(Assumptions!$B$70,Archetypes!$B$18-1))</f>
        <v>2668.56</v>
      </c>
      <c r="Q44" s="21">
        <f t="shared" si="3"/>
        <v>1948.7619360074282</v>
      </c>
      <c r="S44" s="21">
        <f t="shared" si="9"/>
        <v>72.25358841437729</v>
      </c>
      <c r="T44" s="21">
        <f>MAX(Assumptions!$B$21,S44+U44)</f>
        <v>72.699083765443277</v>
      </c>
      <c r="U44" s="21">
        <f>((Y44*(Assumptions!$B$22+((Assumptions!$B$23-Assumptions!$B$22)*IF(V44&gt;0,X44/V44,0)))*(1+Assumptions!$B$60*(Archetypes!$C$13-1)))+IF(Y44&gt;V44,V44*Assumptions!$B$24,0)-IF(IF(V44&gt;0,Z44/V44,1)&lt;Assumptions!$B$61,((Z44*(Assumptions!$B$27*(1+Assumptions!$B$28*(Archetypes!$C$14-1))/(1+Assumptions!$B$29*(Archetypes!$C$12-1))))+(((V44*Archetypes!$C$17*IF(V44&gt;0,Z44/V44,1)*Archetypes!$C$31)/100)*Assumptions!$B$30))*Assumptions!$B$62,((Z44*(Assumptions!$B$27*(1+Assumptions!$B$28*(Archetypes!$C$14-1))/(1+Assumptions!$B$29*(Archetypes!$C$12-1))))+(((V44*Archetypes!$C$17*IF(V44&gt;0,Z44/V44,1)*Archetypes!$C$31)/100)*Assumptions!$B$30)))-(Assumptions!$B$25*Assumptions!$B$26*E44))*E44</f>
        <v>0.44549535106598115</v>
      </c>
      <c r="V44" s="21">
        <f>(Archetypes!$C$11*(IF(S44&lt;0,1+Assumptions!$B$32*MIN(1,ABS(S44)/ABS(Assumptions!$B$21)),MAX(0.1,1-Assumptions!$B$31*(S44/50)))))*$E44</f>
        <v>0.79774163416483512</v>
      </c>
      <c r="W44" s="26">
        <f>Archetypes!$C$30</f>
        <v>3.7999999999999999E-2</v>
      </c>
      <c r="X44" s="21">
        <f t="shared" si="4"/>
        <v>3.0314182098263733E-2</v>
      </c>
      <c r="Y44" s="21">
        <f>((V44-X44)*Archetypes!$C$15)+(X44*Archetypes!$C$15*Archetypes!$C$22)</f>
        <v>0.40341794439715711</v>
      </c>
      <c r="Z44" s="21">
        <f>V44*Archetypes!$C$16</f>
        <v>0.35898373537417583</v>
      </c>
      <c r="AA44" s="21">
        <f>(IF(S44&lt;0,Assumptions!$B$8,IF(S44&lt;10,Assumptions!$B$34,IF(S44&lt;25,Assumptions!$B$35,Assumptions!$B$36))))*((((Archetypes!$C$5*Assumptions!$B$4+Archetypes!$C$6*Assumptions!$B$5)*60))+(Assumptions!$B$6*(((Archetypes!$C$11*(IF(S44&lt;0,1+Assumptions!$B$32*MIN(1,ABS(S44)/ABS(Assumptions!$B$21)),MAX(0.1,1-Assumptions!$B$31*(S44/50)))))-((Archetypes!$C$11*(IF(S44&lt;0,1+Assumptions!$B$32*MIN(1,ABS(S44)/ABS(Assumptions!$B$21)),MAX(0.1,1-Assumptions!$B$31*(S44/50)))))*W44)*Archetypes!$C$20)+((Archetypes!$C$11*(IF(S44&lt;0,1+Assumptions!$B$32*MIN(1,ABS(S44)/ABS(Assumptions!$B$21)),MAX(0.1,1-Assumptions!$B$31*(S44/50)))))*W44*Archetypes!$C$20*Archetypes!$C$21)*Assumptions!$B$18)*(IF($D44=1,1,Assumptions!$B$7)))+(((((Archetypes!$C$11*(IF(S44&lt;0,1+Assumptions!$B$32*MIN(1,ABS(S44)/ABS(Assumptions!$B$21)),MAX(0.1,1-Assumptions!$B$31*(S44/50)))))-((Archetypes!$C$11*(IF(S44&lt;0,1+Assumptions!$B$32*MIN(1,ABS(S44)/ABS(Assumptions!$B$21)),MAX(0.1,1-Assumptions!$B$31*(S44/50)))))*W44)*Archetypes!$C$15)*(Archetypes!$C$13*IF(S44&lt;0,1-Assumptions!$B$33*MIN(1,ABS(S44)/ABS(Assumptions!$B$21)),1))*5)+(((Archetypes!$C$11*(IF(S44&lt;0,1+Assumptions!$B$32*MIN(1,ABS(S44)/ABS(Assumptions!$B$21)),MAX(0.1,1-Assumptions!$B$31*(S44/50)))))*W44*Archetypes!$C$15*Archetypes!$C$22)*(Archetypes!$C$13*IF(S44&lt;0,1-Assumptions!$B$33*MIN(1,ABS(S44)/ABS(Assumptions!$B$21)),1))*5*Assumptions!$B$18))*IF(S44&lt;0,Assumptions!$B$9,1)))*$E44</f>
        <v>597.43450657414553</v>
      </c>
      <c r="AB44" s="21">
        <f>(AB43)+(AA44)-(MAX(0,((AB43)+(AA44)-(AC44)))*(IF(Archetypes!$C$27="",Assumptions!$B$11,Archetypes!$C$27)))</f>
        <v>10959.385521166019</v>
      </c>
      <c r="AC44" s="21">
        <f>Archetypes!$C$36 + (Assumptions!$B$67*(IF($E44=0,0,V44/$E44))*Assumptions!$B$71*(1+Assumptions!$B$68*(Archetypes!$C$14-1))) + (Assumptions!$B$69*Archetypes!$C$34*(IF($E44=0,0,V44/$E44))*Assumptions!$B$72*POWER(Assumptions!$B$70,Archetypes!$C$18-1))</f>
        <v>9126.1567470748378</v>
      </c>
      <c r="AD44" s="21">
        <f t="shared" si="5"/>
        <v>1833.2287740911815</v>
      </c>
      <c r="AF44" s="21">
        <f t="shared" si="10"/>
        <v>96.568377747938285</v>
      </c>
      <c r="AG44" s="21">
        <f>MAX(Assumptions!$B$21,AF44+AH44)</f>
        <v>97.481702232509718</v>
      </c>
      <c r="AH44" s="21">
        <f>((AL44*(Assumptions!$B$22+((Assumptions!$B$23-Assumptions!$B$22)*IF(AI44&gt;0,AK44/AI44,0)))*(1+Assumptions!$B$60*(Archetypes!$D$13-1)))+IF(AL44&gt;AI44,AI44*Assumptions!$B$24,0)-IF(IF(AI44&gt;0,AM44/AI44,1)&lt;Assumptions!$B$61,((AM44*(Assumptions!$B$27*(1+Assumptions!$B$28*(Archetypes!$D$14-1))/(1+Assumptions!$B$29*(Archetypes!$D$12-1))))+(((AI44*Archetypes!$D$17*IF(AI44&gt;0,AM44/AI44,1)*Archetypes!$D$31)/100)*Assumptions!$B$30))*Assumptions!$B$62,((AM44*(Assumptions!$B$27*(1+Assumptions!$B$28*(Archetypes!$D$14-1))/(1+Assumptions!$B$29*(Archetypes!$D$12-1))))+(((AI44*Archetypes!$D$17*IF(AI44&gt;0,AM44/AI44,1)*Archetypes!$D$31)/100)*Assumptions!$B$30)))-(Assumptions!$B$25*Assumptions!$B$26*E44))*E44</f>
        <v>0.9133244845714289</v>
      </c>
      <c r="AI44" s="21">
        <f>(Archetypes!$D$11*(IF(AF44&lt;0,1+Assumptions!$B$32*MIN(1,ABS(AF44)/ABS(Assumptions!$B$21)),MAX(0.1,1-Assumptions!$B$31*(AF44/50)))))*$E44</f>
        <v>0.30000000000000004</v>
      </c>
      <c r="AJ44" s="26">
        <f>Archetypes!$D$30</f>
        <v>0.10400000000000001</v>
      </c>
      <c r="AK44" s="21">
        <f t="shared" si="6"/>
        <v>3.1200000000000009E-2</v>
      </c>
      <c r="AL44" s="21">
        <f>((AI44-AK44)*Archetypes!$D$15)+(AK44*Archetypes!$D$15*Archetypes!$D$22)</f>
        <v>0.46872000000000008</v>
      </c>
      <c r="AM44" s="21">
        <f>AI44*Archetypes!$D$16</f>
        <v>6.0000000000000012E-2</v>
      </c>
      <c r="AN44" s="21">
        <f>(IF(AF44&lt;0,Assumptions!$B$8,IF(AF44&lt;10,Assumptions!$B$34,IF(AF44&lt;25,Assumptions!$B$35,Assumptions!$B$36))))*((((Archetypes!$D$5*Assumptions!$B$4+Archetypes!$D$6*Assumptions!$B$5)*60))+(Assumptions!$B$6*(((Archetypes!$D$11*(IF(AF44&lt;0,1+Assumptions!$B$32*MIN(1,ABS(AF44)/ABS(Assumptions!$B$21)),MAX(0.1,1-Assumptions!$B$31*(AF44/50)))))-((Archetypes!$D$11*(IF(AF44&lt;0,1+Assumptions!$B$32*MIN(1,ABS(AF44)/ABS(Assumptions!$B$21)),MAX(0.1,1-Assumptions!$B$31*(AF44/50)))))*AJ44)*Archetypes!$D$20)+((Archetypes!$D$11*(IF(AF44&lt;0,1+Assumptions!$B$32*MIN(1,ABS(AF44)/ABS(Assumptions!$B$21)),MAX(0.1,1-Assumptions!$B$31*(AF44/50)))))*AJ44*Archetypes!$D$20*Archetypes!$D$21)*Assumptions!$B$18)*(IF($D44=1,1,Assumptions!$B$7)))+(((((Archetypes!$D$11*(IF(AF44&lt;0,1+Assumptions!$B$32*MIN(1,ABS(AF44)/ABS(Assumptions!$B$21)),MAX(0.1,1-Assumptions!$B$31*(AF44/50)))))-((Archetypes!$D$11*(IF(AF44&lt;0,1+Assumptions!$B$32*MIN(1,ABS(AF44)/ABS(Assumptions!$B$21)),MAX(0.1,1-Assumptions!$B$31*(AF44/50)))))*AJ44)*Archetypes!$D$15)*(Archetypes!$D$13*IF(AF44&lt;0,1-Assumptions!$B$33*MIN(1,ABS(AF44)/ABS(Assumptions!$B$21)),1))*5)+(((Archetypes!$D$11*(IF(AF44&lt;0,1+Assumptions!$B$32*MIN(1,ABS(AF44)/ABS(Assumptions!$B$21)),MAX(0.1,1-Assumptions!$B$31*(AF44/50)))))*AJ44*Archetypes!$D$15*Archetypes!$D$22)*(Archetypes!$D$13*IF(AF44&lt;0,1-Assumptions!$B$33*MIN(1,ABS(AF44)/ABS(Assumptions!$B$21)),1))*5*Assumptions!$B$18))*IF(AF44&lt;0,Assumptions!$B$9,1)))*$E44</f>
        <v>939.63674999999989</v>
      </c>
      <c r="AO44" s="21">
        <f>(AO43)+(AN44)-(MAX(0,((AO43)+(AN44)-(AP44)))*(IF(Archetypes!$D$27="",Assumptions!$B$11,Archetypes!$D$27)))</f>
        <v>22967.436214838079</v>
      </c>
      <c r="AP44" s="21">
        <f>Archetypes!$D$36 + (Assumptions!$B$67*(IF($E44=0,0,AI44/$E44))*Assumptions!$B$71*(1+Assumptions!$B$68*(Archetypes!$D$14-1))) + (Assumptions!$B$69*Archetypes!$D$34*(IF($E44=0,0,AI44/$E44))*Assumptions!$B$72*POWER(Assumptions!$B$70,Archetypes!$D$18-1))</f>
        <v>20774.800648960005</v>
      </c>
      <c r="AQ44" s="21">
        <f t="shared" si="7"/>
        <v>2192.635565878074</v>
      </c>
    </row>
    <row r="45" spans="1:43" x14ac:dyDescent="0.25">
      <c r="A45" s="20">
        <v>41</v>
      </c>
      <c r="B45" s="20">
        <f t="shared" si="0"/>
        <v>2</v>
      </c>
      <c r="C45" s="20">
        <f t="shared" si="1"/>
        <v>17</v>
      </c>
      <c r="D45" s="6">
        <f>IF(C45&lt;Assumptions!$B$10,1,0)</f>
        <v>0</v>
      </c>
      <c r="E45" s="6">
        <v>1</v>
      </c>
      <c r="F45" s="21">
        <f t="shared" si="8"/>
        <v>-15</v>
      </c>
      <c r="G45" s="21">
        <f>MAX(Assumptions!$B$21,F45+H45)</f>
        <v>-15</v>
      </c>
      <c r="H45" s="21">
        <f>((L45*(Assumptions!$B$22+((Assumptions!$B$23-Assumptions!$B$22)*IF(I45&gt;0,K45/I45,0)))*(1+Assumptions!$B$60*(Archetypes!$B$13-1)))+IF(L45&gt;I45,I45*Assumptions!$B$24,0)-IF(IF(I45&gt;0,M45/I45,1)&lt;Assumptions!$B$61,((M45*(Assumptions!$B$27*(1+Assumptions!$B$28*(Archetypes!$B$14-1))/(1+Assumptions!$B$29*(Archetypes!$B$12-1))))+(((I45*Archetypes!$B$17*IF(I45&gt;0,M45/I45,1)*Archetypes!$B$31)/100)*Assumptions!$B$30))*Assumptions!$B$62,((M45*(Assumptions!$B$27*(1+Assumptions!$B$28*(Archetypes!$B$14-1))/(1+Assumptions!$B$29*(Archetypes!$B$12-1))))+(((I45*Archetypes!$B$17*IF(I45&gt;0,M45/I45,1)*Archetypes!$B$31)/100)*Assumptions!$B$30)))-(Assumptions!$B$25*Assumptions!$B$26*E45))*E45</f>
        <v>-2.8381702909090891</v>
      </c>
      <c r="I45" s="21">
        <f>(Archetypes!$B$11*(IF(F45&lt;0,1+Assumptions!$B$32*MIN(1,ABS(F45)/ABS(Assumptions!$B$21)),MAX(0.1,1-Assumptions!$B$31*(F45/50)))))*$E45</f>
        <v>14</v>
      </c>
      <c r="J45" s="26">
        <f>Archetypes!$B$30</f>
        <v>2.1999999999999999E-2</v>
      </c>
      <c r="K45" s="21">
        <f t="shared" si="2"/>
        <v>0.308</v>
      </c>
      <c r="L45" s="21">
        <f>((I45-K45)*Archetypes!$B$15)+(K45*Archetypes!$B$15*Archetypes!$B$22)</f>
        <v>1.4061600000000003</v>
      </c>
      <c r="M45" s="21">
        <f>I45*Archetypes!$B$16</f>
        <v>10.5</v>
      </c>
      <c r="N45" s="21">
        <f>(IF(F45&lt;0,Assumptions!$B$8,IF(F45&lt;10,Assumptions!$B$34,IF(F45&lt;25,Assumptions!$B$35,Assumptions!$B$36))))*((((Archetypes!$B$5*Assumptions!$B$4+Archetypes!$B$6*Assumptions!$B$5)*60))+(Assumptions!$B$6*(((Archetypes!$B$11*(IF(F45&lt;0,1+Assumptions!$B$32*MIN(1,ABS(F45)/ABS(Assumptions!$B$21)),MAX(0.1,1-Assumptions!$B$31*(F45/50)))))-((Archetypes!$B$11*(IF(F45&lt;0,1+Assumptions!$B$32*MIN(1,ABS(F45)/ABS(Assumptions!$B$21)),MAX(0.1,1-Assumptions!$B$31*(F45/50)))))*J45)*Archetypes!$B$20)+((Archetypes!$B$11*(IF(F45&lt;0,1+Assumptions!$B$32*MIN(1,ABS(F45)/ABS(Assumptions!$B$21)),MAX(0.1,1-Assumptions!$B$31*(F45/50)))))*J45*Archetypes!$B$20*Archetypes!$B$21)*Assumptions!$B$18)*(IF($D45=1,1,Assumptions!$B$7)))+(((((Archetypes!$B$11*(IF(F45&lt;0,1+Assumptions!$B$32*MIN(1,ABS(F45)/ABS(Assumptions!$B$21)),MAX(0.1,1-Assumptions!$B$31*(F45/50)))))-((Archetypes!$B$11*(IF(F45&lt;0,1+Assumptions!$B$32*MIN(1,ABS(F45)/ABS(Assumptions!$B$21)),MAX(0.1,1-Assumptions!$B$31*(F45/50)))))*J45)*Archetypes!$B$15)*(Archetypes!$B$13*IF(F45&lt;0,1-Assumptions!$B$33*MIN(1,ABS(F45)/ABS(Assumptions!$B$21)),1))*5)+(((Archetypes!$B$11*(IF(F45&lt;0,1+Assumptions!$B$32*MIN(1,ABS(F45)/ABS(Assumptions!$B$21)),MAX(0.1,1-Assumptions!$B$31*(F45/50)))))*J45*Archetypes!$B$15*Archetypes!$B$22)*(Archetypes!$B$13*IF(F45&lt;0,1-Assumptions!$B$33*MIN(1,ABS(F45)/ABS(Assumptions!$B$21)),1))*5*Assumptions!$B$18))*IF(F45&lt;0,Assumptions!$B$9,1)))*$E45</f>
        <v>484.478544</v>
      </c>
      <c r="O45" s="21">
        <f>(O44)+(N45)-(MAX(0,((O44)+(N45)-(P45)))*(IF(Archetypes!$B$27="",Assumptions!$B$11,Archetypes!$B$27)))</f>
        <v>4615.1523840059417</v>
      </c>
      <c r="P45" s="21">
        <f>Archetypes!$B$36 + (Assumptions!$B$67*(IF($E45=0,0,I45/$E45))*Assumptions!$B$71*(1+Assumptions!$B$68*(Archetypes!$B$14-1))) + (Assumptions!$B$69*Archetypes!$B$34*(IF($E45=0,0,I45/$E45))*Assumptions!$B$72*POWER(Assumptions!$B$70,Archetypes!$B$18-1))</f>
        <v>2668.56</v>
      </c>
      <c r="Q45" s="21">
        <f t="shared" si="3"/>
        <v>1946.5923840059418</v>
      </c>
      <c r="S45" s="21">
        <f t="shared" si="9"/>
        <v>72.699083765443277</v>
      </c>
      <c r="T45" s="21">
        <f>MAX(Assumptions!$B$21,S45+U45)</f>
        <v>73.120635387441325</v>
      </c>
      <c r="U45" s="21">
        <f>((Y45*(Assumptions!$B$22+((Assumptions!$B$23-Assumptions!$B$22)*IF(V45&gt;0,X45/V45,0)))*(1+Assumptions!$B$60*(Archetypes!$C$13-1)))+IF(Y45&gt;V45,V45*Assumptions!$B$24,0)-IF(IF(V45&gt;0,Z45/V45,1)&lt;Assumptions!$B$61,((Z45*(Assumptions!$B$27*(1+Assumptions!$B$28*(Archetypes!$C$14-1))/(1+Assumptions!$B$29*(Archetypes!$C$12-1))))+(((V45*Archetypes!$C$17*IF(V45&gt;0,Z45/V45,1)*Archetypes!$C$31)/100)*Assumptions!$B$30))*Assumptions!$B$62,((Z45*(Assumptions!$B$27*(1+Assumptions!$B$28*(Archetypes!$C$14-1))/(1+Assumptions!$B$29*(Archetypes!$C$12-1))))+(((V45*Archetypes!$C$17*IF(V45&gt;0,Z45/V45,1)*Archetypes!$C$31)/100)*Assumptions!$B$30)))-(Assumptions!$B$25*Assumptions!$B$26*E45))*E45</f>
        <v>0.42155162199804752</v>
      </c>
      <c r="V45" s="21">
        <f>(Archetypes!$C$11*(IF(S45&lt;0,1+Assumptions!$B$32*MIN(1,ABS(S45)/ABS(Assumptions!$B$21)),MAX(0.1,1-Assumptions!$B$31*(S45/50)))))*$E45</f>
        <v>0.76566596888808447</v>
      </c>
      <c r="W45" s="26">
        <f>Archetypes!$C$30</f>
        <v>3.7999999999999999E-2</v>
      </c>
      <c r="X45" s="21">
        <f t="shared" si="4"/>
        <v>2.9095306817747208E-2</v>
      </c>
      <c r="Y45" s="21">
        <f>((V45-X45)*Archetypes!$C$15)+(X45*Archetypes!$C$15*Archetypes!$C$22)</f>
        <v>0.38719728046670432</v>
      </c>
      <c r="Z45" s="21">
        <f>V45*Archetypes!$C$16</f>
        <v>0.34454968599963803</v>
      </c>
      <c r="AA45" s="21">
        <f>(IF(S45&lt;0,Assumptions!$B$8,IF(S45&lt;10,Assumptions!$B$34,IF(S45&lt;25,Assumptions!$B$35,Assumptions!$B$36))))*((((Archetypes!$C$5*Assumptions!$B$4+Archetypes!$C$6*Assumptions!$B$5)*60))+(Assumptions!$B$6*(((Archetypes!$C$11*(IF(S45&lt;0,1+Assumptions!$B$32*MIN(1,ABS(S45)/ABS(Assumptions!$B$21)),MAX(0.1,1-Assumptions!$B$31*(S45/50)))))-((Archetypes!$C$11*(IF(S45&lt;0,1+Assumptions!$B$32*MIN(1,ABS(S45)/ABS(Assumptions!$B$21)),MAX(0.1,1-Assumptions!$B$31*(S45/50)))))*W45)*Archetypes!$C$20)+((Archetypes!$C$11*(IF(S45&lt;0,1+Assumptions!$B$32*MIN(1,ABS(S45)/ABS(Assumptions!$B$21)),MAX(0.1,1-Assumptions!$B$31*(S45/50)))))*W45*Archetypes!$C$20*Archetypes!$C$21)*Assumptions!$B$18)*(IF($D45=1,1,Assumptions!$B$7)))+(((((Archetypes!$C$11*(IF(S45&lt;0,1+Assumptions!$B$32*MIN(1,ABS(S45)/ABS(Assumptions!$B$21)),MAX(0.1,1-Assumptions!$B$31*(S45/50)))))-((Archetypes!$C$11*(IF(S45&lt;0,1+Assumptions!$B$32*MIN(1,ABS(S45)/ABS(Assumptions!$B$21)),MAX(0.1,1-Assumptions!$B$31*(S45/50)))))*W45)*Archetypes!$C$15)*(Archetypes!$C$13*IF(S45&lt;0,1-Assumptions!$B$33*MIN(1,ABS(S45)/ABS(Assumptions!$B$21)),1))*5)+(((Archetypes!$C$11*(IF(S45&lt;0,1+Assumptions!$B$32*MIN(1,ABS(S45)/ABS(Assumptions!$B$21)),MAX(0.1,1-Assumptions!$B$31*(S45/50)))))*W45*Archetypes!$C$15*Archetypes!$C$22)*(Archetypes!$C$13*IF(S45&lt;0,1-Assumptions!$B$33*MIN(1,ABS(S45)/ABS(Assumptions!$B$21)),1))*5*Assumptions!$B$18))*IF(S45&lt;0,Assumptions!$B$9,1)))*$E45</f>
        <v>594.94423852635487</v>
      </c>
      <c r="AB45" s="21">
        <f>(AB44)+(AA45)-(MAX(0,((AB44)+(AA45)-(AC45)))*(IF(Archetypes!$C$27="",Assumptions!$B$11,Archetypes!$C$27)))</f>
        <v>10946.564804069263</v>
      </c>
      <c r="AC45" s="21">
        <f>Archetypes!$C$36 + (Assumptions!$B$67*(IF($E45=0,0,V45/$E45))*Assumptions!$B$71*(1+Assumptions!$B$68*(Archetypes!$C$14-1))) + (Assumptions!$B$69*Archetypes!$C$34*(IF($E45=0,0,V45/$E45))*Assumptions!$B$72*POWER(Assumptions!$B$70,Archetypes!$C$18-1))</f>
        <v>9123.2699371999297</v>
      </c>
      <c r="AD45" s="21">
        <f t="shared" si="5"/>
        <v>1823.2948668693334</v>
      </c>
      <c r="AF45" s="21">
        <f t="shared" si="10"/>
        <v>97.481702232509718</v>
      </c>
      <c r="AG45" s="21">
        <f>MAX(Assumptions!$B$21,AF45+AH45)</f>
        <v>98.395026717081151</v>
      </c>
      <c r="AH45" s="21">
        <f>((AL45*(Assumptions!$B$22+((Assumptions!$B$23-Assumptions!$B$22)*IF(AI45&gt;0,AK45/AI45,0)))*(1+Assumptions!$B$60*(Archetypes!$D$13-1)))+IF(AL45&gt;AI45,AI45*Assumptions!$B$24,0)-IF(IF(AI45&gt;0,AM45/AI45,1)&lt;Assumptions!$B$61,((AM45*(Assumptions!$B$27*(1+Assumptions!$B$28*(Archetypes!$D$14-1))/(1+Assumptions!$B$29*(Archetypes!$D$12-1))))+(((AI45*Archetypes!$D$17*IF(AI45&gt;0,AM45/AI45,1)*Archetypes!$D$31)/100)*Assumptions!$B$30))*Assumptions!$B$62,((AM45*(Assumptions!$B$27*(1+Assumptions!$B$28*(Archetypes!$D$14-1))/(1+Assumptions!$B$29*(Archetypes!$D$12-1))))+(((AI45*Archetypes!$D$17*IF(AI45&gt;0,AM45/AI45,1)*Archetypes!$D$31)/100)*Assumptions!$B$30)))-(Assumptions!$B$25*Assumptions!$B$26*E45))*E45</f>
        <v>0.9133244845714289</v>
      </c>
      <c r="AI45" s="21">
        <f>(Archetypes!$D$11*(IF(AF45&lt;0,1+Assumptions!$B$32*MIN(1,ABS(AF45)/ABS(Assumptions!$B$21)),MAX(0.1,1-Assumptions!$B$31*(AF45/50)))))*$E45</f>
        <v>0.30000000000000004</v>
      </c>
      <c r="AJ45" s="26">
        <f>Archetypes!$D$30</f>
        <v>0.10400000000000001</v>
      </c>
      <c r="AK45" s="21">
        <f t="shared" si="6"/>
        <v>3.1200000000000009E-2</v>
      </c>
      <c r="AL45" s="21">
        <f>((AI45-AK45)*Archetypes!$D$15)+(AK45*Archetypes!$D$15*Archetypes!$D$22)</f>
        <v>0.46872000000000008</v>
      </c>
      <c r="AM45" s="21">
        <f>AI45*Archetypes!$D$16</f>
        <v>6.0000000000000012E-2</v>
      </c>
      <c r="AN45" s="21">
        <f>(IF(AF45&lt;0,Assumptions!$B$8,IF(AF45&lt;10,Assumptions!$B$34,IF(AF45&lt;25,Assumptions!$B$35,Assumptions!$B$36))))*((((Archetypes!$D$5*Assumptions!$B$4+Archetypes!$D$6*Assumptions!$B$5)*60))+(Assumptions!$B$6*(((Archetypes!$D$11*(IF(AF45&lt;0,1+Assumptions!$B$32*MIN(1,ABS(AF45)/ABS(Assumptions!$B$21)),MAX(0.1,1-Assumptions!$B$31*(AF45/50)))))-((Archetypes!$D$11*(IF(AF45&lt;0,1+Assumptions!$B$32*MIN(1,ABS(AF45)/ABS(Assumptions!$B$21)),MAX(0.1,1-Assumptions!$B$31*(AF45/50)))))*AJ45)*Archetypes!$D$20)+((Archetypes!$D$11*(IF(AF45&lt;0,1+Assumptions!$B$32*MIN(1,ABS(AF45)/ABS(Assumptions!$B$21)),MAX(0.1,1-Assumptions!$B$31*(AF45/50)))))*AJ45*Archetypes!$D$20*Archetypes!$D$21)*Assumptions!$B$18)*(IF($D45=1,1,Assumptions!$B$7)))+(((((Archetypes!$D$11*(IF(AF45&lt;0,1+Assumptions!$B$32*MIN(1,ABS(AF45)/ABS(Assumptions!$B$21)),MAX(0.1,1-Assumptions!$B$31*(AF45/50)))))-((Archetypes!$D$11*(IF(AF45&lt;0,1+Assumptions!$B$32*MIN(1,ABS(AF45)/ABS(Assumptions!$B$21)),MAX(0.1,1-Assumptions!$B$31*(AF45/50)))))*AJ45)*Archetypes!$D$15)*(Archetypes!$D$13*IF(AF45&lt;0,1-Assumptions!$B$33*MIN(1,ABS(AF45)/ABS(Assumptions!$B$21)),1))*5)+(((Archetypes!$D$11*(IF(AF45&lt;0,1+Assumptions!$B$32*MIN(1,ABS(AF45)/ABS(Assumptions!$B$21)),MAX(0.1,1-Assumptions!$B$31*(AF45/50)))))*AJ45*Archetypes!$D$15*Archetypes!$D$22)*(Archetypes!$D$13*IF(AF45&lt;0,1-Assumptions!$B$33*MIN(1,ABS(AF45)/ABS(Assumptions!$B$21)),1))*5*Assumptions!$B$18))*IF(AF45&lt;0,Assumptions!$B$9,1)))*$E45</f>
        <v>939.63674999999989</v>
      </c>
      <c r="AO45" s="21">
        <f>(AO44)+(AN45)-(MAX(0,((AO44)+(AN45)-(AP45)))*(IF(Archetypes!$D$27="",Assumptions!$B$11,Archetypes!$D$27)))</f>
        <v>22967.391270074659</v>
      </c>
      <c r="AP45" s="21">
        <f>Archetypes!$D$36 + (Assumptions!$B$67*(IF($E45=0,0,AI45/$E45))*Assumptions!$B$71*(1+Assumptions!$B$68*(Archetypes!$D$14-1))) + (Assumptions!$B$69*Archetypes!$D$34*(IF($E45=0,0,AI45/$E45))*Assumptions!$B$72*POWER(Assumptions!$B$70,Archetypes!$D$18-1))</f>
        <v>20774.800648960005</v>
      </c>
      <c r="AQ45" s="21">
        <f t="shared" si="7"/>
        <v>2192.5906211146539</v>
      </c>
    </row>
    <row r="46" spans="1:43" x14ac:dyDescent="0.25">
      <c r="A46" s="20">
        <v>42</v>
      </c>
      <c r="B46" s="20">
        <f t="shared" si="0"/>
        <v>2</v>
      </c>
      <c r="C46" s="20">
        <f t="shared" si="1"/>
        <v>18</v>
      </c>
      <c r="D46" s="6">
        <f>IF(C46&lt;Assumptions!$B$10,1,0)</f>
        <v>0</v>
      </c>
      <c r="E46" s="6">
        <v>1</v>
      </c>
      <c r="F46" s="21">
        <f t="shared" si="8"/>
        <v>-15</v>
      </c>
      <c r="G46" s="21">
        <f>MAX(Assumptions!$B$21,F46+H46)</f>
        <v>-15</v>
      </c>
      <c r="H46" s="21">
        <f>((L46*(Assumptions!$B$22+((Assumptions!$B$23-Assumptions!$B$22)*IF(I46&gt;0,K46/I46,0)))*(1+Assumptions!$B$60*(Archetypes!$B$13-1)))+IF(L46&gt;I46,I46*Assumptions!$B$24,0)-IF(IF(I46&gt;0,M46/I46,1)&lt;Assumptions!$B$61,((M46*(Assumptions!$B$27*(1+Assumptions!$B$28*(Archetypes!$B$14-1))/(1+Assumptions!$B$29*(Archetypes!$B$12-1))))+(((I46*Archetypes!$B$17*IF(I46&gt;0,M46/I46,1)*Archetypes!$B$31)/100)*Assumptions!$B$30))*Assumptions!$B$62,((M46*(Assumptions!$B$27*(1+Assumptions!$B$28*(Archetypes!$B$14-1))/(1+Assumptions!$B$29*(Archetypes!$B$12-1))))+(((I46*Archetypes!$B$17*IF(I46&gt;0,M46/I46,1)*Archetypes!$B$31)/100)*Assumptions!$B$30)))-(Assumptions!$B$25*Assumptions!$B$26*E46))*E46</f>
        <v>-2.8381702909090891</v>
      </c>
      <c r="I46" s="21">
        <f>(Archetypes!$B$11*(IF(F46&lt;0,1+Assumptions!$B$32*MIN(1,ABS(F46)/ABS(Assumptions!$B$21)),MAX(0.1,1-Assumptions!$B$31*(F46/50)))))*$E46</f>
        <v>14</v>
      </c>
      <c r="J46" s="26">
        <f>Archetypes!$B$30</f>
        <v>2.1999999999999999E-2</v>
      </c>
      <c r="K46" s="21">
        <f t="shared" si="2"/>
        <v>0.308</v>
      </c>
      <c r="L46" s="21">
        <f>((I46-K46)*Archetypes!$B$15)+(K46*Archetypes!$B$15*Archetypes!$B$22)</f>
        <v>1.4061600000000003</v>
      </c>
      <c r="M46" s="21">
        <f>I46*Archetypes!$B$16</f>
        <v>10.5</v>
      </c>
      <c r="N46" s="21">
        <f>(IF(F46&lt;0,Assumptions!$B$8,IF(F46&lt;10,Assumptions!$B$34,IF(F46&lt;25,Assumptions!$B$35,Assumptions!$B$36))))*((((Archetypes!$B$5*Assumptions!$B$4+Archetypes!$B$6*Assumptions!$B$5)*60))+(Assumptions!$B$6*(((Archetypes!$B$11*(IF(F46&lt;0,1+Assumptions!$B$32*MIN(1,ABS(F46)/ABS(Assumptions!$B$21)),MAX(0.1,1-Assumptions!$B$31*(F46/50)))))-((Archetypes!$B$11*(IF(F46&lt;0,1+Assumptions!$B$32*MIN(1,ABS(F46)/ABS(Assumptions!$B$21)),MAX(0.1,1-Assumptions!$B$31*(F46/50)))))*J46)*Archetypes!$B$20)+((Archetypes!$B$11*(IF(F46&lt;0,1+Assumptions!$B$32*MIN(1,ABS(F46)/ABS(Assumptions!$B$21)),MAX(0.1,1-Assumptions!$B$31*(F46/50)))))*J46*Archetypes!$B$20*Archetypes!$B$21)*Assumptions!$B$18)*(IF($D46=1,1,Assumptions!$B$7)))+(((((Archetypes!$B$11*(IF(F46&lt;0,1+Assumptions!$B$32*MIN(1,ABS(F46)/ABS(Assumptions!$B$21)),MAX(0.1,1-Assumptions!$B$31*(F46/50)))))-((Archetypes!$B$11*(IF(F46&lt;0,1+Assumptions!$B$32*MIN(1,ABS(F46)/ABS(Assumptions!$B$21)),MAX(0.1,1-Assumptions!$B$31*(F46/50)))))*J46)*Archetypes!$B$15)*(Archetypes!$B$13*IF(F46&lt;0,1-Assumptions!$B$33*MIN(1,ABS(F46)/ABS(Assumptions!$B$21)),1))*5)+(((Archetypes!$B$11*(IF(F46&lt;0,1+Assumptions!$B$32*MIN(1,ABS(F46)/ABS(Assumptions!$B$21)),MAX(0.1,1-Assumptions!$B$31*(F46/50)))))*J46*Archetypes!$B$15*Archetypes!$B$22)*(Archetypes!$B$13*IF(F46&lt;0,1-Assumptions!$B$33*MIN(1,ABS(F46)/ABS(Assumptions!$B$21)),1))*5*Assumptions!$B$18))*IF(F46&lt;0,Assumptions!$B$9,1)))*$E46</f>
        <v>484.478544</v>
      </c>
      <c r="O46" s="21">
        <f>(O45)+(N46)-(MAX(0,((O45)+(N46)-(P46)))*(IF(Archetypes!$B$27="",Assumptions!$B$11,Archetypes!$B$27)))</f>
        <v>4613.4167424047528</v>
      </c>
      <c r="P46" s="21">
        <f>Archetypes!$B$36 + (Assumptions!$B$67*(IF($E46=0,0,I46/$E46))*Assumptions!$B$71*(1+Assumptions!$B$68*(Archetypes!$B$14-1))) + (Assumptions!$B$69*Archetypes!$B$34*(IF($E46=0,0,I46/$E46))*Assumptions!$B$72*POWER(Assumptions!$B$70,Archetypes!$B$18-1))</f>
        <v>2668.56</v>
      </c>
      <c r="Q46" s="21">
        <f t="shared" si="3"/>
        <v>1944.8567424047528</v>
      </c>
      <c r="S46" s="21">
        <f t="shared" si="9"/>
        <v>73.120635387441325</v>
      </c>
      <c r="T46" s="21">
        <f>MAX(Assumptions!$B$21,S46+U46)</f>
        <v>73.519530167339639</v>
      </c>
      <c r="U46" s="21">
        <f>((Y46*(Assumptions!$B$22+((Assumptions!$B$23-Assumptions!$B$22)*IF(V46&gt;0,X46/V46,0)))*(1+Assumptions!$B$60*(Archetypes!$C$13-1)))+IF(Y46&gt;V46,V46*Assumptions!$B$24,0)-IF(IF(V46&gt;0,Z46/V46,1)&lt;Assumptions!$B$61,((Z46*(Assumptions!$B$27*(1+Assumptions!$B$28*(Archetypes!$C$14-1))/(1+Assumptions!$B$29*(Archetypes!$C$12-1))))+(((V46*Archetypes!$C$17*IF(V46&gt;0,Z46/V46,1)*Archetypes!$C$31)/100)*Assumptions!$B$30))*Assumptions!$B$62,((Z46*(Assumptions!$B$27*(1+Assumptions!$B$28*(Archetypes!$C$14-1))/(1+Assumptions!$B$29*(Archetypes!$C$12-1))))+(((V46*Archetypes!$C$17*IF(V46&gt;0,Z46/V46,1)*Archetypes!$C$31)/100)*Assumptions!$B$30)))-(Assumptions!$B$25*Assumptions!$B$26*E46))*E46</f>
        <v>0.39889477989830946</v>
      </c>
      <c r="V46" s="21">
        <f>(Archetypes!$C$11*(IF(S46&lt;0,1+Assumptions!$B$32*MIN(1,ABS(S46)/ABS(Assumptions!$B$21)),MAX(0.1,1-Assumptions!$B$31*(S46/50)))))*$E46</f>
        <v>0.73531425210422507</v>
      </c>
      <c r="W46" s="26">
        <f>Archetypes!$C$30</f>
        <v>3.7999999999999999E-2</v>
      </c>
      <c r="X46" s="21">
        <f t="shared" si="4"/>
        <v>2.7941941579960553E-2</v>
      </c>
      <c r="Y46" s="21">
        <f>((V46-X46)*Archetypes!$C$15)+(X46*Archetypes!$C$15*Archetypes!$C$22)</f>
        <v>0.37184841728910661</v>
      </c>
      <c r="Z46" s="21">
        <f>V46*Archetypes!$C$16</f>
        <v>0.33089141344690132</v>
      </c>
      <c r="AA46" s="21">
        <f>(IF(S46&lt;0,Assumptions!$B$8,IF(S46&lt;10,Assumptions!$B$34,IF(S46&lt;25,Assumptions!$B$35,Assumptions!$B$36))))*((((Archetypes!$C$5*Assumptions!$B$4+Archetypes!$C$6*Assumptions!$B$5)*60))+(Assumptions!$B$6*(((Archetypes!$C$11*(IF(S46&lt;0,1+Assumptions!$B$32*MIN(1,ABS(S46)/ABS(Assumptions!$B$21)),MAX(0.1,1-Assumptions!$B$31*(S46/50)))))-((Archetypes!$C$11*(IF(S46&lt;0,1+Assumptions!$B$32*MIN(1,ABS(S46)/ABS(Assumptions!$B$21)),MAX(0.1,1-Assumptions!$B$31*(S46/50)))))*W46)*Archetypes!$C$20)+((Archetypes!$C$11*(IF(S46&lt;0,1+Assumptions!$B$32*MIN(1,ABS(S46)/ABS(Assumptions!$B$21)),MAX(0.1,1-Assumptions!$B$31*(S46/50)))))*W46*Archetypes!$C$20*Archetypes!$C$21)*Assumptions!$B$18)*(IF($D46=1,1,Assumptions!$B$7)))+(((((Archetypes!$C$11*(IF(S46&lt;0,1+Assumptions!$B$32*MIN(1,ABS(S46)/ABS(Assumptions!$B$21)),MAX(0.1,1-Assumptions!$B$31*(S46/50)))))-((Archetypes!$C$11*(IF(S46&lt;0,1+Assumptions!$B$32*MIN(1,ABS(S46)/ABS(Assumptions!$B$21)),MAX(0.1,1-Assumptions!$B$31*(S46/50)))))*W46)*Archetypes!$C$15)*(Archetypes!$C$13*IF(S46&lt;0,1-Assumptions!$B$33*MIN(1,ABS(S46)/ABS(Assumptions!$B$21)),1))*5)+(((Archetypes!$C$11*(IF(S46&lt;0,1+Assumptions!$B$32*MIN(1,ABS(S46)/ABS(Assumptions!$B$21)),MAX(0.1,1-Assumptions!$B$31*(S46/50)))))*W46*Archetypes!$C$15*Archetypes!$C$22)*(Archetypes!$C$13*IF(S46&lt;0,1-Assumptions!$B$33*MIN(1,ABS(S46)/ABS(Assumptions!$B$21)),1))*5*Assumptions!$B$18))*IF(S46&lt;0,Assumptions!$B$9,1)))*$E46</f>
        <v>592.58781318489127</v>
      </c>
      <c r="AB46" s="21">
        <f>(AB45)+(AA46)-(MAX(0,((AB45)+(AA46)-(AC46)))*(IF(Archetypes!$C$27="",Assumptions!$B$11,Archetypes!$C$27)))</f>
        <v>10934.499033612961</v>
      </c>
      <c r="AC46" s="21">
        <f>Archetypes!$C$36 + (Assumptions!$B$67*(IF($E46=0,0,V46/$E46))*Assumptions!$B$71*(1+Assumptions!$B$68*(Archetypes!$C$14-1))) + (Assumptions!$B$69*Archetypes!$C$34*(IF($E46=0,0,V46/$E46))*Assumptions!$B$72*POWER(Assumptions!$B$70,Archetypes!$C$18-1))</f>
        <v>9120.538282689382</v>
      </c>
      <c r="AD46" s="21">
        <f t="shared" si="5"/>
        <v>1813.9607509235793</v>
      </c>
      <c r="AF46" s="21">
        <f t="shared" si="10"/>
        <v>98.395026717081151</v>
      </c>
      <c r="AG46" s="21">
        <f>MAX(Assumptions!$B$21,AF46+AH46)</f>
        <v>99.308351201652584</v>
      </c>
      <c r="AH46" s="21">
        <f>((AL46*(Assumptions!$B$22+((Assumptions!$B$23-Assumptions!$B$22)*IF(AI46&gt;0,AK46/AI46,0)))*(1+Assumptions!$B$60*(Archetypes!$D$13-1)))+IF(AL46&gt;AI46,AI46*Assumptions!$B$24,0)-IF(IF(AI46&gt;0,AM46/AI46,1)&lt;Assumptions!$B$61,((AM46*(Assumptions!$B$27*(1+Assumptions!$B$28*(Archetypes!$D$14-1))/(1+Assumptions!$B$29*(Archetypes!$D$12-1))))+(((AI46*Archetypes!$D$17*IF(AI46&gt;0,AM46/AI46,1)*Archetypes!$D$31)/100)*Assumptions!$B$30))*Assumptions!$B$62,((AM46*(Assumptions!$B$27*(1+Assumptions!$B$28*(Archetypes!$D$14-1))/(1+Assumptions!$B$29*(Archetypes!$D$12-1))))+(((AI46*Archetypes!$D$17*IF(AI46&gt;0,AM46/AI46,1)*Archetypes!$D$31)/100)*Assumptions!$B$30)))-(Assumptions!$B$25*Assumptions!$B$26*E46))*E46</f>
        <v>0.9133244845714289</v>
      </c>
      <c r="AI46" s="21">
        <f>(Archetypes!$D$11*(IF(AF46&lt;0,1+Assumptions!$B$32*MIN(1,ABS(AF46)/ABS(Assumptions!$B$21)),MAX(0.1,1-Assumptions!$B$31*(AF46/50)))))*$E46</f>
        <v>0.30000000000000004</v>
      </c>
      <c r="AJ46" s="26">
        <f>Archetypes!$D$30</f>
        <v>0.10400000000000001</v>
      </c>
      <c r="AK46" s="21">
        <f t="shared" si="6"/>
        <v>3.1200000000000009E-2</v>
      </c>
      <c r="AL46" s="21">
        <f>((AI46-AK46)*Archetypes!$D$15)+(AK46*Archetypes!$D$15*Archetypes!$D$22)</f>
        <v>0.46872000000000008</v>
      </c>
      <c r="AM46" s="21">
        <f>AI46*Archetypes!$D$16</f>
        <v>6.0000000000000012E-2</v>
      </c>
      <c r="AN46" s="21">
        <f>(IF(AF46&lt;0,Assumptions!$B$8,IF(AF46&lt;10,Assumptions!$B$34,IF(AF46&lt;25,Assumptions!$B$35,Assumptions!$B$36))))*((((Archetypes!$D$5*Assumptions!$B$4+Archetypes!$D$6*Assumptions!$B$5)*60))+(Assumptions!$B$6*(((Archetypes!$D$11*(IF(AF46&lt;0,1+Assumptions!$B$32*MIN(1,ABS(AF46)/ABS(Assumptions!$B$21)),MAX(0.1,1-Assumptions!$B$31*(AF46/50)))))-((Archetypes!$D$11*(IF(AF46&lt;0,1+Assumptions!$B$32*MIN(1,ABS(AF46)/ABS(Assumptions!$B$21)),MAX(0.1,1-Assumptions!$B$31*(AF46/50)))))*AJ46)*Archetypes!$D$20)+((Archetypes!$D$11*(IF(AF46&lt;0,1+Assumptions!$B$32*MIN(1,ABS(AF46)/ABS(Assumptions!$B$21)),MAX(0.1,1-Assumptions!$B$31*(AF46/50)))))*AJ46*Archetypes!$D$20*Archetypes!$D$21)*Assumptions!$B$18)*(IF($D46=1,1,Assumptions!$B$7)))+(((((Archetypes!$D$11*(IF(AF46&lt;0,1+Assumptions!$B$32*MIN(1,ABS(AF46)/ABS(Assumptions!$B$21)),MAX(0.1,1-Assumptions!$B$31*(AF46/50)))))-((Archetypes!$D$11*(IF(AF46&lt;0,1+Assumptions!$B$32*MIN(1,ABS(AF46)/ABS(Assumptions!$B$21)),MAX(0.1,1-Assumptions!$B$31*(AF46/50)))))*AJ46)*Archetypes!$D$15)*(Archetypes!$D$13*IF(AF46&lt;0,1-Assumptions!$B$33*MIN(1,ABS(AF46)/ABS(Assumptions!$B$21)),1))*5)+(((Archetypes!$D$11*(IF(AF46&lt;0,1+Assumptions!$B$32*MIN(1,ABS(AF46)/ABS(Assumptions!$B$21)),MAX(0.1,1-Assumptions!$B$31*(AF46/50)))))*AJ46*Archetypes!$D$15*Archetypes!$D$22)*(Archetypes!$D$13*IF(AF46&lt;0,1-Assumptions!$B$33*MIN(1,ABS(AF46)/ABS(Assumptions!$B$21)),1))*5*Assumptions!$B$18))*IF(AF46&lt;0,Assumptions!$B$9,1)))*$E46</f>
        <v>939.63674999999989</v>
      </c>
      <c r="AO46" s="21">
        <f>(AO45)+(AN46)-(MAX(0,((AO45)+(AN46)-(AP46)))*(IF(Archetypes!$D$27="",Assumptions!$B$11,Archetypes!$D$27)))</f>
        <v>22967.359808740264</v>
      </c>
      <c r="AP46" s="21">
        <f>Archetypes!$D$36 + (Assumptions!$B$67*(IF($E46=0,0,AI46/$E46))*Assumptions!$B$71*(1+Assumptions!$B$68*(Archetypes!$D$14-1))) + (Assumptions!$B$69*Archetypes!$D$34*(IF($E46=0,0,AI46/$E46))*Assumptions!$B$72*POWER(Assumptions!$B$70,Archetypes!$D$18-1))</f>
        <v>20774.800648960005</v>
      </c>
      <c r="AQ46" s="21">
        <f t="shared" si="7"/>
        <v>2192.5591597802595</v>
      </c>
    </row>
    <row r="47" spans="1:43" x14ac:dyDescent="0.25">
      <c r="A47" s="20">
        <v>43</v>
      </c>
      <c r="B47" s="20">
        <f t="shared" si="0"/>
        <v>2</v>
      </c>
      <c r="C47" s="20">
        <f t="shared" si="1"/>
        <v>19</v>
      </c>
      <c r="D47" s="6">
        <f>IF(C47&lt;Assumptions!$B$10,1,0)</f>
        <v>0</v>
      </c>
      <c r="E47" s="6">
        <v>1</v>
      </c>
      <c r="F47" s="21">
        <f t="shared" si="8"/>
        <v>-15</v>
      </c>
      <c r="G47" s="21">
        <f>MAX(Assumptions!$B$21,F47+H47)</f>
        <v>-15</v>
      </c>
      <c r="H47" s="21">
        <f>((L47*(Assumptions!$B$22+((Assumptions!$B$23-Assumptions!$B$22)*IF(I47&gt;0,K47/I47,0)))*(1+Assumptions!$B$60*(Archetypes!$B$13-1)))+IF(L47&gt;I47,I47*Assumptions!$B$24,0)-IF(IF(I47&gt;0,M47/I47,1)&lt;Assumptions!$B$61,((M47*(Assumptions!$B$27*(1+Assumptions!$B$28*(Archetypes!$B$14-1))/(1+Assumptions!$B$29*(Archetypes!$B$12-1))))+(((I47*Archetypes!$B$17*IF(I47&gt;0,M47/I47,1)*Archetypes!$B$31)/100)*Assumptions!$B$30))*Assumptions!$B$62,((M47*(Assumptions!$B$27*(1+Assumptions!$B$28*(Archetypes!$B$14-1))/(1+Assumptions!$B$29*(Archetypes!$B$12-1))))+(((I47*Archetypes!$B$17*IF(I47&gt;0,M47/I47,1)*Archetypes!$B$31)/100)*Assumptions!$B$30)))-(Assumptions!$B$25*Assumptions!$B$26*E47))*E47</f>
        <v>-2.8381702909090891</v>
      </c>
      <c r="I47" s="21">
        <f>(Archetypes!$B$11*(IF(F47&lt;0,1+Assumptions!$B$32*MIN(1,ABS(F47)/ABS(Assumptions!$B$21)),MAX(0.1,1-Assumptions!$B$31*(F47/50)))))*$E47</f>
        <v>14</v>
      </c>
      <c r="J47" s="26">
        <f>Archetypes!$B$30</f>
        <v>2.1999999999999999E-2</v>
      </c>
      <c r="K47" s="21">
        <f t="shared" si="2"/>
        <v>0.308</v>
      </c>
      <c r="L47" s="21">
        <f>((I47-K47)*Archetypes!$B$15)+(K47*Archetypes!$B$15*Archetypes!$B$22)</f>
        <v>1.4061600000000003</v>
      </c>
      <c r="M47" s="21">
        <f>I47*Archetypes!$B$16</f>
        <v>10.5</v>
      </c>
      <c r="N47" s="21">
        <f>(IF(F47&lt;0,Assumptions!$B$8,IF(F47&lt;10,Assumptions!$B$34,IF(F47&lt;25,Assumptions!$B$35,Assumptions!$B$36))))*((((Archetypes!$B$5*Assumptions!$B$4+Archetypes!$B$6*Assumptions!$B$5)*60))+(Assumptions!$B$6*(((Archetypes!$B$11*(IF(F47&lt;0,1+Assumptions!$B$32*MIN(1,ABS(F47)/ABS(Assumptions!$B$21)),MAX(0.1,1-Assumptions!$B$31*(F47/50)))))-((Archetypes!$B$11*(IF(F47&lt;0,1+Assumptions!$B$32*MIN(1,ABS(F47)/ABS(Assumptions!$B$21)),MAX(0.1,1-Assumptions!$B$31*(F47/50)))))*J47)*Archetypes!$B$20)+((Archetypes!$B$11*(IF(F47&lt;0,1+Assumptions!$B$32*MIN(1,ABS(F47)/ABS(Assumptions!$B$21)),MAX(0.1,1-Assumptions!$B$31*(F47/50)))))*J47*Archetypes!$B$20*Archetypes!$B$21)*Assumptions!$B$18)*(IF($D47=1,1,Assumptions!$B$7)))+(((((Archetypes!$B$11*(IF(F47&lt;0,1+Assumptions!$B$32*MIN(1,ABS(F47)/ABS(Assumptions!$B$21)),MAX(0.1,1-Assumptions!$B$31*(F47/50)))))-((Archetypes!$B$11*(IF(F47&lt;0,1+Assumptions!$B$32*MIN(1,ABS(F47)/ABS(Assumptions!$B$21)),MAX(0.1,1-Assumptions!$B$31*(F47/50)))))*J47)*Archetypes!$B$15)*(Archetypes!$B$13*IF(F47&lt;0,1-Assumptions!$B$33*MIN(1,ABS(F47)/ABS(Assumptions!$B$21)),1))*5)+(((Archetypes!$B$11*(IF(F47&lt;0,1+Assumptions!$B$32*MIN(1,ABS(F47)/ABS(Assumptions!$B$21)),MAX(0.1,1-Assumptions!$B$31*(F47/50)))))*J47*Archetypes!$B$15*Archetypes!$B$22)*(Archetypes!$B$13*IF(F47&lt;0,1-Assumptions!$B$33*MIN(1,ABS(F47)/ABS(Assumptions!$B$21)),1))*5*Assumptions!$B$18))*IF(F47&lt;0,Assumptions!$B$9,1)))*$E47</f>
        <v>484.478544</v>
      </c>
      <c r="O47" s="21">
        <f>(O46)+(N47)-(MAX(0,((O46)+(N47)-(P47)))*(IF(Archetypes!$B$27="",Assumptions!$B$11,Archetypes!$B$27)))</f>
        <v>4612.0282291238018</v>
      </c>
      <c r="P47" s="21">
        <f>Archetypes!$B$36 + (Assumptions!$B$67*(IF($E47=0,0,I47/$E47))*Assumptions!$B$71*(1+Assumptions!$B$68*(Archetypes!$B$14-1))) + (Assumptions!$B$69*Archetypes!$B$34*(IF($E47=0,0,I47/$E47))*Assumptions!$B$72*POWER(Assumptions!$B$70,Archetypes!$B$18-1))</f>
        <v>2668.56</v>
      </c>
      <c r="Q47" s="21">
        <f t="shared" si="3"/>
        <v>1943.4682291238018</v>
      </c>
      <c r="S47" s="21">
        <f t="shared" si="9"/>
        <v>73.519530167339639</v>
      </c>
      <c r="T47" s="21">
        <f>MAX(Assumptions!$B$21,S47+U47)</f>
        <v>73.896985826686759</v>
      </c>
      <c r="U47" s="21">
        <f>((Y47*(Assumptions!$B$22+((Assumptions!$B$23-Assumptions!$B$22)*IF(V47&gt;0,X47/V47,0)))*(1+Assumptions!$B$60*(Archetypes!$C$13-1)))+IF(Y47&gt;V47,V47*Assumptions!$B$24,0)-IF(IF(V47&gt;0,Z47/V47,1)&lt;Assumptions!$B$61,((Z47*(Assumptions!$B$27*(1+Assumptions!$B$28*(Archetypes!$C$14-1))/(1+Assumptions!$B$29*(Archetypes!$C$12-1))))+(((V47*Archetypes!$C$17*IF(V47&gt;0,Z47/V47,1)*Archetypes!$C$31)/100)*Assumptions!$B$30))*Assumptions!$B$62,((Z47*(Assumptions!$B$27*(1+Assumptions!$B$28*(Archetypes!$C$14-1))/(1+Assumptions!$B$29*(Archetypes!$C$12-1))))+(((V47*Archetypes!$C$17*IF(V47&gt;0,Z47/V47,1)*Archetypes!$C$31)/100)*Assumptions!$B$30)))-(Assumptions!$B$25*Assumptions!$B$26*E47))*E47</f>
        <v>0.37745565934711911</v>
      </c>
      <c r="V47" s="21">
        <f>(Archetypes!$C$11*(IF(S47&lt;0,1+Assumptions!$B$32*MIN(1,ABS(S47)/ABS(Assumptions!$B$21)),MAX(0.1,1-Assumptions!$B$31*(S47/50)))))*$E47</f>
        <v>0.70659382795154579</v>
      </c>
      <c r="W47" s="26">
        <f>Archetypes!$C$30</f>
        <v>3.7999999999999999E-2</v>
      </c>
      <c r="X47" s="21">
        <f t="shared" si="4"/>
        <v>2.6850565462158738E-2</v>
      </c>
      <c r="Y47" s="21">
        <f>((V47-X47)*Archetypes!$C$15)+(X47*Archetypes!$C$15*Archetypes!$C$22)</f>
        <v>0.35732449879509676</v>
      </c>
      <c r="Z47" s="21">
        <f>V47*Archetypes!$C$16</f>
        <v>0.3179672225781956</v>
      </c>
      <c r="AA47" s="21">
        <f>(IF(S47&lt;0,Assumptions!$B$8,IF(S47&lt;10,Assumptions!$B$34,IF(S47&lt;25,Assumptions!$B$35,Assumptions!$B$36))))*((((Archetypes!$C$5*Assumptions!$B$4+Archetypes!$C$6*Assumptions!$B$5)*60))+(Assumptions!$B$6*(((Archetypes!$C$11*(IF(S47&lt;0,1+Assumptions!$B$32*MIN(1,ABS(S47)/ABS(Assumptions!$B$21)),MAX(0.1,1-Assumptions!$B$31*(S47/50)))))-((Archetypes!$C$11*(IF(S47&lt;0,1+Assumptions!$B$32*MIN(1,ABS(S47)/ABS(Assumptions!$B$21)),MAX(0.1,1-Assumptions!$B$31*(S47/50)))))*W47)*Archetypes!$C$20)+((Archetypes!$C$11*(IF(S47&lt;0,1+Assumptions!$B$32*MIN(1,ABS(S47)/ABS(Assumptions!$B$21)),MAX(0.1,1-Assumptions!$B$31*(S47/50)))))*W47*Archetypes!$C$20*Archetypes!$C$21)*Assumptions!$B$18)*(IF($D47=1,1,Assumptions!$B$7)))+(((((Archetypes!$C$11*(IF(S47&lt;0,1+Assumptions!$B$32*MIN(1,ABS(S47)/ABS(Assumptions!$B$21)),MAX(0.1,1-Assumptions!$B$31*(S47/50)))))-((Archetypes!$C$11*(IF(S47&lt;0,1+Assumptions!$B$32*MIN(1,ABS(S47)/ABS(Assumptions!$B$21)),MAX(0.1,1-Assumptions!$B$31*(S47/50)))))*W47)*Archetypes!$C$15)*(Archetypes!$C$13*IF(S47&lt;0,1-Assumptions!$B$33*MIN(1,ABS(S47)/ABS(Assumptions!$B$21)),1))*5)+(((Archetypes!$C$11*(IF(S47&lt;0,1+Assumptions!$B$32*MIN(1,ABS(S47)/ABS(Assumptions!$B$21)),MAX(0.1,1-Assumptions!$B$31*(S47/50)))))*W47*Archetypes!$C$15*Archetypes!$C$22)*(Archetypes!$C$13*IF(S47&lt;0,1-Assumptions!$B$33*MIN(1,ABS(S47)/ABS(Assumptions!$B$21)),1))*5*Assumptions!$B$18))*IF(S47&lt;0,Assumptions!$B$9,1)))*$E47</f>
        <v>590.35803699882251</v>
      </c>
      <c r="AB47" s="21">
        <f>(AB46)+(AA47)-(MAX(0,((AB46)+(AA47)-(AC47)))*(IF(Archetypes!$C$27="",Assumptions!$B$11,Archetypes!$C$27)))</f>
        <v>10923.131164087748</v>
      </c>
      <c r="AC47" s="21">
        <f>Archetypes!$C$36 + (Assumptions!$B$67*(IF($E47=0,0,V47/$E47))*Assumptions!$B$71*(1+Assumptions!$B$68*(Archetypes!$C$14-1))) + (Assumptions!$B$69*Archetypes!$C$34*(IF($E47=0,0,V47/$E47))*Assumptions!$B$72*POWER(Assumptions!$B$70,Archetypes!$C$18-1))</f>
        <v>9117.9534445156405</v>
      </c>
      <c r="AD47" s="21">
        <f t="shared" si="5"/>
        <v>1805.1777195721079</v>
      </c>
      <c r="AF47" s="21">
        <f t="shared" si="10"/>
        <v>99.308351201652584</v>
      </c>
      <c r="AG47" s="21">
        <f>MAX(Assumptions!$B$21,AF47+AH47)</f>
        <v>100.22167568622402</v>
      </c>
      <c r="AH47" s="21">
        <f>((AL47*(Assumptions!$B$22+((Assumptions!$B$23-Assumptions!$B$22)*IF(AI47&gt;0,AK47/AI47,0)))*(1+Assumptions!$B$60*(Archetypes!$D$13-1)))+IF(AL47&gt;AI47,AI47*Assumptions!$B$24,0)-IF(IF(AI47&gt;0,AM47/AI47,1)&lt;Assumptions!$B$61,((AM47*(Assumptions!$B$27*(1+Assumptions!$B$28*(Archetypes!$D$14-1))/(1+Assumptions!$B$29*(Archetypes!$D$12-1))))+(((AI47*Archetypes!$D$17*IF(AI47&gt;0,AM47/AI47,1)*Archetypes!$D$31)/100)*Assumptions!$B$30))*Assumptions!$B$62,((AM47*(Assumptions!$B$27*(1+Assumptions!$B$28*(Archetypes!$D$14-1))/(1+Assumptions!$B$29*(Archetypes!$D$12-1))))+(((AI47*Archetypes!$D$17*IF(AI47&gt;0,AM47/AI47,1)*Archetypes!$D$31)/100)*Assumptions!$B$30)))-(Assumptions!$B$25*Assumptions!$B$26*E47))*E47</f>
        <v>0.9133244845714289</v>
      </c>
      <c r="AI47" s="21">
        <f>(Archetypes!$D$11*(IF(AF47&lt;0,1+Assumptions!$B$32*MIN(1,ABS(AF47)/ABS(Assumptions!$B$21)),MAX(0.1,1-Assumptions!$B$31*(AF47/50)))))*$E47</f>
        <v>0.30000000000000004</v>
      </c>
      <c r="AJ47" s="26">
        <f>Archetypes!$D$30</f>
        <v>0.10400000000000001</v>
      </c>
      <c r="AK47" s="21">
        <f t="shared" si="6"/>
        <v>3.1200000000000009E-2</v>
      </c>
      <c r="AL47" s="21">
        <f>((AI47-AK47)*Archetypes!$D$15)+(AK47*Archetypes!$D$15*Archetypes!$D$22)</f>
        <v>0.46872000000000008</v>
      </c>
      <c r="AM47" s="21">
        <f>AI47*Archetypes!$D$16</f>
        <v>6.0000000000000012E-2</v>
      </c>
      <c r="AN47" s="21">
        <f>(IF(AF47&lt;0,Assumptions!$B$8,IF(AF47&lt;10,Assumptions!$B$34,IF(AF47&lt;25,Assumptions!$B$35,Assumptions!$B$36))))*((((Archetypes!$D$5*Assumptions!$B$4+Archetypes!$D$6*Assumptions!$B$5)*60))+(Assumptions!$B$6*(((Archetypes!$D$11*(IF(AF47&lt;0,1+Assumptions!$B$32*MIN(1,ABS(AF47)/ABS(Assumptions!$B$21)),MAX(0.1,1-Assumptions!$B$31*(AF47/50)))))-((Archetypes!$D$11*(IF(AF47&lt;0,1+Assumptions!$B$32*MIN(1,ABS(AF47)/ABS(Assumptions!$B$21)),MAX(0.1,1-Assumptions!$B$31*(AF47/50)))))*AJ47)*Archetypes!$D$20)+((Archetypes!$D$11*(IF(AF47&lt;0,1+Assumptions!$B$32*MIN(1,ABS(AF47)/ABS(Assumptions!$B$21)),MAX(0.1,1-Assumptions!$B$31*(AF47/50)))))*AJ47*Archetypes!$D$20*Archetypes!$D$21)*Assumptions!$B$18)*(IF($D47=1,1,Assumptions!$B$7)))+(((((Archetypes!$D$11*(IF(AF47&lt;0,1+Assumptions!$B$32*MIN(1,ABS(AF47)/ABS(Assumptions!$B$21)),MAX(0.1,1-Assumptions!$B$31*(AF47/50)))))-((Archetypes!$D$11*(IF(AF47&lt;0,1+Assumptions!$B$32*MIN(1,ABS(AF47)/ABS(Assumptions!$B$21)),MAX(0.1,1-Assumptions!$B$31*(AF47/50)))))*AJ47)*Archetypes!$D$15)*(Archetypes!$D$13*IF(AF47&lt;0,1-Assumptions!$B$33*MIN(1,ABS(AF47)/ABS(Assumptions!$B$21)),1))*5)+(((Archetypes!$D$11*(IF(AF47&lt;0,1+Assumptions!$B$32*MIN(1,ABS(AF47)/ABS(Assumptions!$B$21)),MAX(0.1,1-Assumptions!$B$31*(AF47/50)))))*AJ47*Archetypes!$D$15*Archetypes!$D$22)*(Archetypes!$D$13*IF(AF47&lt;0,1-Assumptions!$B$33*MIN(1,ABS(AF47)/ABS(Assumptions!$B$21)),1))*5*Assumptions!$B$18))*IF(AF47&lt;0,Assumptions!$B$9,1)))*$E47</f>
        <v>939.63674999999989</v>
      </c>
      <c r="AO47" s="21">
        <f>(AO46)+(AN47)-(MAX(0,((AO46)+(AN47)-(AP47)))*(IF(Archetypes!$D$27="",Assumptions!$B$11,Archetypes!$D$27)))</f>
        <v>22967.337785806187</v>
      </c>
      <c r="AP47" s="21">
        <f>Archetypes!$D$36 + (Assumptions!$B$67*(IF($E47=0,0,AI47/$E47))*Assumptions!$B$71*(1+Assumptions!$B$68*(Archetypes!$D$14-1))) + (Assumptions!$B$69*Archetypes!$D$34*(IF($E47=0,0,AI47/$E47))*Assumptions!$B$72*POWER(Assumptions!$B$70,Archetypes!$D$18-1))</f>
        <v>20774.800648960005</v>
      </c>
      <c r="AQ47" s="21">
        <f t="shared" si="7"/>
        <v>2192.537136846182</v>
      </c>
    </row>
    <row r="48" spans="1:43" x14ac:dyDescent="0.25">
      <c r="A48" s="20">
        <v>44</v>
      </c>
      <c r="B48" s="20">
        <f t="shared" si="0"/>
        <v>2</v>
      </c>
      <c r="C48" s="20">
        <f t="shared" si="1"/>
        <v>20</v>
      </c>
      <c r="D48" s="6">
        <f>IF(C48&lt;Assumptions!$B$10,1,0)</f>
        <v>0</v>
      </c>
      <c r="E48" s="6">
        <v>1</v>
      </c>
      <c r="F48" s="21">
        <f t="shared" si="8"/>
        <v>-15</v>
      </c>
      <c r="G48" s="21">
        <f>MAX(Assumptions!$B$21,F48+H48)</f>
        <v>-15</v>
      </c>
      <c r="H48" s="21">
        <f>((L48*(Assumptions!$B$22+((Assumptions!$B$23-Assumptions!$B$22)*IF(I48&gt;0,K48/I48,0)))*(1+Assumptions!$B$60*(Archetypes!$B$13-1)))+IF(L48&gt;I48,I48*Assumptions!$B$24,0)-IF(IF(I48&gt;0,M48/I48,1)&lt;Assumptions!$B$61,((M48*(Assumptions!$B$27*(1+Assumptions!$B$28*(Archetypes!$B$14-1))/(1+Assumptions!$B$29*(Archetypes!$B$12-1))))+(((I48*Archetypes!$B$17*IF(I48&gt;0,M48/I48,1)*Archetypes!$B$31)/100)*Assumptions!$B$30))*Assumptions!$B$62,((M48*(Assumptions!$B$27*(1+Assumptions!$B$28*(Archetypes!$B$14-1))/(1+Assumptions!$B$29*(Archetypes!$B$12-1))))+(((I48*Archetypes!$B$17*IF(I48&gt;0,M48/I48,1)*Archetypes!$B$31)/100)*Assumptions!$B$30)))-(Assumptions!$B$25*Assumptions!$B$26*E48))*E48</f>
        <v>-2.8381702909090891</v>
      </c>
      <c r="I48" s="21">
        <f>(Archetypes!$B$11*(IF(F48&lt;0,1+Assumptions!$B$32*MIN(1,ABS(F48)/ABS(Assumptions!$B$21)),MAX(0.1,1-Assumptions!$B$31*(F48/50)))))*$E48</f>
        <v>14</v>
      </c>
      <c r="J48" s="26">
        <f>Archetypes!$B$30</f>
        <v>2.1999999999999999E-2</v>
      </c>
      <c r="K48" s="21">
        <f t="shared" si="2"/>
        <v>0.308</v>
      </c>
      <c r="L48" s="21">
        <f>((I48-K48)*Archetypes!$B$15)+(K48*Archetypes!$B$15*Archetypes!$B$22)</f>
        <v>1.4061600000000003</v>
      </c>
      <c r="M48" s="21">
        <f>I48*Archetypes!$B$16</f>
        <v>10.5</v>
      </c>
      <c r="N48" s="21">
        <f>(IF(F48&lt;0,Assumptions!$B$8,IF(F48&lt;10,Assumptions!$B$34,IF(F48&lt;25,Assumptions!$B$35,Assumptions!$B$36))))*((((Archetypes!$B$5*Assumptions!$B$4+Archetypes!$B$6*Assumptions!$B$5)*60))+(Assumptions!$B$6*(((Archetypes!$B$11*(IF(F48&lt;0,1+Assumptions!$B$32*MIN(1,ABS(F48)/ABS(Assumptions!$B$21)),MAX(0.1,1-Assumptions!$B$31*(F48/50)))))-((Archetypes!$B$11*(IF(F48&lt;0,1+Assumptions!$B$32*MIN(1,ABS(F48)/ABS(Assumptions!$B$21)),MAX(0.1,1-Assumptions!$B$31*(F48/50)))))*J48)*Archetypes!$B$20)+((Archetypes!$B$11*(IF(F48&lt;0,1+Assumptions!$B$32*MIN(1,ABS(F48)/ABS(Assumptions!$B$21)),MAX(0.1,1-Assumptions!$B$31*(F48/50)))))*J48*Archetypes!$B$20*Archetypes!$B$21)*Assumptions!$B$18)*(IF($D48=1,1,Assumptions!$B$7)))+(((((Archetypes!$B$11*(IF(F48&lt;0,1+Assumptions!$B$32*MIN(1,ABS(F48)/ABS(Assumptions!$B$21)),MAX(0.1,1-Assumptions!$B$31*(F48/50)))))-((Archetypes!$B$11*(IF(F48&lt;0,1+Assumptions!$B$32*MIN(1,ABS(F48)/ABS(Assumptions!$B$21)),MAX(0.1,1-Assumptions!$B$31*(F48/50)))))*J48)*Archetypes!$B$15)*(Archetypes!$B$13*IF(F48&lt;0,1-Assumptions!$B$33*MIN(1,ABS(F48)/ABS(Assumptions!$B$21)),1))*5)+(((Archetypes!$B$11*(IF(F48&lt;0,1+Assumptions!$B$32*MIN(1,ABS(F48)/ABS(Assumptions!$B$21)),MAX(0.1,1-Assumptions!$B$31*(F48/50)))))*J48*Archetypes!$B$15*Archetypes!$B$22)*(Archetypes!$B$13*IF(F48&lt;0,1-Assumptions!$B$33*MIN(1,ABS(F48)/ABS(Assumptions!$B$21)),1))*5*Assumptions!$B$18))*IF(F48&lt;0,Assumptions!$B$9,1)))*$E48</f>
        <v>484.478544</v>
      </c>
      <c r="O48" s="21">
        <f>(O47)+(N48)-(MAX(0,((O47)+(N48)-(P48)))*(IF(Archetypes!$B$27="",Assumptions!$B$11,Archetypes!$B$27)))</f>
        <v>4610.9174184990407</v>
      </c>
      <c r="P48" s="21">
        <f>Archetypes!$B$36 + (Assumptions!$B$67*(IF($E48=0,0,I48/$E48))*Assumptions!$B$71*(1+Assumptions!$B$68*(Archetypes!$B$14-1))) + (Assumptions!$B$69*Archetypes!$B$34*(IF($E48=0,0,I48/$E48))*Assumptions!$B$72*POWER(Assumptions!$B$70,Archetypes!$B$18-1))</f>
        <v>2668.56</v>
      </c>
      <c r="Q48" s="21">
        <f t="shared" si="3"/>
        <v>1942.3574184990407</v>
      </c>
      <c r="S48" s="21">
        <f t="shared" si="9"/>
        <v>73.896985826686759</v>
      </c>
      <c r="T48" s="21">
        <f>MAX(Assumptions!$B$21,S48+U48)</f>
        <v>74.254154638997335</v>
      </c>
      <c r="U48" s="21">
        <f>((Y48*(Assumptions!$B$22+((Assumptions!$B$23-Assumptions!$B$22)*IF(V48&gt;0,X48/V48,0)))*(1+Assumptions!$B$60*(Archetypes!$C$13-1)))+IF(Y48&gt;V48,V48*Assumptions!$B$24,0)-IF(IF(V48&gt;0,Z48/V48,1)&lt;Assumptions!$B$61,((Z48*(Assumptions!$B$27*(1+Assumptions!$B$28*(Archetypes!$C$14-1))/(1+Assumptions!$B$29*(Archetypes!$C$12-1))))+(((V48*Archetypes!$C$17*IF(V48&gt;0,Z48/V48,1)*Archetypes!$C$31)/100)*Assumptions!$B$30))*Assumptions!$B$62,((Z48*(Assumptions!$B$27*(1+Assumptions!$B$28*(Archetypes!$C$14-1))/(1+Assumptions!$B$29*(Archetypes!$C$12-1))))+(((V48*Archetypes!$C$17*IF(V48&gt;0,Z48/V48,1)*Archetypes!$C$31)/100)*Assumptions!$B$30)))-(Assumptions!$B$25*Assumptions!$B$26*E48))*E48</f>
        <v>0.3571688123105784</v>
      </c>
      <c r="V48" s="21">
        <f>(Archetypes!$C$11*(IF(S48&lt;0,1+Assumptions!$B$32*MIN(1,ABS(S48)/ABS(Assumptions!$B$21)),MAX(0.1,1-Assumptions!$B$31*(S48/50)))))*$E48</f>
        <v>0.67941702047855368</v>
      </c>
      <c r="W48" s="26">
        <f>Archetypes!$C$30</f>
        <v>3.7999999999999999E-2</v>
      </c>
      <c r="X48" s="21">
        <f t="shared" si="4"/>
        <v>2.5817846778185039E-2</v>
      </c>
      <c r="Y48" s="21">
        <f>((V48-X48)*Archetypes!$C$15)+(X48*Archetypes!$C$15*Archetypes!$C$22)</f>
        <v>0.34358118725600462</v>
      </c>
      <c r="Z48" s="21">
        <f>V48*Archetypes!$C$16</f>
        <v>0.30573765921534918</v>
      </c>
      <c r="AA48" s="21">
        <f>(IF(S48&lt;0,Assumptions!$B$8,IF(S48&lt;10,Assumptions!$B$34,IF(S48&lt;25,Assumptions!$B$35,Assumptions!$B$36))))*((((Archetypes!$C$5*Assumptions!$B$4+Archetypes!$C$6*Assumptions!$B$5)*60))+(Assumptions!$B$6*(((Archetypes!$C$11*(IF(S48&lt;0,1+Assumptions!$B$32*MIN(1,ABS(S48)/ABS(Assumptions!$B$21)),MAX(0.1,1-Assumptions!$B$31*(S48/50)))))-((Archetypes!$C$11*(IF(S48&lt;0,1+Assumptions!$B$32*MIN(1,ABS(S48)/ABS(Assumptions!$B$21)),MAX(0.1,1-Assumptions!$B$31*(S48/50)))))*W48)*Archetypes!$C$20)+((Archetypes!$C$11*(IF(S48&lt;0,1+Assumptions!$B$32*MIN(1,ABS(S48)/ABS(Assumptions!$B$21)),MAX(0.1,1-Assumptions!$B$31*(S48/50)))))*W48*Archetypes!$C$20*Archetypes!$C$21)*Assumptions!$B$18)*(IF($D48=1,1,Assumptions!$B$7)))+(((((Archetypes!$C$11*(IF(S48&lt;0,1+Assumptions!$B$32*MIN(1,ABS(S48)/ABS(Assumptions!$B$21)),MAX(0.1,1-Assumptions!$B$31*(S48/50)))))-((Archetypes!$C$11*(IF(S48&lt;0,1+Assumptions!$B$32*MIN(1,ABS(S48)/ABS(Assumptions!$B$21)),MAX(0.1,1-Assumptions!$B$31*(S48/50)))))*W48)*Archetypes!$C$15)*(Archetypes!$C$13*IF(S48&lt;0,1-Assumptions!$B$33*MIN(1,ABS(S48)/ABS(Assumptions!$B$21)),1))*5)+(((Archetypes!$C$11*(IF(S48&lt;0,1+Assumptions!$B$32*MIN(1,ABS(S48)/ABS(Assumptions!$B$21)),MAX(0.1,1-Assumptions!$B$31*(S48/50)))))*W48*Archetypes!$C$15*Archetypes!$C$22)*(Archetypes!$C$13*IF(S48&lt;0,1-Assumptions!$B$33*MIN(1,ABS(S48)/ABS(Assumptions!$B$21)),1))*5*Assumptions!$B$18))*IF(S48&lt;0,Assumptions!$B$9,1)))*$E48</f>
        <v>588.24810304399955</v>
      </c>
      <c r="AB48" s="21">
        <f>(AB47)+(AA48)-(MAX(0,((AB47)+(AA48)-(AC48)))*(IF(Archetypes!$C$27="",Assumptions!$B$11,Archetypes!$C$27)))</f>
        <v>10912.411333309579</v>
      </c>
      <c r="AC48" s="21">
        <f>Archetypes!$C$36 + (Assumptions!$B$67*(IF($E48=0,0,V48/$E48))*Assumptions!$B$71*(1+Assumptions!$B$68*(Archetypes!$C$14-1))) + (Assumptions!$B$69*Archetypes!$C$34*(IF($E48=0,0,V48/$E48))*Assumptions!$B$72*POWER(Assumptions!$B$70,Archetypes!$C$18-1))</f>
        <v>9115.5075318430718</v>
      </c>
      <c r="AD48" s="21">
        <f t="shared" si="5"/>
        <v>1796.9038014665075</v>
      </c>
      <c r="AF48" s="21">
        <f t="shared" si="10"/>
        <v>100.22167568622402</v>
      </c>
      <c r="AG48" s="21">
        <f>MAX(Assumptions!$B$21,AF48+AH48)</f>
        <v>101.13500017079545</v>
      </c>
      <c r="AH48" s="21">
        <f>((AL48*(Assumptions!$B$22+((Assumptions!$B$23-Assumptions!$B$22)*IF(AI48&gt;0,AK48/AI48,0)))*(1+Assumptions!$B$60*(Archetypes!$D$13-1)))+IF(AL48&gt;AI48,AI48*Assumptions!$B$24,0)-IF(IF(AI48&gt;0,AM48/AI48,1)&lt;Assumptions!$B$61,((AM48*(Assumptions!$B$27*(1+Assumptions!$B$28*(Archetypes!$D$14-1))/(1+Assumptions!$B$29*(Archetypes!$D$12-1))))+(((AI48*Archetypes!$D$17*IF(AI48&gt;0,AM48/AI48,1)*Archetypes!$D$31)/100)*Assumptions!$B$30))*Assumptions!$B$62,((AM48*(Assumptions!$B$27*(1+Assumptions!$B$28*(Archetypes!$D$14-1))/(1+Assumptions!$B$29*(Archetypes!$D$12-1))))+(((AI48*Archetypes!$D$17*IF(AI48&gt;0,AM48/AI48,1)*Archetypes!$D$31)/100)*Assumptions!$B$30)))-(Assumptions!$B$25*Assumptions!$B$26*E48))*E48</f>
        <v>0.9133244845714289</v>
      </c>
      <c r="AI48" s="21">
        <f>(Archetypes!$D$11*(IF(AF48&lt;0,1+Assumptions!$B$32*MIN(1,ABS(AF48)/ABS(Assumptions!$B$21)),MAX(0.1,1-Assumptions!$B$31*(AF48/50)))))*$E48</f>
        <v>0.30000000000000004</v>
      </c>
      <c r="AJ48" s="26">
        <f>Archetypes!$D$30</f>
        <v>0.10400000000000001</v>
      </c>
      <c r="AK48" s="21">
        <f t="shared" si="6"/>
        <v>3.1200000000000009E-2</v>
      </c>
      <c r="AL48" s="21">
        <f>((AI48-AK48)*Archetypes!$D$15)+(AK48*Archetypes!$D$15*Archetypes!$D$22)</f>
        <v>0.46872000000000008</v>
      </c>
      <c r="AM48" s="21">
        <f>AI48*Archetypes!$D$16</f>
        <v>6.0000000000000012E-2</v>
      </c>
      <c r="AN48" s="21">
        <f>(IF(AF48&lt;0,Assumptions!$B$8,IF(AF48&lt;10,Assumptions!$B$34,IF(AF48&lt;25,Assumptions!$B$35,Assumptions!$B$36))))*((((Archetypes!$D$5*Assumptions!$B$4+Archetypes!$D$6*Assumptions!$B$5)*60))+(Assumptions!$B$6*(((Archetypes!$D$11*(IF(AF48&lt;0,1+Assumptions!$B$32*MIN(1,ABS(AF48)/ABS(Assumptions!$B$21)),MAX(0.1,1-Assumptions!$B$31*(AF48/50)))))-((Archetypes!$D$11*(IF(AF48&lt;0,1+Assumptions!$B$32*MIN(1,ABS(AF48)/ABS(Assumptions!$B$21)),MAX(0.1,1-Assumptions!$B$31*(AF48/50)))))*AJ48)*Archetypes!$D$20)+((Archetypes!$D$11*(IF(AF48&lt;0,1+Assumptions!$B$32*MIN(1,ABS(AF48)/ABS(Assumptions!$B$21)),MAX(0.1,1-Assumptions!$B$31*(AF48/50)))))*AJ48*Archetypes!$D$20*Archetypes!$D$21)*Assumptions!$B$18)*(IF($D48=1,1,Assumptions!$B$7)))+(((((Archetypes!$D$11*(IF(AF48&lt;0,1+Assumptions!$B$32*MIN(1,ABS(AF48)/ABS(Assumptions!$B$21)),MAX(0.1,1-Assumptions!$B$31*(AF48/50)))))-((Archetypes!$D$11*(IF(AF48&lt;0,1+Assumptions!$B$32*MIN(1,ABS(AF48)/ABS(Assumptions!$B$21)),MAX(0.1,1-Assumptions!$B$31*(AF48/50)))))*AJ48)*Archetypes!$D$15)*(Archetypes!$D$13*IF(AF48&lt;0,1-Assumptions!$B$33*MIN(1,ABS(AF48)/ABS(Assumptions!$B$21)),1))*5)+(((Archetypes!$D$11*(IF(AF48&lt;0,1+Assumptions!$B$32*MIN(1,ABS(AF48)/ABS(Assumptions!$B$21)),MAX(0.1,1-Assumptions!$B$31*(AF48/50)))))*AJ48*Archetypes!$D$15*Archetypes!$D$22)*(Archetypes!$D$13*IF(AF48&lt;0,1-Assumptions!$B$33*MIN(1,ABS(AF48)/ABS(Assumptions!$B$21)),1))*5*Assumptions!$B$18))*IF(AF48&lt;0,Assumptions!$B$9,1)))*$E48</f>
        <v>939.63674999999989</v>
      </c>
      <c r="AO48" s="21">
        <f>(AO47)+(AN48)-(MAX(0,((AO47)+(AN48)-(AP48)))*(IF(Archetypes!$D$27="",Assumptions!$B$11,Archetypes!$D$27)))</f>
        <v>22967.322369752332</v>
      </c>
      <c r="AP48" s="21">
        <f>Archetypes!$D$36 + (Assumptions!$B$67*(IF($E48=0,0,AI48/$E48))*Assumptions!$B$71*(1+Assumptions!$B$68*(Archetypes!$D$14-1))) + (Assumptions!$B$69*Archetypes!$D$34*(IF($E48=0,0,AI48/$E48))*Assumptions!$B$72*POWER(Assumptions!$B$70,Archetypes!$D$18-1))</f>
        <v>20774.800648960005</v>
      </c>
      <c r="AQ48" s="21">
        <f t="shared" si="7"/>
        <v>2192.521720792327</v>
      </c>
    </row>
    <row r="49" spans="1:43" x14ac:dyDescent="0.25">
      <c r="A49" s="20">
        <v>45</v>
      </c>
      <c r="B49" s="20">
        <f t="shared" si="0"/>
        <v>2</v>
      </c>
      <c r="C49" s="20">
        <f t="shared" si="1"/>
        <v>21</v>
      </c>
      <c r="D49" s="6">
        <f>IF(C49&lt;Assumptions!$B$10,1,0)</f>
        <v>0</v>
      </c>
      <c r="E49" s="6">
        <v>1</v>
      </c>
      <c r="F49" s="21">
        <f t="shared" si="8"/>
        <v>-15</v>
      </c>
      <c r="G49" s="21">
        <f>MAX(Assumptions!$B$21,F49+H49)</f>
        <v>-15</v>
      </c>
      <c r="H49" s="21">
        <f>((L49*(Assumptions!$B$22+((Assumptions!$B$23-Assumptions!$B$22)*IF(I49&gt;0,K49/I49,0)))*(1+Assumptions!$B$60*(Archetypes!$B$13-1)))+IF(L49&gt;I49,I49*Assumptions!$B$24,0)-IF(IF(I49&gt;0,M49/I49,1)&lt;Assumptions!$B$61,((M49*(Assumptions!$B$27*(1+Assumptions!$B$28*(Archetypes!$B$14-1))/(1+Assumptions!$B$29*(Archetypes!$B$12-1))))+(((I49*Archetypes!$B$17*IF(I49&gt;0,M49/I49,1)*Archetypes!$B$31)/100)*Assumptions!$B$30))*Assumptions!$B$62,((M49*(Assumptions!$B$27*(1+Assumptions!$B$28*(Archetypes!$B$14-1))/(1+Assumptions!$B$29*(Archetypes!$B$12-1))))+(((I49*Archetypes!$B$17*IF(I49&gt;0,M49/I49,1)*Archetypes!$B$31)/100)*Assumptions!$B$30)))-(Assumptions!$B$25*Assumptions!$B$26*E49))*E49</f>
        <v>-2.8381702909090891</v>
      </c>
      <c r="I49" s="21">
        <f>(Archetypes!$B$11*(IF(F49&lt;0,1+Assumptions!$B$32*MIN(1,ABS(F49)/ABS(Assumptions!$B$21)),MAX(0.1,1-Assumptions!$B$31*(F49/50)))))*$E49</f>
        <v>14</v>
      </c>
      <c r="J49" s="26">
        <f>Archetypes!$B$30</f>
        <v>2.1999999999999999E-2</v>
      </c>
      <c r="K49" s="21">
        <f t="shared" si="2"/>
        <v>0.308</v>
      </c>
      <c r="L49" s="21">
        <f>((I49-K49)*Archetypes!$B$15)+(K49*Archetypes!$B$15*Archetypes!$B$22)</f>
        <v>1.4061600000000003</v>
      </c>
      <c r="M49" s="21">
        <f>I49*Archetypes!$B$16</f>
        <v>10.5</v>
      </c>
      <c r="N49" s="21">
        <f>(IF(F49&lt;0,Assumptions!$B$8,IF(F49&lt;10,Assumptions!$B$34,IF(F49&lt;25,Assumptions!$B$35,Assumptions!$B$36))))*((((Archetypes!$B$5*Assumptions!$B$4+Archetypes!$B$6*Assumptions!$B$5)*60))+(Assumptions!$B$6*(((Archetypes!$B$11*(IF(F49&lt;0,1+Assumptions!$B$32*MIN(1,ABS(F49)/ABS(Assumptions!$B$21)),MAX(0.1,1-Assumptions!$B$31*(F49/50)))))-((Archetypes!$B$11*(IF(F49&lt;0,1+Assumptions!$B$32*MIN(1,ABS(F49)/ABS(Assumptions!$B$21)),MAX(0.1,1-Assumptions!$B$31*(F49/50)))))*J49)*Archetypes!$B$20)+((Archetypes!$B$11*(IF(F49&lt;0,1+Assumptions!$B$32*MIN(1,ABS(F49)/ABS(Assumptions!$B$21)),MAX(0.1,1-Assumptions!$B$31*(F49/50)))))*J49*Archetypes!$B$20*Archetypes!$B$21)*Assumptions!$B$18)*(IF($D49=1,1,Assumptions!$B$7)))+(((((Archetypes!$B$11*(IF(F49&lt;0,1+Assumptions!$B$32*MIN(1,ABS(F49)/ABS(Assumptions!$B$21)),MAX(0.1,1-Assumptions!$B$31*(F49/50)))))-((Archetypes!$B$11*(IF(F49&lt;0,1+Assumptions!$B$32*MIN(1,ABS(F49)/ABS(Assumptions!$B$21)),MAX(0.1,1-Assumptions!$B$31*(F49/50)))))*J49)*Archetypes!$B$15)*(Archetypes!$B$13*IF(F49&lt;0,1-Assumptions!$B$33*MIN(1,ABS(F49)/ABS(Assumptions!$B$21)),1))*5)+(((Archetypes!$B$11*(IF(F49&lt;0,1+Assumptions!$B$32*MIN(1,ABS(F49)/ABS(Assumptions!$B$21)),MAX(0.1,1-Assumptions!$B$31*(F49/50)))))*J49*Archetypes!$B$15*Archetypes!$B$22)*(Archetypes!$B$13*IF(F49&lt;0,1-Assumptions!$B$33*MIN(1,ABS(F49)/ABS(Assumptions!$B$21)),1))*5*Assumptions!$B$18))*IF(F49&lt;0,Assumptions!$B$9,1)))*$E49</f>
        <v>484.478544</v>
      </c>
      <c r="O49" s="21">
        <f>(O48)+(N49)-(MAX(0,((O48)+(N49)-(P49)))*(IF(Archetypes!$B$27="",Assumptions!$B$11,Archetypes!$B$27)))</f>
        <v>4610.0287699992323</v>
      </c>
      <c r="P49" s="21">
        <f>Archetypes!$B$36 + (Assumptions!$B$67*(IF($E49=0,0,I49/$E49))*Assumptions!$B$71*(1+Assumptions!$B$68*(Archetypes!$B$14-1))) + (Assumptions!$B$69*Archetypes!$B$34*(IF($E49=0,0,I49/$E49))*Assumptions!$B$72*POWER(Assumptions!$B$70,Archetypes!$B$18-1))</f>
        <v>2668.56</v>
      </c>
      <c r="Q49" s="21">
        <f t="shared" si="3"/>
        <v>1941.4687699992323</v>
      </c>
      <c r="S49" s="21">
        <f t="shared" si="9"/>
        <v>74.254154638997335</v>
      </c>
      <c r="T49" s="21">
        <f>MAX(Assumptions!$B$21,S49+U49)</f>
        <v>74.592126947342123</v>
      </c>
      <c r="U49" s="21">
        <f>((Y49*(Assumptions!$B$22+((Assumptions!$B$23-Assumptions!$B$22)*IF(V49&gt;0,X49/V49,0)))*(1+Assumptions!$B$60*(Archetypes!$C$13-1)))+IF(Y49&gt;V49,V49*Assumptions!$B$24,0)-IF(IF(V49&gt;0,Z49/V49,1)&lt;Assumptions!$B$61,((Z49*(Assumptions!$B$27*(1+Assumptions!$B$28*(Archetypes!$C$14-1))/(1+Assumptions!$B$29*(Archetypes!$C$12-1))))+(((V49*Archetypes!$C$17*IF(V49&gt;0,Z49/V49,1)*Archetypes!$C$31)/100)*Assumptions!$B$30))*Assumptions!$B$62,((Z49*(Assumptions!$B$27*(1+Assumptions!$B$28*(Archetypes!$C$14-1))/(1+Assumptions!$B$29*(Archetypes!$C$12-1))))+(((V49*Archetypes!$C$17*IF(V49&gt;0,Z49/V49,1)*Archetypes!$C$31)/100)*Assumptions!$B$30)))-(Assumptions!$B$25*Assumptions!$B$26*E49))*E49</f>
        <v>0.33797230834478587</v>
      </c>
      <c r="V49" s="21">
        <f>(Archetypes!$C$11*(IF(S49&lt;0,1+Assumptions!$B$32*MIN(1,ABS(S49)/ABS(Assumptions!$B$21)),MAX(0.1,1-Assumptions!$B$31*(S49/50)))))*$E49</f>
        <v>0.6537008659921919</v>
      </c>
      <c r="W49" s="26">
        <f>Archetypes!$C$30</f>
        <v>3.7999999999999999E-2</v>
      </c>
      <c r="X49" s="21">
        <f t="shared" si="4"/>
        <v>2.4840632907703292E-2</v>
      </c>
      <c r="Y49" s="21">
        <f>((V49-X49)*Archetypes!$C$15)+(X49*Archetypes!$C$15*Archetypes!$C$22)</f>
        <v>0.33057652793225145</v>
      </c>
      <c r="Z49" s="21">
        <f>V49*Archetypes!$C$16</f>
        <v>0.29416538969648637</v>
      </c>
      <c r="AA49" s="21">
        <f>(IF(S49&lt;0,Assumptions!$B$8,IF(S49&lt;10,Assumptions!$B$34,IF(S49&lt;25,Assumptions!$B$35,Assumptions!$B$36))))*((((Archetypes!$C$5*Assumptions!$B$4+Archetypes!$C$6*Assumptions!$B$5)*60))+(Assumptions!$B$6*(((Archetypes!$C$11*(IF(S49&lt;0,1+Assumptions!$B$32*MIN(1,ABS(S49)/ABS(Assumptions!$B$21)),MAX(0.1,1-Assumptions!$B$31*(S49/50)))))-((Archetypes!$C$11*(IF(S49&lt;0,1+Assumptions!$B$32*MIN(1,ABS(S49)/ABS(Assumptions!$B$21)),MAX(0.1,1-Assumptions!$B$31*(S49/50)))))*W49)*Archetypes!$C$20)+((Archetypes!$C$11*(IF(S49&lt;0,1+Assumptions!$B$32*MIN(1,ABS(S49)/ABS(Assumptions!$B$21)),MAX(0.1,1-Assumptions!$B$31*(S49/50)))))*W49*Archetypes!$C$20*Archetypes!$C$21)*Assumptions!$B$18)*(IF($D49=1,1,Assumptions!$B$7)))+(((((Archetypes!$C$11*(IF(S49&lt;0,1+Assumptions!$B$32*MIN(1,ABS(S49)/ABS(Assumptions!$B$21)),MAX(0.1,1-Assumptions!$B$31*(S49/50)))))-((Archetypes!$C$11*(IF(S49&lt;0,1+Assumptions!$B$32*MIN(1,ABS(S49)/ABS(Assumptions!$B$21)),MAX(0.1,1-Assumptions!$B$31*(S49/50)))))*W49)*Archetypes!$C$15)*(Archetypes!$C$13*IF(S49&lt;0,1-Assumptions!$B$33*MIN(1,ABS(S49)/ABS(Assumptions!$B$21)),1))*5)+(((Archetypes!$C$11*(IF(S49&lt;0,1+Assumptions!$B$32*MIN(1,ABS(S49)/ABS(Assumptions!$B$21)),MAX(0.1,1-Assumptions!$B$31*(S49/50)))))*W49*Archetypes!$C$15*Archetypes!$C$22)*(Archetypes!$C$13*IF(S49&lt;0,1-Assumptions!$B$33*MIN(1,ABS(S49)/ABS(Assumptions!$B$21)),1))*5*Assumptions!$B$18))*IF(S49&lt;0,Assumptions!$B$9,1)))*$E49</f>
        <v>586.25157024329565</v>
      </c>
      <c r="AB49" s="21">
        <f>(AB48)+(AA49)-(MAX(0,((AB48)+(AA49)-(AC49)))*(IF(Archetypes!$C$27="",Assumptions!$B$11,Archetypes!$C$27)))</f>
        <v>10902.295447149481</v>
      </c>
      <c r="AC49" s="21">
        <f>Archetypes!$C$36 + (Assumptions!$B$67*(IF($E49=0,0,V49/$E49))*Assumptions!$B$71*(1+Assumptions!$B$68*(Archetypes!$C$14-1))) + (Assumptions!$B$69*Archetypes!$C$34*(IF($E49=0,0,V49/$E49))*Assumptions!$B$72*POWER(Assumptions!$B$70,Archetypes!$C$18-1))</f>
        <v>9113.1930779393006</v>
      </c>
      <c r="AD49" s="21">
        <f t="shared" si="5"/>
        <v>1789.1023692101808</v>
      </c>
      <c r="AF49" s="21">
        <f t="shared" si="10"/>
        <v>101.13500017079545</v>
      </c>
      <c r="AG49" s="21">
        <f>MAX(Assumptions!$B$21,AF49+AH49)</f>
        <v>102.04832465536688</v>
      </c>
      <c r="AH49" s="21">
        <f>((AL49*(Assumptions!$B$22+((Assumptions!$B$23-Assumptions!$B$22)*IF(AI49&gt;0,AK49/AI49,0)))*(1+Assumptions!$B$60*(Archetypes!$D$13-1)))+IF(AL49&gt;AI49,AI49*Assumptions!$B$24,0)-IF(IF(AI49&gt;0,AM49/AI49,1)&lt;Assumptions!$B$61,((AM49*(Assumptions!$B$27*(1+Assumptions!$B$28*(Archetypes!$D$14-1))/(1+Assumptions!$B$29*(Archetypes!$D$12-1))))+(((AI49*Archetypes!$D$17*IF(AI49&gt;0,AM49/AI49,1)*Archetypes!$D$31)/100)*Assumptions!$B$30))*Assumptions!$B$62,((AM49*(Assumptions!$B$27*(1+Assumptions!$B$28*(Archetypes!$D$14-1))/(1+Assumptions!$B$29*(Archetypes!$D$12-1))))+(((AI49*Archetypes!$D$17*IF(AI49&gt;0,AM49/AI49,1)*Archetypes!$D$31)/100)*Assumptions!$B$30)))-(Assumptions!$B$25*Assumptions!$B$26*E49))*E49</f>
        <v>0.9133244845714289</v>
      </c>
      <c r="AI49" s="21">
        <f>(Archetypes!$D$11*(IF(AF49&lt;0,1+Assumptions!$B$32*MIN(1,ABS(AF49)/ABS(Assumptions!$B$21)),MAX(0.1,1-Assumptions!$B$31*(AF49/50)))))*$E49</f>
        <v>0.30000000000000004</v>
      </c>
      <c r="AJ49" s="26">
        <f>Archetypes!$D$30</f>
        <v>0.10400000000000001</v>
      </c>
      <c r="AK49" s="21">
        <f t="shared" si="6"/>
        <v>3.1200000000000009E-2</v>
      </c>
      <c r="AL49" s="21">
        <f>((AI49-AK49)*Archetypes!$D$15)+(AK49*Archetypes!$D$15*Archetypes!$D$22)</f>
        <v>0.46872000000000008</v>
      </c>
      <c r="AM49" s="21">
        <f>AI49*Archetypes!$D$16</f>
        <v>6.0000000000000012E-2</v>
      </c>
      <c r="AN49" s="21">
        <f>(IF(AF49&lt;0,Assumptions!$B$8,IF(AF49&lt;10,Assumptions!$B$34,IF(AF49&lt;25,Assumptions!$B$35,Assumptions!$B$36))))*((((Archetypes!$D$5*Assumptions!$B$4+Archetypes!$D$6*Assumptions!$B$5)*60))+(Assumptions!$B$6*(((Archetypes!$D$11*(IF(AF49&lt;0,1+Assumptions!$B$32*MIN(1,ABS(AF49)/ABS(Assumptions!$B$21)),MAX(0.1,1-Assumptions!$B$31*(AF49/50)))))-((Archetypes!$D$11*(IF(AF49&lt;0,1+Assumptions!$B$32*MIN(1,ABS(AF49)/ABS(Assumptions!$B$21)),MAX(0.1,1-Assumptions!$B$31*(AF49/50)))))*AJ49)*Archetypes!$D$20)+((Archetypes!$D$11*(IF(AF49&lt;0,1+Assumptions!$B$32*MIN(1,ABS(AF49)/ABS(Assumptions!$B$21)),MAX(0.1,1-Assumptions!$B$31*(AF49/50)))))*AJ49*Archetypes!$D$20*Archetypes!$D$21)*Assumptions!$B$18)*(IF($D49=1,1,Assumptions!$B$7)))+(((((Archetypes!$D$11*(IF(AF49&lt;0,1+Assumptions!$B$32*MIN(1,ABS(AF49)/ABS(Assumptions!$B$21)),MAX(0.1,1-Assumptions!$B$31*(AF49/50)))))-((Archetypes!$D$11*(IF(AF49&lt;0,1+Assumptions!$B$32*MIN(1,ABS(AF49)/ABS(Assumptions!$B$21)),MAX(0.1,1-Assumptions!$B$31*(AF49/50)))))*AJ49)*Archetypes!$D$15)*(Archetypes!$D$13*IF(AF49&lt;0,1-Assumptions!$B$33*MIN(1,ABS(AF49)/ABS(Assumptions!$B$21)),1))*5)+(((Archetypes!$D$11*(IF(AF49&lt;0,1+Assumptions!$B$32*MIN(1,ABS(AF49)/ABS(Assumptions!$B$21)),MAX(0.1,1-Assumptions!$B$31*(AF49/50)))))*AJ49*Archetypes!$D$15*Archetypes!$D$22)*(Archetypes!$D$13*IF(AF49&lt;0,1-Assumptions!$B$33*MIN(1,ABS(AF49)/ABS(Assumptions!$B$21)),1))*5*Assumptions!$B$18))*IF(AF49&lt;0,Assumptions!$B$9,1)))*$E49</f>
        <v>939.63674999999989</v>
      </c>
      <c r="AO49" s="21">
        <f>(AO48)+(AN49)-(MAX(0,((AO48)+(AN49)-(AP49)))*(IF(Archetypes!$D$27="",Assumptions!$B$11,Archetypes!$D$27)))</f>
        <v>22967.311578514636</v>
      </c>
      <c r="AP49" s="21">
        <f>Archetypes!$D$36 + (Assumptions!$B$67*(IF($E49=0,0,AI49/$E49))*Assumptions!$B$71*(1+Assumptions!$B$68*(Archetypes!$D$14-1))) + (Assumptions!$B$69*Archetypes!$D$34*(IF($E49=0,0,AI49/$E49))*Assumptions!$B$72*POWER(Assumptions!$B$70,Archetypes!$D$18-1))</f>
        <v>20774.800648960005</v>
      </c>
      <c r="AQ49" s="21">
        <f t="shared" si="7"/>
        <v>2192.5109295546317</v>
      </c>
    </row>
    <row r="50" spans="1:43" x14ac:dyDescent="0.25">
      <c r="A50" s="20">
        <v>46</v>
      </c>
      <c r="B50" s="20">
        <f t="shared" si="0"/>
        <v>2</v>
      </c>
      <c r="C50" s="20">
        <f t="shared" si="1"/>
        <v>22</v>
      </c>
      <c r="D50" s="6">
        <f>IF(C50&lt;Assumptions!$B$10,1,0)</f>
        <v>0</v>
      </c>
      <c r="E50" s="6">
        <v>1</v>
      </c>
      <c r="F50" s="21">
        <f t="shared" si="8"/>
        <v>-15</v>
      </c>
      <c r="G50" s="21">
        <f>MAX(Assumptions!$B$21,F50+H50)</f>
        <v>-15</v>
      </c>
      <c r="H50" s="21">
        <f>((L50*(Assumptions!$B$22+((Assumptions!$B$23-Assumptions!$B$22)*IF(I50&gt;0,K50/I50,0)))*(1+Assumptions!$B$60*(Archetypes!$B$13-1)))+IF(L50&gt;I50,I50*Assumptions!$B$24,0)-IF(IF(I50&gt;0,M50/I50,1)&lt;Assumptions!$B$61,((M50*(Assumptions!$B$27*(1+Assumptions!$B$28*(Archetypes!$B$14-1))/(1+Assumptions!$B$29*(Archetypes!$B$12-1))))+(((I50*Archetypes!$B$17*IF(I50&gt;0,M50/I50,1)*Archetypes!$B$31)/100)*Assumptions!$B$30))*Assumptions!$B$62,((M50*(Assumptions!$B$27*(1+Assumptions!$B$28*(Archetypes!$B$14-1))/(1+Assumptions!$B$29*(Archetypes!$B$12-1))))+(((I50*Archetypes!$B$17*IF(I50&gt;0,M50/I50,1)*Archetypes!$B$31)/100)*Assumptions!$B$30)))-(Assumptions!$B$25*Assumptions!$B$26*E50))*E50</f>
        <v>-2.8381702909090891</v>
      </c>
      <c r="I50" s="21">
        <f>(Archetypes!$B$11*(IF(F50&lt;0,1+Assumptions!$B$32*MIN(1,ABS(F50)/ABS(Assumptions!$B$21)),MAX(0.1,1-Assumptions!$B$31*(F50/50)))))*$E50</f>
        <v>14</v>
      </c>
      <c r="J50" s="26">
        <f>Archetypes!$B$30</f>
        <v>2.1999999999999999E-2</v>
      </c>
      <c r="K50" s="21">
        <f t="shared" si="2"/>
        <v>0.308</v>
      </c>
      <c r="L50" s="21">
        <f>((I50-K50)*Archetypes!$B$15)+(K50*Archetypes!$B$15*Archetypes!$B$22)</f>
        <v>1.4061600000000003</v>
      </c>
      <c r="M50" s="21">
        <f>I50*Archetypes!$B$16</f>
        <v>10.5</v>
      </c>
      <c r="N50" s="21">
        <f>(IF(F50&lt;0,Assumptions!$B$8,IF(F50&lt;10,Assumptions!$B$34,IF(F50&lt;25,Assumptions!$B$35,Assumptions!$B$36))))*((((Archetypes!$B$5*Assumptions!$B$4+Archetypes!$B$6*Assumptions!$B$5)*60))+(Assumptions!$B$6*(((Archetypes!$B$11*(IF(F50&lt;0,1+Assumptions!$B$32*MIN(1,ABS(F50)/ABS(Assumptions!$B$21)),MAX(0.1,1-Assumptions!$B$31*(F50/50)))))-((Archetypes!$B$11*(IF(F50&lt;0,1+Assumptions!$B$32*MIN(1,ABS(F50)/ABS(Assumptions!$B$21)),MAX(0.1,1-Assumptions!$B$31*(F50/50)))))*J50)*Archetypes!$B$20)+((Archetypes!$B$11*(IF(F50&lt;0,1+Assumptions!$B$32*MIN(1,ABS(F50)/ABS(Assumptions!$B$21)),MAX(0.1,1-Assumptions!$B$31*(F50/50)))))*J50*Archetypes!$B$20*Archetypes!$B$21)*Assumptions!$B$18)*(IF($D50=1,1,Assumptions!$B$7)))+(((((Archetypes!$B$11*(IF(F50&lt;0,1+Assumptions!$B$32*MIN(1,ABS(F50)/ABS(Assumptions!$B$21)),MAX(0.1,1-Assumptions!$B$31*(F50/50)))))-((Archetypes!$B$11*(IF(F50&lt;0,1+Assumptions!$B$32*MIN(1,ABS(F50)/ABS(Assumptions!$B$21)),MAX(0.1,1-Assumptions!$B$31*(F50/50)))))*J50)*Archetypes!$B$15)*(Archetypes!$B$13*IF(F50&lt;0,1-Assumptions!$B$33*MIN(1,ABS(F50)/ABS(Assumptions!$B$21)),1))*5)+(((Archetypes!$B$11*(IF(F50&lt;0,1+Assumptions!$B$32*MIN(1,ABS(F50)/ABS(Assumptions!$B$21)),MAX(0.1,1-Assumptions!$B$31*(F50/50)))))*J50*Archetypes!$B$15*Archetypes!$B$22)*(Archetypes!$B$13*IF(F50&lt;0,1-Assumptions!$B$33*MIN(1,ABS(F50)/ABS(Assumptions!$B$21)),1))*5*Assumptions!$B$18))*IF(F50&lt;0,Assumptions!$B$9,1)))*$E50</f>
        <v>484.478544</v>
      </c>
      <c r="O50" s="21">
        <f>(O49)+(N50)-(MAX(0,((O49)+(N50)-(P50)))*(IF(Archetypes!$B$27="",Assumptions!$B$11,Archetypes!$B$27)))</f>
        <v>4609.3178511993856</v>
      </c>
      <c r="P50" s="21">
        <f>Archetypes!$B$36 + (Assumptions!$B$67*(IF($E50=0,0,I50/$E50))*Assumptions!$B$71*(1+Assumptions!$B$68*(Archetypes!$B$14-1))) + (Assumptions!$B$69*Archetypes!$B$34*(IF($E50=0,0,I50/$E50))*Assumptions!$B$72*POWER(Assumptions!$B$70,Archetypes!$B$18-1))</f>
        <v>2668.56</v>
      </c>
      <c r="Q50" s="21">
        <f t="shared" si="3"/>
        <v>1940.7578511993856</v>
      </c>
      <c r="S50" s="21">
        <f t="shared" si="9"/>
        <v>74.592126947342123</v>
      </c>
      <c r="T50" s="21">
        <f>MAX(Assumptions!$B$21,S50+U50)</f>
        <v>74.911934492880505</v>
      </c>
      <c r="U50" s="21">
        <f>((Y50*(Assumptions!$B$22+((Assumptions!$B$23-Assumptions!$B$22)*IF(V50&gt;0,X50/V50,0)))*(1+Assumptions!$B$60*(Archetypes!$C$13-1)))+IF(Y50&gt;V50,V50*Assumptions!$B$24,0)-IF(IF(V50&gt;0,Z50/V50,1)&lt;Assumptions!$B$61,((Z50*(Assumptions!$B$27*(1+Assumptions!$B$28*(Archetypes!$C$14-1))/(1+Assumptions!$B$29*(Archetypes!$C$12-1))))+(((V50*Archetypes!$C$17*IF(V50&gt;0,Z50/V50,1)*Archetypes!$C$31)/100)*Assumptions!$B$30))*Assumptions!$B$62,((Z50*(Assumptions!$B$27*(1+Assumptions!$B$28*(Archetypes!$C$14-1))/(1+Assumptions!$B$29*(Archetypes!$C$12-1))))+(((V50*Archetypes!$C$17*IF(V50&gt;0,Z50/V50,1)*Archetypes!$C$31)/100)*Assumptions!$B$30)))-(Assumptions!$B$25*Assumptions!$B$26*E50))*E50</f>
        <v>0.3198075455383762</v>
      </c>
      <c r="V50" s="21">
        <f>(Archetypes!$C$11*(IF(S50&lt;0,1+Assumptions!$B$32*MIN(1,ABS(S50)/ABS(Assumptions!$B$21)),MAX(0.1,1-Assumptions!$B$31*(S50/50)))))*$E50</f>
        <v>0.62936685979136731</v>
      </c>
      <c r="W50" s="26">
        <f>Archetypes!$C$30</f>
        <v>3.7999999999999999E-2</v>
      </c>
      <c r="X50" s="21">
        <f t="shared" si="4"/>
        <v>2.3915940672071957E-2</v>
      </c>
      <c r="Y50" s="21">
        <f>((V50-X50)*Archetypes!$C$15)+(X50*Archetypes!$C$15*Archetypes!$C$22)</f>
        <v>0.31827082099649445</v>
      </c>
      <c r="Z50" s="21">
        <f>V50*Archetypes!$C$16</f>
        <v>0.2832150869061153</v>
      </c>
      <c r="AA50" s="21">
        <f>(IF(S50&lt;0,Assumptions!$B$8,IF(S50&lt;10,Assumptions!$B$34,IF(S50&lt;25,Assumptions!$B$35,Assumptions!$B$36))))*((((Archetypes!$C$5*Assumptions!$B$4+Archetypes!$C$6*Assumptions!$B$5)*60))+(Assumptions!$B$6*(((Archetypes!$C$11*(IF(S50&lt;0,1+Assumptions!$B$32*MIN(1,ABS(S50)/ABS(Assumptions!$B$21)),MAX(0.1,1-Assumptions!$B$31*(S50/50)))))-((Archetypes!$C$11*(IF(S50&lt;0,1+Assumptions!$B$32*MIN(1,ABS(S50)/ABS(Assumptions!$B$21)),MAX(0.1,1-Assumptions!$B$31*(S50/50)))))*W50)*Archetypes!$C$20)+((Archetypes!$C$11*(IF(S50&lt;0,1+Assumptions!$B$32*MIN(1,ABS(S50)/ABS(Assumptions!$B$21)),MAX(0.1,1-Assumptions!$B$31*(S50/50)))))*W50*Archetypes!$C$20*Archetypes!$C$21)*Assumptions!$B$18)*(IF($D50=1,1,Assumptions!$B$7)))+(((((Archetypes!$C$11*(IF(S50&lt;0,1+Assumptions!$B$32*MIN(1,ABS(S50)/ABS(Assumptions!$B$21)),MAX(0.1,1-Assumptions!$B$31*(S50/50)))))-((Archetypes!$C$11*(IF(S50&lt;0,1+Assumptions!$B$32*MIN(1,ABS(S50)/ABS(Assumptions!$B$21)),MAX(0.1,1-Assumptions!$B$31*(S50/50)))))*W50)*Archetypes!$C$15)*(Archetypes!$C$13*IF(S50&lt;0,1-Assumptions!$B$33*MIN(1,ABS(S50)/ABS(Assumptions!$B$21)),1))*5)+(((Archetypes!$C$11*(IF(S50&lt;0,1+Assumptions!$B$32*MIN(1,ABS(S50)/ABS(Assumptions!$B$21)),MAX(0.1,1-Assumptions!$B$31*(S50/50)))))*W50*Archetypes!$C$15*Archetypes!$C$22)*(Archetypes!$C$13*IF(S50&lt;0,1-Assumptions!$B$33*MIN(1,ABS(S50)/ABS(Assumptions!$B$21)),1))*5*Assumptions!$B$18))*IF(S50&lt;0,Assumptions!$B$9,1)))*$E50</f>
        <v>584.36234370368027</v>
      </c>
      <c r="AB50" s="21">
        <f>(AB49)+(AA50)-(MAX(0,((AB49)+(AA50)-(AC50)))*(IF(Archetypes!$C$27="",Assumptions!$B$11,Archetypes!$C$27)))</f>
        <v>10892.744097485178</v>
      </c>
      <c r="AC50" s="21">
        <f>Archetypes!$C$36 + (Assumptions!$B$67*(IF($E50=0,0,V50/$E50))*Assumptions!$B$71*(1+Assumptions!$B$68*(Archetypes!$C$14-1))) + (Assumptions!$B$69*Archetypes!$C$34*(IF($E50=0,0,V50/$E50))*Assumptions!$B$72*POWER(Assumptions!$B$70,Archetypes!$C$18-1))</f>
        <v>9111.0030173812247</v>
      </c>
      <c r="AD50" s="21">
        <f t="shared" si="5"/>
        <v>1781.7410801039532</v>
      </c>
      <c r="AF50" s="21">
        <f t="shared" si="10"/>
        <v>102.04832465536688</v>
      </c>
      <c r="AG50" s="21">
        <f>MAX(Assumptions!$B$21,AF50+AH50)</f>
        <v>102.96164913993832</v>
      </c>
      <c r="AH50" s="21">
        <f>((AL50*(Assumptions!$B$22+((Assumptions!$B$23-Assumptions!$B$22)*IF(AI50&gt;0,AK50/AI50,0)))*(1+Assumptions!$B$60*(Archetypes!$D$13-1)))+IF(AL50&gt;AI50,AI50*Assumptions!$B$24,0)-IF(IF(AI50&gt;0,AM50/AI50,1)&lt;Assumptions!$B$61,((AM50*(Assumptions!$B$27*(1+Assumptions!$B$28*(Archetypes!$D$14-1))/(1+Assumptions!$B$29*(Archetypes!$D$12-1))))+(((AI50*Archetypes!$D$17*IF(AI50&gt;0,AM50/AI50,1)*Archetypes!$D$31)/100)*Assumptions!$B$30))*Assumptions!$B$62,((AM50*(Assumptions!$B$27*(1+Assumptions!$B$28*(Archetypes!$D$14-1))/(1+Assumptions!$B$29*(Archetypes!$D$12-1))))+(((AI50*Archetypes!$D$17*IF(AI50&gt;0,AM50/AI50,1)*Archetypes!$D$31)/100)*Assumptions!$B$30)))-(Assumptions!$B$25*Assumptions!$B$26*E50))*E50</f>
        <v>0.9133244845714289</v>
      </c>
      <c r="AI50" s="21">
        <f>(Archetypes!$D$11*(IF(AF50&lt;0,1+Assumptions!$B$32*MIN(1,ABS(AF50)/ABS(Assumptions!$B$21)),MAX(0.1,1-Assumptions!$B$31*(AF50/50)))))*$E50</f>
        <v>0.30000000000000004</v>
      </c>
      <c r="AJ50" s="26">
        <f>Archetypes!$D$30</f>
        <v>0.10400000000000001</v>
      </c>
      <c r="AK50" s="21">
        <f t="shared" si="6"/>
        <v>3.1200000000000009E-2</v>
      </c>
      <c r="AL50" s="21">
        <f>((AI50-AK50)*Archetypes!$D$15)+(AK50*Archetypes!$D$15*Archetypes!$D$22)</f>
        <v>0.46872000000000008</v>
      </c>
      <c r="AM50" s="21">
        <f>AI50*Archetypes!$D$16</f>
        <v>6.0000000000000012E-2</v>
      </c>
      <c r="AN50" s="21">
        <f>(IF(AF50&lt;0,Assumptions!$B$8,IF(AF50&lt;10,Assumptions!$B$34,IF(AF50&lt;25,Assumptions!$B$35,Assumptions!$B$36))))*((((Archetypes!$D$5*Assumptions!$B$4+Archetypes!$D$6*Assumptions!$B$5)*60))+(Assumptions!$B$6*(((Archetypes!$D$11*(IF(AF50&lt;0,1+Assumptions!$B$32*MIN(1,ABS(AF50)/ABS(Assumptions!$B$21)),MAX(0.1,1-Assumptions!$B$31*(AF50/50)))))-((Archetypes!$D$11*(IF(AF50&lt;0,1+Assumptions!$B$32*MIN(1,ABS(AF50)/ABS(Assumptions!$B$21)),MAX(0.1,1-Assumptions!$B$31*(AF50/50)))))*AJ50)*Archetypes!$D$20)+((Archetypes!$D$11*(IF(AF50&lt;0,1+Assumptions!$B$32*MIN(1,ABS(AF50)/ABS(Assumptions!$B$21)),MAX(0.1,1-Assumptions!$B$31*(AF50/50)))))*AJ50*Archetypes!$D$20*Archetypes!$D$21)*Assumptions!$B$18)*(IF($D50=1,1,Assumptions!$B$7)))+(((((Archetypes!$D$11*(IF(AF50&lt;0,1+Assumptions!$B$32*MIN(1,ABS(AF50)/ABS(Assumptions!$B$21)),MAX(0.1,1-Assumptions!$B$31*(AF50/50)))))-((Archetypes!$D$11*(IF(AF50&lt;0,1+Assumptions!$B$32*MIN(1,ABS(AF50)/ABS(Assumptions!$B$21)),MAX(0.1,1-Assumptions!$B$31*(AF50/50)))))*AJ50)*Archetypes!$D$15)*(Archetypes!$D$13*IF(AF50&lt;0,1-Assumptions!$B$33*MIN(1,ABS(AF50)/ABS(Assumptions!$B$21)),1))*5)+(((Archetypes!$D$11*(IF(AF50&lt;0,1+Assumptions!$B$32*MIN(1,ABS(AF50)/ABS(Assumptions!$B$21)),MAX(0.1,1-Assumptions!$B$31*(AF50/50)))))*AJ50*Archetypes!$D$15*Archetypes!$D$22)*(Archetypes!$D$13*IF(AF50&lt;0,1-Assumptions!$B$33*MIN(1,ABS(AF50)/ABS(Assumptions!$B$21)),1))*5*Assumptions!$B$18))*IF(AF50&lt;0,Assumptions!$B$9,1)))*$E50</f>
        <v>939.63674999999989</v>
      </c>
      <c r="AO50" s="21">
        <f>(AO49)+(AN50)-(MAX(0,((AO49)+(AN50)-(AP50)))*(IF(Archetypes!$D$27="",Assumptions!$B$11,Archetypes!$D$27)))</f>
        <v>22967.304024648249</v>
      </c>
      <c r="AP50" s="21">
        <f>Archetypes!$D$36 + (Assumptions!$B$67*(IF($E50=0,0,AI50/$E50))*Assumptions!$B$71*(1+Assumptions!$B$68*(Archetypes!$D$14-1))) + (Assumptions!$B$69*Archetypes!$D$34*(IF($E50=0,0,AI50/$E50))*Assumptions!$B$72*POWER(Assumptions!$B$70,Archetypes!$D$18-1))</f>
        <v>20774.800648960005</v>
      </c>
      <c r="AQ50" s="21">
        <f t="shared" si="7"/>
        <v>2192.503375688244</v>
      </c>
    </row>
    <row r="51" spans="1:43" x14ac:dyDescent="0.25">
      <c r="A51" s="20">
        <v>47</v>
      </c>
      <c r="B51" s="20">
        <f t="shared" si="0"/>
        <v>2</v>
      </c>
      <c r="C51" s="20">
        <f t="shared" si="1"/>
        <v>23</v>
      </c>
      <c r="D51" s="6">
        <f>IF(C51&lt;Assumptions!$B$10,1,0)</f>
        <v>0</v>
      </c>
      <c r="E51" s="6">
        <v>1</v>
      </c>
      <c r="F51" s="21">
        <f t="shared" si="8"/>
        <v>-15</v>
      </c>
      <c r="G51" s="21">
        <f>MAX(Assumptions!$B$21,F51+H51)</f>
        <v>-15</v>
      </c>
      <c r="H51" s="21">
        <f>((L51*(Assumptions!$B$22+((Assumptions!$B$23-Assumptions!$B$22)*IF(I51&gt;0,K51/I51,0)))*(1+Assumptions!$B$60*(Archetypes!$B$13-1)))+IF(L51&gt;I51,I51*Assumptions!$B$24,0)-IF(IF(I51&gt;0,M51/I51,1)&lt;Assumptions!$B$61,((M51*(Assumptions!$B$27*(1+Assumptions!$B$28*(Archetypes!$B$14-1))/(1+Assumptions!$B$29*(Archetypes!$B$12-1))))+(((I51*Archetypes!$B$17*IF(I51&gt;0,M51/I51,1)*Archetypes!$B$31)/100)*Assumptions!$B$30))*Assumptions!$B$62,((M51*(Assumptions!$B$27*(1+Assumptions!$B$28*(Archetypes!$B$14-1))/(1+Assumptions!$B$29*(Archetypes!$B$12-1))))+(((I51*Archetypes!$B$17*IF(I51&gt;0,M51/I51,1)*Archetypes!$B$31)/100)*Assumptions!$B$30)))-(Assumptions!$B$25*Assumptions!$B$26*E51))*E51</f>
        <v>-2.8381702909090891</v>
      </c>
      <c r="I51" s="21">
        <f>(Archetypes!$B$11*(IF(F51&lt;0,1+Assumptions!$B$32*MIN(1,ABS(F51)/ABS(Assumptions!$B$21)),MAX(0.1,1-Assumptions!$B$31*(F51/50)))))*$E51</f>
        <v>14</v>
      </c>
      <c r="J51" s="26">
        <f>Archetypes!$B$30</f>
        <v>2.1999999999999999E-2</v>
      </c>
      <c r="K51" s="21">
        <f t="shared" si="2"/>
        <v>0.308</v>
      </c>
      <c r="L51" s="21">
        <f>((I51-K51)*Archetypes!$B$15)+(K51*Archetypes!$B$15*Archetypes!$B$22)</f>
        <v>1.4061600000000003</v>
      </c>
      <c r="M51" s="21">
        <f>I51*Archetypes!$B$16</f>
        <v>10.5</v>
      </c>
      <c r="N51" s="21">
        <f>(IF(F51&lt;0,Assumptions!$B$8,IF(F51&lt;10,Assumptions!$B$34,IF(F51&lt;25,Assumptions!$B$35,Assumptions!$B$36))))*((((Archetypes!$B$5*Assumptions!$B$4+Archetypes!$B$6*Assumptions!$B$5)*60))+(Assumptions!$B$6*(((Archetypes!$B$11*(IF(F51&lt;0,1+Assumptions!$B$32*MIN(1,ABS(F51)/ABS(Assumptions!$B$21)),MAX(0.1,1-Assumptions!$B$31*(F51/50)))))-((Archetypes!$B$11*(IF(F51&lt;0,1+Assumptions!$B$32*MIN(1,ABS(F51)/ABS(Assumptions!$B$21)),MAX(0.1,1-Assumptions!$B$31*(F51/50)))))*J51)*Archetypes!$B$20)+((Archetypes!$B$11*(IF(F51&lt;0,1+Assumptions!$B$32*MIN(1,ABS(F51)/ABS(Assumptions!$B$21)),MAX(0.1,1-Assumptions!$B$31*(F51/50)))))*J51*Archetypes!$B$20*Archetypes!$B$21)*Assumptions!$B$18)*(IF($D51=1,1,Assumptions!$B$7)))+(((((Archetypes!$B$11*(IF(F51&lt;0,1+Assumptions!$B$32*MIN(1,ABS(F51)/ABS(Assumptions!$B$21)),MAX(0.1,1-Assumptions!$B$31*(F51/50)))))-((Archetypes!$B$11*(IF(F51&lt;0,1+Assumptions!$B$32*MIN(1,ABS(F51)/ABS(Assumptions!$B$21)),MAX(0.1,1-Assumptions!$B$31*(F51/50)))))*J51)*Archetypes!$B$15)*(Archetypes!$B$13*IF(F51&lt;0,1-Assumptions!$B$33*MIN(1,ABS(F51)/ABS(Assumptions!$B$21)),1))*5)+(((Archetypes!$B$11*(IF(F51&lt;0,1+Assumptions!$B$32*MIN(1,ABS(F51)/ABS(Assumptions!$B$21)),MAX(0.1,1-Assumptions!$B$31*(F51/50)))))*J51*Archetypes!$B$15*Archetypes!$B$22)*(Archetypes!$B$13*IF(F51&lt;0,1-Assumptions!$B$33*MIN(1,ABS(F51)/ABS(Assumptions!$B$21)),1))*5*Assumptions!$B$18))*IF(F51&lt;0,Assumptions!$B$9,1)))*$E51</f>
        <v>484.478544</v>
      </c>
      <c r="O51" s="21">
        <f>(O50)+(N51)-(MAX(0,((O50)+(N51)-(P51)))*(IF(Archetypes!$B$27="",Assumptions!$B$11,Archetypes!$B$27)))</f>
        <v>4608.749116159508</v>
      </c>
      <c r="P51" s="21">
        <f>Archetypes!$B$36 + (Assumptions!$B$67*(IF($E51=0,0,I51/$E51))*Assumptions!$B$71*(1+Assumptions!$B$68*(Archetypes!$B$14-1))) + (Assumptions!$B$69*Archetypes!$B$34*(IF($E51=0,0,I51/$E51))*Assumptions!$B$72*POWER(Assumptions!$B$70,Archetypes!$B$18-1))</f>
        <v>2668.56</v>
      </c>
      <c r="Q51" s="21">
        <f t="shared" si="3"/>
        <v>1940.1891161595081</v>
      </c>
      <c r="S51" s="21">
        <f t="shared" si="9"/>
        <v>74.911934492880505</v>
      </c>
      <c r="T51" s="21">
        <f>MAX(Assumptions!$B$21,S51+U51)</f>
        <v>75.214553564496697</v>
      </c>
      <c r="U51" s="21">
        <f>((Y51*(Assumptions!$B$22+((Assumptions!$B$23-Assumptions!$B$22)*IF(V51&gt;0,X51/V51,0)))*(1+Assumptions!$B$60*(Archetypes!$C$13-1)))+IF(Y51&gt;V51,V51*Assumptions!$B$24,0)-IF(IF(V51&gt;0,Z51/V51,1)&lt;Assumptions!$B$61,((Z51*(Assumptions!$B$27*(1+Assumptions!$B$28*(Archetypes!$C$14-1))/(1+Assumptions!$B$29*(Archetypes!$C$12-1))))+(((V51*Archetypes!$C$17*IF(V51&gt;0,Z51/V51,1)*Archetypes!$C$31)/100)*Assumptions!$B$30))*Assumptions!$B$62,((Z51*(Assumptions!$B$27*(1+Assumptions!$B$28*(Archetypes!$C$14-1))/(1+Assumptions!$B$29*(Archetypes!$C$12-1))))+(((V51*Archetypes!$C$17*IF(V51&gt;0,Z51/V51,1)*Archetypes!$C$31)/100)*Assumptions!$B$30)))-(Assumptions!$B$25*Assumptions!$B$26*E51))*E51</f>
        <v>0.30261907161619217</v>
      </c>
      <c r="V51" s="21">
        <f>(Archetypes!$C$11*(IF(S51&lt;0,1+Assumptions!$B$32*MIN(1,ABS(S51)/ABS(Assumptions!$B$21)),MAX(0.1,1-Assumptions!$B$31*(S51/50)))))*$E51</f>
        <v>0.60634071651260402</v>
      </c>
      <c r="W51" s="26">
        <f>Archetypes!$C$30</f>
        <v>3.7999999999999999E-2</v>
      </c>
      <c r="X51" s="21">
        <f t="shared" si="4"/>
        <v>2.3040947227478951E-2</v>
      </c>
      <c r="Y51" s="21">
        <f>((V51-X51)*Archetypes!$C$15)+(X51*Archetypes!$C$15*Archetypes!$C$22)</f>
        <v>0.30662650034042382</v>
      </c>
      <c r="Z51" s="21">
        <f>V51*Archetypes!$C$16</f>
        <v>0.27285332243067184</v>
      </c>
      <c r="AA51" s="21">
        <f>(IF(S51&lt;0,Assumptions!$B$8,IF(S51&lt;10,Assumptions!$B$34,IF(S51&lt;25,Assumptions!$B$35,Assumptions!$B$36))))*((((Archetypes!$C$5*Assumptions!$B$4+Archetypes!$C$6*Assumptions!$B$5)*60))+(Assumptions!$B$6*(((Archetypes!$C$11*(IF(S51&lt;0,1+Assumptions!$B$32*MIN(1,ABS(S51)/ABS(Assumptions!$B$21)),MAX(0.1,1-Assumptions!$B$31*(S51/50)))))-((Archetypes!$C$11*(IF(S51&lt;0,1+Assumptions!$B$32*MIN(1,ABS(S51)/ABS(Assumptions!$B$21)),MAX(0.1,1-Assumptions!$B$31*(S51/50)))))*W51)*Archetypes!$C$20)+((Archetypes!$C$11*(IF(S51&lt;0,1+Assumptions!$B$32*MIN(1,ABS(S51)/ABS(Assumptions!$B$21)),MAX(0.1,1-Assumptions!$B$31*(S51/50)))))*W51*Archetypes!$C$20*Archetypes!$C$21)*Assumptions!$B$18)*(IF($D51=1,1,Assumptions!$B$7)))+(((((Archetypes!$C$11*(IF(S51&lt;0,1+Assumptions!$B$32*MIN(1,ABS(S51)/ABS(Assumptions!$B$21)),MAX(0.1,1-Assumptions!$B$31*(S51/50)))))-((Archetypes!$C$11*(IF(S51&lt;0,1+Assumptions!$B$32*MIN(1,ABS(S51)/ABS(Assumptions!$B$21)),MAX(0.1,1-Assumptions!$B$31*(S51/50)))))*W51)*Archetypes!$C$15)*(Archetypes!$C$13*IF(S51&lt;0,1-Assumptions!$B$33*MIN(1,ABS(S51)/ABS(Assumptions!$B$21)),1))*5)+(((Archetypes!$C$11*(IF(S51&lt;0,1+Assumptions!$B$32*MIN(1,ABS(S51)/ABS(Assumptions!$B$21)),MAX(0.1,1-Assumptions!$B$31*(S51/50)))))*W51*Archetypes!$C$15*Archetypes!$C$22)*(Archetypes!$C$13*IF(S51&lt;0,1-Assumptions!$B$33*MIN(1,ABS(S51)/ABS(Assumptions!$B$21)),1))*5*Assumptions!$B$18))*IF(S51&lt;0,Assumptions!$B$9,1)))*$E51</f>
        <v>582.574656110104</v>
      </c>
      <c r="AB51" s="21">
        <f>(AB50)+(AA51)-(MAX(0,((AB50)+(AA51)-(AC51)))*(IF(Archetypes!$C$27="",Assumptions!$B$11,Archetypes!$C$27)))</f>
        <v>10883.721731317995</v>
      </c>
      <c r="AC51" s="21">
        <f>Archetypes!$C$36 + (Assumptions!$B$67*(IF($E51=0,0,V51/$E51))*Assumptions!$B$71*(1+Assumptions!$B$68*(Archetypes!$C$14-1))) + (Assumptions!$B$69*Archetypes!$C$34*(IF($E51=0,0,V51/$E51))*Assumptions!$B$72*POWER(Assumptions!$B$70,Archetypes!$C$18-1))</f>
        <v>9108.9306644861354</v>
      </c>
      <c r="AD51" s="21">
        <f t="shared" si="5"/>
        <v>1774.79106683186</v>
      </c>
      <c r="AF51" s="21">
        <f t="shared" si="10"/>
        <v>102.96164913993832</v>
      </c>
      <c r="AG51" s="21">
        <f>MAX(Assumptions!$B$21,AF51+AH51)</f>
        <v>103.87497362450975</v>
      </c>
      <c r="AH51" s="21">
        <f>((AL51*(Assumptions!$B$22+((Assumptions!$B$23-Assumptions!$B$22)*IF(AI51&gt;0,AK51/AI51,0)))*(1+Assumptions!$B$60*(Archetypes!$D$13-1)))+IF(AL51&gt;AI51,AI51*Assumptions!$B$24,0)-IF(IF(AI51&gt;0,AM51/AI51,1)&lt;Assumptions!$B$61,((AM51*(Assumptions!$B$27*(1+Assumptions!$B$28*(Archetypes!$D$14-1))/(1+Assumptions!$B$29*(Archetypes!$D$12-1))))+(((AI51*Archetypes!$D$17*IF(AI51&gt;0,AM51/AI51,1)*Archetypes!$D$31)/100)*Assumptions!$B$30))*Assumptions!$B$62,((AM51*(Assumptions!$B$27*(1+Assumptions!$B$28*(Archetypes!$D$14-1))/(1+Assumptions!$B$29*(Archetypes!$D$12-1))))+(((AI51*Archetypes!$D$17*IF(AI51&gt;0,AM51/AI51,1)*Archetypes!$D$31)/100)*Assumptions!$B$30)))-(Assumptions!$B$25*Assumptions!$B$26*E51))*E51</f>
        <v>0.9133244845714289</v>
      </c>
      <c r="AI51" s="21">
        <f>(Archetypes!$D$11*(IF(AF51&lt;0,1+Assumptions!$B$32*MIN(1,ABS(AF51)/ABS(Assumptions!$B$21)),MAX(0.1,1-Assumptions!$B$31*(AF51/50)))))*$E51</f>
        <v>0.30000000000000004</v>
      </c>
      <c r="AJ51" s="26">
        <f>Archetypes!$D$30</f>
        <v>0.10400000000000001</v>
      </c>
      <c r="AK51" s="21">
        <f t="shared" si="6"/>
        <v>3.1200000000000009E-2</v>
      </c>
      <c r="AL51" s="21">
        <f>((AI51-AK51)*Archetypes!$D$15)+(AK51*Archetypes!$D$15*Archetypes!$D$22)</f>
        <v>0.46872000000000008</v>
      </c>
      <c r="AM51" s="21">
        <f>AI51*Archetypes!$D$16</f>
        <v>6.0000000000000012E-2</v>
      </c>
      <c r="AN51" s="21">
        <f>(IF(AF51&lt;0,Assumptions!$B$8,IF(AF51&lt;10,Assumptions!$B$34,IF(AF51&lt;25,Assumptions!$B$35,Assumptions!$B$36))))*((((Archetypes!$D$5*Assumptions!$B$4+Archetypes!$D$6*Assumptions!$B$5)*60))+(Assumptions!$B$6*(((Archetypes!$D$11*(IF(AF51&lt;0,1+Assumptions!$B$32*MIN(1,ABS(AF51)/ABS(Assumptions!$B$21)),MAX(0.1,1-Assumptions!$B$31*(AF51/50)))))-((Archetypes!$D$11*(IF(AF51&lt;0,1+Assumptions!$B$32*MIN(1,ABS(AF51)/ABS(Assumptions!$B$21)),MAX(0.1,1-Assumptions!$B$31*(AF51/50)))))*AJ51)*Archetypes!$D$20)+((Archetypes!$D$11*(IF(AF51&lt;0,1+Assumptions!$B$32*MIN(1,ABS(AF51)/ABS(Assumptions!$B$21)),MAX(0.1,1-Assumptions!$B$31*(AF51/50)))))*AJ51*Archetypes!$D$20*Archetypes!$D$21)*Assumptions!$B$18)*(IF($D51=1,1,Assumptions!$B$7)))+(((((Archetypes!$D$11*(IF(AF51&lt;0,1+Assumptions!$B$32*MIN(1,ABS(AF51)/ABS(Assumptions!$B$21)),MAX(0.1,1-Assumptions!$B$31*(AF51/50)))))-((Archetypes!$D$11*(IF(AF51&lt;0,1+Assumptions!$B$32*MIN(1,ABS(AF51)/ABS(Assumptions!$B$21)),MAX(0.1,1-Assumptions!$B$31*(AF51/50)))))*AJ51)*Archetypes!$D$15)*(Archetypes!$D$13*IF(AF51&lt;0,1-Assumptions!$B$33*MIN(1,ABS(AF51)/ABS(Assumptions!$B$21)),1))*5)+(((Archetypes!$D$11*(IF(AF51&lt;0,1+Assumptions!$B$32*MIN(1,ABS(AF51)/ABS(Assumptions!$B$21)),MAX(0.1,1-Assumptions!$B$31*(AF51/50)))))*AJ51*Archetypes!$D$15*Archetypes!$D$22)*(Archetypes!$D$13*IF(AF51&lt;0,1-Assumptions!$B$33*MIN(1,ABS(AF51)/ABS(Assumptions!$B$21)),1))*5*Assumptions!$B$18))*IF(AF51&lt;0,Assumptions!$B$9,1)))*$E51</f>
        <v>939.63674999999989</v>
      </c>
      <c r="AO51" s="21">
        <f>(AO50)+(AN51)-(MAX(0,((AO50)+(AN51)-(AP51)))*(IF(Archetypes!$D$27="",Assumptions!$B$11,Archetypes!$D$27)))</f>
        <v>22967.298736941775</v>
      </c>
      <c r="AP51" s="21">
        <f>Archetypes!$D$36 + (Assumptions!$B$67*(IF($E51=0,0,AI51/$E51))*Assumptions!$B$71*(1+Assumptions!$B$68*(Archetypes!$D$14-1))) + (Assumptions!$B$69*Archetypes!$D$34*(IF($E51=0,0,AI51/$E51))*Assumptions!$B$72*POWER(Assumptions!$B$70,Archetypes!$D$18-1))</f>
        <v>20774.800648960005</v>
      </c>
      <c r="AQ51" s="21">
        <f t="shared" si="7"/>
        <v>2192.4980879817704</v>
      </c>
    </row>
  </sheetData>
  <mergeCells count="4">
    <mergeCell ref="F2:Q2"/>
    <mergeCell ref="S2:AD2"/>
    <mergeCell ref="A1:AZ1"/>
    <mergeCell ref="AF2:AQ2"/>
  </mergeCells>
  <conditionalFormatting sqref="G4:G51">
    <cfRule type="cellIs" dxfId="31" priority="16" operator="greaterThanOrEqual">
      <formula>25</formula>
    </cfRule>
  </conditionalFormatting>
  <conditionalFormatting sqref="P4:P51">
    <cfRule type="expression" dxfId="30" priority="13">
      <formula>$P4&gt;$O4</formula>
    </cfRule>
  </conditionalFormatting>
  <conditionalFormatting sqref="Q4:Q51">
    <cfRule type="cellIs" dxfId="29" priority="14" operator="lessThan">
      <formula>0</formula>
    </cfRule>
  </conditionalFormatting>
  <conditionalFormatting sqref="T4:T51">
    <cfRule type="cellIs" dxfId="28" priority="20" operator="greaterThanOrEqual">
      <formula>25</formula>
    </cfRule>
  </conditionalFormatting>
  <conditionalFormatting sqref="AC4:AC51">
    <cfRule type="expression" dxfId="27" priority="17">
      <formula>$AC4&gt;$AB4</formula>
    </cfRule>
  </conditionalFormatting>
  <conditionalFormatting sqref="AD4:AD51">
    <cfRule type="cellIs" dxfId="26" priority="18" operator="lessThan">
      <formula>0</formula>
    </cfRule>
  </conditionalFormatting>
  <conditionalFormatting sqref="AG4:AG51">
    <cfRule type="cellIs" dxfId="25" priority="24" operator="greaterThanOrEqual">
      <formula>25</formula>
    </cfRule>
  </conditionalFormatting>
  <conditionalFormatting sqref="AP4:AP51">
    <cfRule type="expression" dxfId="24" priority="21">
      <formula>$AP4&gt;$AO4</formula>
    </cfRule>
  </conditionalFormatting>
  <conditionalFormatting sqref="AQ4:AQ51">
    <cfRule type="cellIs" dxfId="23" priority="22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32"/>
  <sheetViews>
    <sheetView workbookViewId="0">
      <selection activeCell="A2" sqref="A1:AZ1048576"/>
    </sheetView>
  </sheetViews>
  <sheetFormatPr defaultRowHeight="15" x14ac:dyDescent="0.25"/>
  <cols>
    <col min="1" max="1" width="12" style="22" customWidth="1"/>
    <col min="2" max="2" width="6" style="22" customWidth="1"/>
    <col min="3" max="3" width="10" style="22" customWidth="1"/>
    <col min="4" max="4" width="12" style="22" customWidth="1"/>
    <col min="5" max="5" width="10" style="22" customWidth="1"/>
    <col min="6" max="17" width="14" style="22" customWidth="1"/>
    <col min="18" max="18" width="9.140625" style="22" customWidth="1"/>
    <col min="19" max="30" width="14" style="22" customWidth="1"/>
    <col min="31" max="31" width="9.140625" style="22" customWidth="1"/>
    <col min="32" max="43" width="14" style="22" customWidth="1"/>
    <col min="44" max="52" width="9.140625" style="22" customWidth="1"/>
  </cols>
  <sheetData>
    <row r="1" spans="1:52" x14ac:dyDescent="0.25">
      <c r="A1" s="38" t="s">
        <v>179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</row>
    <row r="2" spans="1:52" x14ac:dyDescent="0.25">
      <c r="F2" s="37" t="s">
        <v>122</v>
      </c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S2" s="37" t="s">
        <v>123</v>
      </c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F2" s="37" t="s">
        <v>124</v>
      </c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</row>
    <row r="3" spans="1:52" ht="30" customHeight="1" x14ac:dyDescent="0.25">
      <c r="A3" s="14" t="s">
        <v>162</v>
      </c>
      <c r="B3" s="14" t="s">
        <v>163</v>
      </c>
      <c r="C3" s="14" t="s">
        <v>164</v>
      </c>
      <c r="D3" s="14" t="s">
        <v>165</v>
      </c>
      <c r="E3" s="14" t="s">
        <v>166</v>
      </c>
      <c r="F3" s="14" t="s">
        <v>167</v>
      </c>
      <c r="G3" s="14" t="s">
        <v>168</v>
      </c>
      <c r="H3" s="14" t="s">
        <v>169</v>
      </c>
      <c r="I3" s="14" t="s">
        <v>170</v>
      </c>
      <c r="J3" s="14" t="s">
        <v>171</v>
      </c>
      <c r="K3" s="14" t="s">
        <v>172</v>
      </c>
      <c r="L3" s="14" t="s">
        <v>173</v>
      </c>
      <c r="M3" s="14" t="s">
        <v>174</v>
      </c>
      <c r="N3" s="14" t="s">
        <v>175</v>
      </c>
      <c r="O3" s="14" t="s">
        <v>176</v>
      </c>
      <c r="P3" s="14" t="s">
        <v>177</v>
      </c>
      <c r="Q3" s="14" t="s">
        <v>178</v>
      </c>
      <c r="S3" s="14" t="s">
        <v>167</v>
      </c>
      <c r="T3" s="14" t="s">
        <v>168</v>
      </c>
      <c r="U3" s="14" t="s">
        <v>169</v>
      </c>
      <c r="V3" s="14" t="s">
        <v>170</v>
      </c>
      <c r="W3" s="14" t="s">
        <v>171</v>
      </c>
      <c r="X3" s="14" t="s">
        <v>172</v>
      </c>
      <c r="Y3" s="14" t="s">
        <v>173</v>
      </c>
      <c r="Z3" s="14" t="s">
        <v>174</v>
      </c>
      <c r="AA3" s="14" t="s">
        <v>175</v>
      </c>
      <c r="AB3" s="14" t="s">
        <v>176</v>
      </c>
      <c r="AC3" s="14" t="s">
        <v>177</v>
      </c>
      <c r="AD3" s="14" t="s">
        <v>178</v>
      </c>
      <c r="AF3" s="14" t="s">
        <v>167</v>
      </c>
      <c r="AG3" s="14" t="s">
        <v>168</v>
      </c>
      <c r="AH3" s="14" t="s">
        <v>169</v>
      </c>
      <c r="AI3" s="14" t="s">
        <v>170</v>
      </c>
      <c r="AJ3" s="14" t="s">
        <v>171</v>
      </c>
      <c r="AK3" s="14" t="s">
        <v>172</v>
      </c>
      <c r="AL3" s="14" t="s">
        <v>173</v>
      </c>
      <c r="AM3" s="14" t="s">
        <v>174</v>
      </c>
      <c r="AN3" s="14" t="s">
        <v>175</v>
      </c>
      <c r="AO3" s="14" t="s">
        <v>176</v>
      </c>
      <c r="AP3" s="14" t="s">
        <v>177</v>
      </c>
      <c r="AQ3" s="14" t="s">
        <v>178</v>
      </c>
    </row>
    <row r="4" spans="1:52" x14ac:dyDescent="0.25">
      <c r="A4" s="20">
        <v>0</v>
      </c>
      <c r="B4" s="20">
        <f t="shared" ref="B4:B32" si="0">INT(A4/24)+1</f>
        <v>1</v>
      </c>
      <c r="C4" s="20">
        <f t="shared" ref="C4:C32" si="1">MOD(A4,24)</f>
        <v>0</v>
      </c>
      <c r="D4" s="6">
        <f>IF(C4&lt;Assumptions!$B$10,1,0)</f>
        <v>1</v>
      </c>
      <c r="E4" s="6">
        <v>6</v>
      </c>
      <c r="F4" s="21">
        <f>Archetypes!$B$8</f>
        <v>0</v>
      </c>
      <c r="G4" s="21">
        <f>MAX(Assumptions!$B$21,F4+H4)</f>
        <v>-15</v>
      </c>
      <c r="H4" s="21">
        <f>((L4*(Assumptions!$B$22+((Assumptions!$B$23-Assumptions!$B$22)*IF(I4&gt;0,K4/I4,0)))*(1+Assumptions!$B$60*(Archetypes!$B$13-1)))+IF(L4&gt;I4,I4*Assumptions!$B$24,0)-IF(IF(I4&gt;0,M4/I4,1)&lt;Assumptions!$B$61,((M4*(Assumptions!$B$27*(1+Assumptions!$B$28*(Archetypes!$B$14-1))/(1+Assumptions!$B$29*(Archetypes!$B$12-1))))+(((I4*Archetypes!$B$17*IF(I4&gt;0,M4/I4,1)*Archetypes!$B$31)/100)*Assumptions!$B$30))*Assumptions!$B$62,((M4*(Assumptions!$B$27*(1+Assumptions!$B$28*(Archetypes!$B$14-1))/(1+Assumptions!$B$29*(Archetypes!$B$12-1))))+(((I4*Archetypes!$B$17*IF(I4&gt;0,M4/I4,1)*Archetypes!$B$31)/100)*Assumptions!$B$30)))-(Assumptions!$B$25*Assumptions!$B$26*E4))*E4</f>
        <v>-74.524378909090885</v>
      </c>
      <c r="I4" s="21">
        <f>(Archetypes!$B$11*(IF(F4&lt;0,1+Assumptions!$B$32*MIN(1,ABS(F4)/ABS(Assumptions!$B$21)),MAX(0.1,1-Assumptions!$B$31*(F4/50)))))*$E4</f>
        <v>60</v>
      </c>
      <c r="J4" s="26">
        <f>Archetypes!$B$30</f>
        <v>2.1999999999999999E-2</v>
      </c>
      <c r="K4" s="21">
        <f t="shared" ref="K4:K32" si="2">I4*J4</f>
        <v>1.3199999999999998</v>
      </c>
      <c r="L4" s="21">
        <f>((I4-K4)*Archetypes!$B$15)+(K4*Archetypes!$B$15*Archetypes!$B$22)</f>
        <v>6.0264000000000006</v>
      </c>
      <c r="M4" s="21">
        <f>I4*Archetypes!$B$16</f>
        <v>45</v>
      </c>
      <c r="N4" s="21">
        <f>(IF(F4&lt;0,Assumptions!$B$8,IF(F4&lt;10,Assumptions!$B$34,IF(F4&lt;25,Assumptions!$B$35,Assumptions!$B$36))))*((((Archetypes!$B$5*Assumptions!$B$4+Archetypes!$B$6*Assumptions!$B$5)*60))+(Assumptions!$B$6*(((Archetypes!$B$11*(IF(F4&lt;0,1+Assumptions!$B$32*MIN(1,ABS(F4)/ABS(Assumptions!$B$21)),MAX(0.1,1-Assumptions!$B$31*(F4/50)))))-((Archetypes!$B$11*(IF(F4&lt;0,1+Assumptions!$B$32*MIN(1,ABS(F4)/ABS(Assumptions!$B$21)),MAX(0.1,1-Assumptions!$B$31*(F4/50)))))*J4)*Archetypes!$B$20)+((Archetypes!$B$11*(IF(F4&lt;0,1+Assumptions!$B$32*MIN(1,ABS(F4)/ABS(Assumptions!$B$21)),MAX(0.1,1-Assumptions!$B$31*(F4/50)))))*J4*Archetypes!$B$20*Archetypes!$B$21)*Assumptions!$B$18)*(IF($D4=1,1,Assumptions!$B$7)))+(((((Archetypes!$B$11*(IF(F4&lt;0,1+Assumptions!$B$32*MIN(1,ABS(F4)/ABS(Assumptions!$B$21)),MAX(0.1,1-Assumptions!$B$31*(F4/50)))))-((Archetypes!$B$11*(IF(F4&lt;0,1+Assumptions!$B$32*MIN(1,ABS(F4)/ABS(Assumptions!$B$21)),MAX(0.1,1-Assumptions!$B$31*(F4/50)))))*J4)*Archetypes!$B$15)*(Archetypes!$B$13*IF(F4&lt;0,1-Assumptions!$B$33*MIN(1,ABS(F4)/ABS(Assumptions!$B$21)),1))*5)+(((Archetypes!$B$11*(IF(F4&lt;0,1+Assumptions!$B$32*MIN(1,ABS(F4)/ABS(Assumptions!$B$21)),MAX(0.1,1-Assumptions!$B$31*(F4/50)))))*J4*Archetypes!$B$15*Archetypes!$B$22)*(Archetypes!$B$13*IF(F4&lt;0,1-Assumptions!$B$33*MIN(1,ABS(F4)/ABS(Assumptions!$B$21)),1))*5*Assumptions!$B$18))*IF(F4&lt;0,Assumptions!$B$9,1)))*$E4</f>
        <v>3964.32</v>
      </c>
      <c r="O4" s="21">
        <f>(Archetypes!$B$7)+(N4)-(MAX(0,((Archetypes!$B$7)+(N4)-(P4)))*(IF(Archetypes!$B$27="",Assumptions!$B$11,Archetypes!$B$27)))</f>
        <v>3666.768</v>
      </c>
      <c r="P4" s="21">
        <f>Archetypes!$B$36 + (Assumptions!$B$67*(IF($E4=0,0,I4/$E4))*Assumptions!$B$71*(1+Assumptions!$B$68*(Archetypes!$B$14-1))) + (Assumptions!$B$69*Archetypes!$B$34*(IF($E4=0,0,I4/$E4))*Assumptions!$B$72*POWER(Assumptions!$B$70,Archetypes!$B$18-1))</f>
        <v>2476.56</v>
      </c>
      <c r="Q4" s="21">
        <f t="shared" ref="Q4:Q32" si="3">MAX(0,(O4)-(P4))</f>
        <v>1190.2080000000001</v>
      </c>
      <c r="S4" s="21">
        <f>Archetypes!$C$8</f>
        <v>5</v>
      </c>
      <c r="T4" s="21">
        <f>MAX(Assumptions!$B$21,S4+U4)</f>
        <v>151.16458043840001</v>
      </c>
      <c r="U4" s="21">
        <f>((Y4*(Assumptions!$B$22+((Assumptions!$B$23-Assumptions!$B$22)*IF(V4&gt;0,X4/V4,0)))*(1+Assumptions!$B$60*(Archetypes!$C$13-1)))+IF(Y4&gt;V4,V4*Assumptions!$B$24,0)-IF(IF(V4&gt;0,Z4/V4,1)&lt;Assumptions!$B$61,((Z4*(Assumptions!$B$27*(1+Assumptions!$B$28*(Archetypes!$C$14-1))/(1+Assumptions!$B$29*(Archetypes!$C$12-1))))+(((V4*Archetypes!$C$17*IF(V4&gt;0,Z4/V4,1)*Archetypes!$C$31)/100)*Assumptions!$B$30))*Assumptions!$B$62,((Z4*(Assumptions!$B$27*(1+Assumptions!$B$28*(Archetypes!$C$14-1))/(1+Assumptions!$B$29*(Archetypes!$C$12-1))))+(((V4*Archetypes!$C$17*IF(V4&gt;0,Z4/V4,1)*Archetypes!$C$31)/100)*Assumptions!$B$30)))-(Assumptions!$B$25*Assumptions!$B$26*E4))*E4</f>
        <v>146.16458043840001</v>
      </c>
      <c r="V4" s="21">
        <f>(Archetypes!$C$11*(IF(S4&lt;0,1+Assumptions!$B$32*MIN(1,ABS(S4)/ABS(Assumptions!$B$21)),MAX(0.1,1-Assumptions!$B$31*(S4/50)))))*$E4</f>
        <v>33.839999999999996</v>
      </c>
      <c r="W4" s="26">
        <f>Archetypes!$C$30</f>
        <v>3.7999999999999999E-2</v>
      </c>
      <c r="X4" s="21">
        <f t="shared" ref="X4:X32" si="4">V4*W4</f>
        <v>1.2859199999999997</v>
      </c>
      <c r="Y4" s="21">
        <f>((V4-X4)*Archetypes!$C$15)+(X4*Archetypes!$C$15*Archetypes!$C$22)</f>
        <v>17.112887999999998</v>
      </c>
      <c r="Z4" s="21">
        <f>V4*Archetypes!$C$16</f>
        <v>15.227999999999998</v>
      </c>
      <c r="AA4" s="21">
        <f>(IF(S4&lt;0,Assumptions!$B$8,IF(S4&lt;10,Assumptions!$B$34,IF(S4&lt;25,Assumptions!$B$35,Assumptions!$B$36))))*((((Archetypes!$C$5*Assumptions!$B$4+Archetypes!$C$6*Assumptions!$B$5)*60))+(Assumptions!$B$6*(((Archetypes!$C$11*(IF(S4&lt;0,1+Assumptions!$B$32*MIN(1,ABS(S4)/ABS(Assumptions!$B$21)),MAX(0.1,1-Assumptions!$B$31*(S4/50)))))-((Archetypes!$C$11*(IF(S4&lt;0,1+Assumptions!$B$32*MIN(1,ABS(S4)/ABS(Assumptions!$B$21)),MAX(0.1,1-Assumptions!$B$31*(S4/50)))))*W4)*Archetypes!$C$20)+((Archetypes!$C$11*(IF(S4&lt;0,1+Assumptions!$B$32*MIN(1,ABS(S4)/ABS(Assumptions!$B$21)),MAX(0.1,1-Assumptions!$B$31*(S4/50)))))*W4*Archetypes!$C$20*Archetypes!$C$21)*Assumptions!$B$18)*(IF($D4=1,1,Assumptions!$B$7)))+(((((Archetypes!$C$11*(IF(S4&lt;0,1+Assumptions!$B$32*MIN(1,ABS(S4)/ABS(Assumptions!$B$21)),MAX(0.1,1-Assumptions!$B$31*(S4/50)))))-((Archetypes!$C$11*(IF(S4&lt;0,1+Assumptions!$B$32*MIN(1,ABS(S4)/ABS(Assumptions!$B$21)),MAX(0.1,1-Assumptions!$B$31*(S4/50)))))*W4)*Archetypes!$C$15)*(Archetypes!$C$13*IF(S4&lt;0,1-Assumptions!$B$33*MIN(1,ABS(S4)/ABS(Assumptions!$B$21)),1))*5)+(((Archetypes!$C$11*(IF(S4&lt;0,1+Assumptions!$B$32*MIN(1,ABS(S4)/ABS(Assumptions!$B$21)),MAX(0.1,1-Assumptions!$B$31*(S4/50)))))*W4*Archetypes!$C$15*Archetypes!$C$22)*(Archetypes!$C$13*IF(S4&lt;0,1-Assumptions!$B$33*MIN(1,ABS(S4)/ABS(Assumptions!$B$21)),1))*5*Assumptions!$B$18))*IF(S4&lt;0,Assumptions!$B$9,1)))*$E4</f>
        <v>9142.7939999999999</v>
      </c>
      <c r="AB4" s="21">
        <f>(Archetypes!$C$7)+(AA4)-(MAX(0,((Archetypes!$C$7)+(AA4)-(AC4)))*(IF(Archetypes!$C$27="",Assumptions!$B$11,Archetypes!$C$27)))</f>
        <v>9142.7939999999999</v>
      </c>
      <c r="AC4" s="21">
        <f>Archetypes!$C$36 + (Assumptions!$B$67*(IF($E4=0,0,V4/$E4))*Assumptions!$B$71*(1+Assumptions!$B$68*(Archetypes!$C$14-1))) + (Assumptions!$B$69*Archetypes!$C$34*(IF($E4=0,0,V4/$E4))*Assumptions!$B$72*POWER(Assumptions!$B$70,Archetypes!$C$18-1))</f>
        <v>9561.9600000000009</v>
      </c>
      <c r="AD4" s="21">
        <f t="shared" ref="AD4:AD32" si="5">MAX(0,(AB4)-(AC4))</f>
        <v>0</v>
      </c>
      <c r="AF4" s="21">
        <f>Archetypes!$D$8</f>
        <v>15</v>
      </c>
      <c r="AG4" s="21">
        <f>MAX(Assumptions!$B$21,AF4+AH4)</f>
        <v>323.49338784548576</v>
      </c>
      <c r="AH4" s="21">
        <f>((AL4*(Assumptions!$B$22+((Assumptions!$B$23-Assumptions!$B$22)*IF(AI4&gt;0,AK4/AI4,0)))*(1+Assumptions!$B$60*(Archetypes!$D$13-1)))+IF(AL4&gt;AI4,AI4*Assumptions!$B$24,0)-IF(IF(AI4&gt;0,AM4/AI4,1)&lt;Assumptions!$B$61,((AM4*(Assumptions!$B$27*(1+Assumptions!$B$28*(Archetypes!$D$14-1))/(1+Assumptions!$B$29*(Archetypes!$D$12-1))))+(((AI4*Archetypes!$D$17*IF(AI4&gt;0,AM4/AI4,1)*Archetypes!$D$31)/100)*Assumptions!$B$30))*Assumptions!$B$62,((AM4*(Assumptions!$B$27*(1+Assumptions!$B$28*(Archetypes!$D$14-1))/(1+Assumptions!$B$29*(Archetypes!$D$12-1))))+(((AI4*Archetypes!$D$17*IF(AI4&gt;0,AM4/AI4,1)*Archetypes!$D$31)/100)*Assumptions!$B$30)))-(Assumptions!$B$25*Assumptions!$B$26*E4))*E4</f>
        <v>308.49338784548576</v>
      </c>
      <c r="AI4" s="21">
        <f>(Archetypes!$D$11*(IF(AF4&lt;0,1+Assumptions!$B$32*MIN(1,ABS(AF4)/ABS(Assumptions!$B$21)),MAX(0.1,1-Assumptions!$B$31*(AF4/50)))))*$E4</f>
        <v>14.76</v>
      </c>
      <c r="AJ4" s="26">
        <f>Archetypes!$D$30</f>
        <v>0.10400000000000001</v>
      </c>
      <c r="AK4" s="21">
        <f t="shared" ref="AK4:AK32" si="6">AI4*AJ4</f>
        <v>1.5350400000000002</v>
      </c>
      <c r="AL4" s="21">
        <f>((AI4-AK4)*Archetypes!$D$15)+(AK4*Archetypes!$D$15*Archetypes!$D$22)</f>
        <v>23.061024</v>
      </c>
      <c r="AM4" s="21">
        <f>AI4*Archetypes!$D$16</f>
        <v>2.952</v>
      </c>
      <c r="AN4" s="21">
        <f>(IF(AF4&lt;0,Assumptions!$B$8,IF(AF4&lt;10,Assumptions!$B$34,IF(AF4&lt;25,Assumptions!$B$35,Assumptions!$B$36))))*((((Archetypes!$D$5*Assumptions!$B$4+Archetypes!$D$6*Assumptions!$B$5)*60))+(Assumptions!$B$6*(((Archetypes!$D$11*(IF(AF4&lt;0,1+Assumptions!$B$32*MIN(1,ABS(AF4)/ABS(Assumptions!$B$21)),MAX(0.1,1-Assumptions!$B$31*(AF4/50)))))-((Archetypes!$D$11*(IF(AF4&lt;0,1+Assumptions!$B$32*MIN(1,ABS(AF4)/ABS(Assumptions!$B$21)),MAX(0.1,1-Assumptions!$B$31*(AF4/50)))))*AJ4)*Archetypes!$D$20)+((Archetypes!$D$11*(IF(AF4&lt;0,1+Assumptions!$B$32*MIN(1,ABS(AF4)/ABS(Assumptions!$B$21)),MAX(0.1,1-Assumptions!$B$31*(AF4/50)))))*AJ4*Archetypes!$D$20*Archetypes!$D$21)*Assumptions!$B$18)*(IF($D4=1,1,Assumptions!$B$7)))+(((((Archetypes!$D$11*(IF(AF4&lt;0,1+Assumptions!$B$32*MIN(1,ABS(AF4)/ABS(Assumptions!$B$21)),MAX(0.1,1-Assumptions!$B$31*(AF4/50)))))-((Archetypes!$D$11*(IF(AF4&lt;0,1+Assumptions!$B$32*MIN(1,ABS(AF4)/ABS(Assumptions!$B$21)),MAX(0.1,1-Assumptions!$B$31*(AF4/50)))))*AJ4)*Archetypes!$D$15)*(Archetypes!$D$13*IF(AF4&lt;0,1-Assumptions!$B$33*MIN(1,ABS(AF4)/ABS(Assumptions!$B$21)),1))*5)+(((Archetypes!$D$11*(IF(AF4&lt;0,1+Assumptions!$B$32*MIN(1,ABS(AF4)/ABS(Assumptions!$B$21)),MAX(0.1,1-Assumptions!$B$31*(AF4/50)))))*AJ4*Archetypes!$D$15*Archetypes!$D$22)*(Archetypes!$D$13*IF(AF4&lt;0,1-Assumptions!$B$33*MIN(1,ABS(AF4)/ABS(Assumptions!$B$21)),1))*5*Assumptions!$B$18))*IF(AF4&lt;0,Assumptions!$B$9,1)))*$E4</f>
        <v>15034.867199999997</v>
      </c>
      <c r="AO4" s="21">
        <f>(Archetypes!$D$7)+(AN4)-(MAX(0,((Archetypes!$D$7)+(AN4)-(AP4)))*(IF(Archetypes!$D$27="",Assumptions!$B$11,Archetypes!$D$27)))</f>
        <v>15034.867199999997</v>
      </c>
      <c r="AP4" s="21">
        <f>Archetypes!$D$36 + (Assumptions!$B$67*(IF($E4=0,0,AI4/$E4))*Assumptions!$B$71*(1+Assumptions!$B$68*(Archetypes!$D$14-1))) + (Assumptions!$B$69*Archetypes!$D$34*(IF($E4=0,0,AI4/$E4))*Assumptions!$B$72*POWER(Assumptions!$B$70,Archetypes!$D$18-1))</f>
        <v>21189.520648960006</v>
      </c>
      <c r="AQ4" s="21">
        <f t="shared" ref="AQ4:AQ32" si="7">MAX(0,(AO4)-(AP4))</f>
        <v>0</v>
      </c>
    </row>
    <row r="5" spans="1:52" x14ac:dyDescent="0.25">
      <c r="A5" s="20">
        <v>6</v>
      </c>
      <c r="B5" s="20">
        <f t="shared" si="0"/>
        <v>1</v>
      </c>
      <c r="C5" s="20">
        <f t="shared" si="1"/>
        <v>6</v>
      </c>
      <c r="D5" s="6">
        <f>IF(C5&lt;Assumptions!$B$10,1,0)</f>
        <v>0</v>
      </c>
      <c r="E5" s="6">
        <v>6</v>
      </c>
      <c r="F5" s="21">
        <f t="shared" ref="F5:F32" si="8">G4</f>
        <v>-15</v>
      </c>
      <c r="G5" s="21">
        <f>MAX(Assumptions!$B$21,F5+H5)</f>
        <v>-15</v>
      </c>
      <c r="H5" s="21">
        <f>((L5*(Assumptions!$B$22+((Assumptions!$B$23-Assumptions!$B$22)*IF(I5&gt;0,K5/I5,0)))*(1+Assumptions!$B$60*(Archetypes!$B$13-1)))+IF(L5&gt;I5,I5*Assumptions!$B$24,0)-IF(IF(I5&gt;0,M5/I5,1)&lt;Assumptions!$B$61,((M5*(Assumptions!$B$27*(1+Assumptions!$B$28*(Archetypes!$B$14-1))/(1+Assumptions!$B$29*(Archetypes!$B$12-1))))+(((I5*Archetypes!$B$17*IF(I5&gt;0,M5/I5,1)*Archetypes!$B$31)/100)*Assumptions!$B$30))*Assumptions!$B$62,((M5*(Assumptions!$B$27*(1+Assumptions!$B$28*(Archetypes!$B$14-1))/(1+Assumptions!$B$29*(Archetypes!$B$12-1))))+(((I5*Archetypes!$B$17*IF(I5&gt;0,M5/I5,1)*Archetypes!$B$31)/100)*Assumptions!$B$30)))-(Assumptions!$B$25*Assumptions!$B$26*E5))*E5</f>
        <v>-102.17413047272723</v>
      </c>
      <c r="I5" s="21">
        <f>(Archetypes!$B$11*(IF(F5&lt;0,1+Assumptions!$B$32*MIN(1,ABS(F5)/ABS(Assumptions!$B$21)),MAX(0.1,1-Assumptions!$B$31*(F5/50)))))*$E5</f>
        <v>84</v>
      </c>
      <c r="J5" s="26">
        <f>Archetypes!$B$30</f>
        <v>2.1999999999999999E-2</v>
      </c>
      <c r="K5" s="21">
        <f t="shared" si="2"/>
        <v>1.8479999999999999</v>
      </c>
      <c r="L5" s="21">
        <f>((I5-K5)*Archetypes!$B$15)+(K5*Archetypes!$B$15*Archetypes!$B$22)</f>
        <v>8.4369600000000009</v>
      </c>
      <c r="M5" s="21">
        <f>I5*Archetypes!$B$16</f>
        <v>63</v>
      </c>
      <c r="N5" s="21">
        <f>(IF(F5&lt;0,Assumptions!$B$8,IF(F5&lt;10,Assumptions!$B$34,IF(F5&lt;25,Assumptions!$B$35,Assumptions!$B$36))))*((((Archetypes!$B$5*Assumptions!$B$4+Archetypes!$B$6*Assumptions!$B$5)*60))+(Assumptions!$B$6*(((Archetypes!$B$11*(IF(F5&lt;0,1+Assumptions!$B$32*MIN(1,ABS(F5)/ABS(Assumptions!$B$21)),MAX(0.1,1-Assumptions!$B$31*(F5/50)))))-((Archetypes!$B$11*(IF(F5&lt;0,1+Assumptions!$B$32*MIN(1,ABS(F5)/ABS(Assumptions!$B$21)),MAX(0.1,1-Assumptions!$B$31*(F5/50)))))*J5)*Archetypes!$B$20)+((Archetypes!$B$11*(IF(F5&lt;0,1+Assumptions!$B$32*MIN(1,ABS(F5)/ABS(Assumptions!$B$21)),MAX(0.1,1-Assumptions!$B$31*(F5/50)))))*J5*Archetypes!$B$20*Archetypes!$B$21)*Assumptions!$B$18)*(IF($D5=1,1,Assumptions!$B$7)))+(((((Archetypes!$B$11*(IF(F5&lt;0,1+Assumptions!$B$32*MIN(1,ABS(F5)/ABS(Assumptions!$B$21)),MAX(0.1,1-Assumptions!$B$31*(F5/50)))))-((Archetypes!$B$11*(IF(F5&lt;0,1+Assumptions!$B$32*MIN(1,ABS(F5)/ABS(Assumptions!$B$21)),MAX(0.1,1-Assumptions!$B$31*(F5/50)))))*J5)*Archetypes!$B$15)*(Archetypes!$B$13*IF(F5&lt;0,1-Assumptions!$B$33*MIN(1,ABS(F5)/ABS(Assumptions!$B$21)),1))*5)+(((Archetypes!$B$11*(IF(F5&lt;0,1+Assumptions!$B$32*MIN(1,ABS(F5)/ABS(Assumptions!$B$21)),MAX(0.1,1-Assumptions!$B$31*(F5/50)))))*J5*Archetypes!$B$15*Archetypes!$B$22)*(Archetypes!$B$13*IF(F5&lt;0,1-Assumptions!$B$33*MIN(1,ABS(F5)/ABS(Assumptions!$B$21)),1))*5*Assumptions!$B$18))*IF(F5&lt;0,Assumptions!$B$9,1)))*$E5</f>
        <v>2906.8712639999999</v>
      </c>
      <c r="O5" s="21">
        <f>(O4)+(N5)-(MAX(0,((O4)+(N5)-(P5)))*(IF(Archetypes!$B$27="",Assumptions!$B$11,Archetypes!$B$27)))</f>
        <v>5792.6234111999993</v>
      </c>
      <c r="P5" s="21">
        <f>Archetypes!$B$36 + (Assumptions!$B$67*(IF($E5=0,0,I5/$E5))*Assumptions!$B$71*(1+Assumptions!$B$68*(Archetypes!$B$14-1))) + (Assumptions!$B$69*Archetypes!$B$34*(IF($E5=0,0,I5/$E5))*Assumptions!$B$72*POWER(Assumptions!$B$70,Archetypes!$B$18-1))</f>
        <v>2668.56</v>
      </c>
      <c r="Q5" s="21">
        <f t="shared" si="3"/>
        <v>3124.0634111999993</v>
      </c>
      <c r="S5" s="21">
        <f t="shared" ref="S5:S32" si="9">T4</f>
        <v>151.16458043840001</v>
      </c>
      <c r="T5" s="21">
        <f>MAX(Assumptions!$B$21,S5+U5)</f>
        <v>161.88847197440001</v>
      </c>
      <c r="U5" s="21">
        <f>((Y5*(Assumptions!$B$22+((Assumptions!$B$23-Assumptions!$B$22)*IF(V5&gt;0,X5/V5,0)))*(1+Assumptions!$B$60*(Archetypes!$C$13-1)))+IF(Y5&gt;V5,V5*Assumptions!$B$24,0)-IF(IF(V5&gt;0,Z5/V5,1)&lt;Assumptions!$B$61,((Z5*(Assumptions!$B$27*(1+Assumptions!$B$28*(Archetypes!$C$14-1))/(1+Assumptions!$B$29*(Archetypes!$C$12-1))))+(((V5*Archetypes!$C$17*IF(V5&gt;0,Z5/V5,1)*Archetypes!$C$31)/100)*Assumptions!$B$30))*Assumptions!$B$62,((Z5*(Assumptions!$B$27*(1+Assumptions!$B$28*(Archetypes!$C$14-1))/(1+Assumptions!$B$29*(Archetypes!$C$12-1))))+(((V5*Archetypes!$C$17*IF(V5&gt;0,Z5/V5,1)*Archetypes!$C$31)/100)*Assumptions!$B$30)))-(Assumptions!$B$25*Assumptions!$B$26*E5))*E5</f>
        <v>10.723891536000004</v>
      </c>
      <c r="V5" s="21">
        <f>(Archetypes!$C$11*(IF(S5&lt;0,1+Assumptions!$B$32*MIN(1,ABS(S5)/ABS(Assumptions!$B$21)),MAX(0.1,1-Assumptions!$B$31*(S5/50)))))*$E5</f>
        <v>3.6000000000000005</v>
      </c>
      <c r="W5" s="26">
        <f>Archetypes!$C$30</f>
        <v>3.7999999999999999E-2</v>
      </c>
      <c r="X5" s="21">
        <f t="shared" si="4"/>
        <v>0.1368</v>
      </c>
      <c r="Y5" s="21">
        <f>((V5-X5)*Archetypes!$C$15)+(X5*Archetypes!$C$15*Archetypes!$C$22)</f>
        <v>1.8205200000000004</v>
      </c>
      <c r="Z5" s="21">
        <f>V5*Archetypes!$C$16</f>
        <v>1.6200000000000003</v>
      </c>
      <c r="AA5" s="21">
        <f>(IF(S5&lt;0,Assumptions!$B$8,IF(S5&lt;10,Assumptions!$B$34,IF(S5&lt;25,Assumptions!$B$35,Assumptions!$B$36))))*((((Archetypes!$C$5*Assumptions!$B$4+Archetypes!$C$6*Assumptions!$B$5)*60))+(Assumptions!$B$6*(((Archetypes!$C$11*(IF(S5&lt;0,1+Assumptions!$B$32*MIN(1,ABS(S5)/ABS(Assumptions!$B$21)),MAX(0.1,1-Assumptions!$B$31*(S5/50)))))-((Archetypes!$C$11*(IF(S5&lt;0,1+Assumptions!$B$32*MIN(1,ABS(S5)/ABS(Assumptions!$B$21)),MAX(0.1,1-Assumptions!$B$31*(S5/50)))))*W5)*Archetypes!$C$20)+((Archetypes!$C$11*(IF(S5&lt;0,1+Assumptions!$B$32*MIN(1,ABS(S5)/ABS(Assumptions!$B$21)),MAX(0.1,1-Assumptions!$B$31*(S5/50)))))*W5*Archetypes!$C$20*Archetypes!$C$21)*Assumptions!$B$18)*(IF($D5=1,1,Assumptions!$B$7)))+(((((Archetypes!$C$11*(IF(S5&lt;0,1+Assumptions!$B$32*MIN(1,ABS(S5)/ABS(Assumptions!$B$21)),MAX(0.1,1-Assumptions!$B$31*(S5/50)))))-((Archetypes!$C$11*(IF(S5&lt;0,1+Assumptions!$B$32*MIN(1,ABS(S5)/ABS(Assumptions!$B$21)),MAX(0.1,1-Assumptions!$B$31*(S5/50)))))*W5)*Archetypes!$C$15)*(Archetypes!$C$13*IF(S5&lt;0,1-Assumptions!$B$33*MIN(1,ABS(S5)/ABS(Assumptions!$B$21)),1))*5)+(((Archetypes!$C$11*(IF(S5&lt;0,1+Assumptions!$B$32*MIN(1,ABS(S5)/ABS(Assumptions!$B$21)),MAX(0.1,1-Assumptions!$B$31*(S5/50)))))*W5*Archetypes!$C$15*Archetypes!$C$22)*(Archetypes!$C$13*IF(S5&lt;0,1-Assumptions!$B$33*MIN(1,ABS(S5)/ABS(Assumptions!$B$21)),1))*5*Assumptions!$B$18))*IF(S5&lt;0,Assumptions!$B$9,1)))*$E5</f>
        <v>3492.4942799999999</v>
      </c>
      <c r="AB5" s="21">
        <f>(AB4)+(AA5)-(MAX(0,((AB4)+(AA5)-(AC5)))*(IF(Archetypes!$C$27="",Assumptions!$B$11,Archetypes!$C$27)))</f>
        <v>11753.556210000001</v>
      </c>
      <c r="AC5" s="21">
        <f>Archetypes!$C$36 + (Assumptions!$B$67*(IF($E5=0,0,V5/$E5))*Assumptions!$B$71*(1+Assumptions!$B$68*(Archetypes!$C$14-1))) + (Assumptions!$B$69*Archetypes!$C$34*(IF($E5=0,0,V5/$E5))*Assumptions!$B$72*POWER(Assumptions!$B$70,Archetypes!$C$18-1))</f>
        <v>9108.3600000000024</v>
      </c>
      <c r="AD5" s="21">
        <f t="shared" si="5"/>
        <v>2645.1962099999982</v>
      </c>
      <c r="AF5" s="21">
        <f t="shared" ref="AF5:AF32" si="10">AG4</f>
        <v>323.49338784548576</v>
      </c>
      <c r="AG5" s="21">
        <f>MAX(Assumptions!$B$21,AF5+AH5)</f>
        <v>356.37306929005717</v>
      </c>
      <c r="AH5" s="21">
        <f>((AL5*(Assumptions!$B$22+((Assumptions!$B$23-Assumptions!$B$22)*IF(AI5&gt;0,AK5/AI5,0)))*(1+Assumptions!$B$60*(Archetypes!$D$13-1)))+IF(AL5&gt;AI5,AI5*Assumptions!$B$24,0)-IF(IF(AI5&gt;0,AM5/AI5,1)&lt;Assumptions!$B$61,((AM5*(Assumptions!$B$27*(1+Assumptions!$B$28*(Archetypes!$D$14-1))/(1+Assumptions!$B$29*(Archetypes!$D$12-1))))+(((AI5*Archetypes!$D$17*IF(AI5&gt;0,AM5/AI5,1)*Archetypes!$D$31)/100)*Assumptions!$B$30))*Assumptions!$B$62,((AM5*(Assumptions!$B$27*(1+Assumptions!$B$28*(Archetypes!$D$14-1))/(1+Assumptions!$B$29*(Archetypes!$D$12-1))))+(((AI5*Archetypes!$D$17*IF(AI5&gt;0,AM5/AI5,1)*Archetypes!$D$31)/100)*Assumptions!$B$30)))-(Assumptions!$B$25*Assumptions!$B$26*E5))*E5</f>
        <v>32.879681444571439</v>
      </c>
      <c r="AI5" s="21">
        <f>(Archetypes!$D$11*(IF(AF5&lt;0,1+Assumptions!$B$32*MIN(1,ABS(AF5)/ABS(Assumptions!$B$21)),MAX(0.1,1-Assumptions!$B$31*(AF5/50)))))*$E5</f>
        <v>1.8000000000000003</v>
      </c>
      <c r="AJ5" s="26">
        <f>Archetypes!$D$30</f>
        <v>0.10400000000000001</v>
      </c>
      <c r="AK5" s="21">
        <f t="shared" si="6"/>
        <v>0.18720000000000003</v>
      </c>
      <c r="AL5" s="21">
        <f>((AI5-AK5)*Archetypes!$D$15)+(AK5*Archetypes!$D$15*Archetypes!$D$22)</f>
        <v>2.8123200000000006</v>
      </c>
      <c r="AM5" s="21">
        <f>AI5*Archetypes!$D$16</f>
        <v>0.3600000000000001</v>
      </c>
      <c r="AN5" s="21">
        <f>(IF(AF5&lt;0,Assumptions!$B$8,IF(AF5&lt;10,Assumptions!$B$34,IF(AF5&lt;25,Assumptions!$B$35,Assumptions!$B$36))))*((((Archetypes!$D$5*Assumptions!$B$4+Archetypes!$D$6*Assumptions!$B$5)*60))+(Assumptions!$B$6*(((Archetypes!$D$11*(IF(AF5&lt;0,1+Assumptions!$B$32*MIN(1,ABS(AF5)/ABS(Assumptions!$B$21)),MAX(0.1,1-Assumptions!$B$31*(AF5/50)))))-((Archetypes!$D$11*(IF(AF5&lt;0,1+Assumptions!$B$32*MIN(1,ABS(AF5)/ABS(Assumptions!$B$21)),MAX(0.1,1-Assumptions!$B$31*(AF5/50)))))*AJ5)*Archetypes!$D$20)+((Archetypes!$D$11*(IF(AF5&lt;0,1+Assumptions!$B$32*MIN(1,ABS(AF5)/ABS(Assumptions!$B$21)),MAX(0.1,1-Assumptions!$B$31*(AF5/50)))))*AJ5*Archetypes!$D$20*Archetypes!$D$21)*Assumptions!$B$18)*(IF($D5=1,1,Assumptions!$B$7)))+(((((Archetypes!$D$11*(IF(AF5&lt;0,1+Assumptions!$B$32*MIN(1,ABS(AF5)/ABS(Assumptions!$B$21)),MAX(0.1,1-Assumptions!$B$31*(AF5/50)))))-((Archetypes!$D$11*(IF(AF5&lt;0,1+Assumptions!$B$32*MIN(1,ABS(AF5)/ABS(Assumptions!$B$21)),MAX(0.1,1-Assumptions!$B$31*(AF5/50)))))*AJ5)*Archetypes!$D$15)*(Archetypes!$D$13*IF(AF5&lt;0,1-Assumptions!$B$33*MIN(1,ABS(AF5)/ABS(Assumptions!$B$21)),1))*5)+(((Archetypes!$D$11*(IF(AF5&lt;0,1+Assumptions!$B$32*MIN(1,ABS(AF5)/ABS(Assumptions!$B$21)),MAX(0.1,1-Assumptions!$B$31*(AF5/50)))))*AJ5*Archetypes!$D$15*Archetypes!$D$22)*(Archetypes!$D$13*IF(AF5&lt;0,1-Assumptions!$B$33*MIN(1,ABS(AF5)/ABS(Assumptions!$B$21)),1))*5*Assumptions!$B$18))*IF(AF5&lt;0,Assumptions!$B$9,1)))*$E5</f>
        <v>5637.8204999999998</v>
      </c>
      <c r="AO5" s="21">
        <f>(AO4)+(AN5)-(MAX(0,((AO4)+(AN5)-(AP5)))*(IF(Archetypes!$D$27="",Assumptions!$B$11,Archetypes!$D$27)))</f>
        <v>20672.687699999995</v>
      </c>
      <c r="AP5" s="21">
        <f>Archetypes!$D$36 + (Assumptions!$B$67*(IF($E5=0,0,AI5/$E5))*Assumptions!$B$71*(1+Assumptions!$B$68*(Archetypes!$D$14-1))) + (Assumptions!$B$69*Archetypes!$D$34*(IF($E5=0,0,AI5/$E5))*Assumptions!$B$72*POWER(Assumptions!$B$70,Archetypes!$D$18-1))</f>
        <v>20774.800648960005</v>
      </c>
      <c r="AQ5" s="21">
        <f t="shared" si="7"/>
        <v>0</v>
      </c>
    </row>
    <row r="6" spans="1:52" x14ac:dyDescent="0.25">
      <c r="A6" s="20">
        <v>12</v>
      </c>
      <c r="B6" s="20">
        <f t="shared" si="0"/>
        <v>1</v>
      </c>
      <c r="C6" s="20">
        <f t="shared" si="1"/>
        <v>12</v>
      </c>
      <c r="D6" s="6">
        <f>IF(C6&lt;Assumptions!$B$10,1,0)</f>
        <v>0</v>
      </c>
      <c r="E6" s="6">
        <v>6</v>
      </c>
      <c r="F6" s="21">
        <f t="shared" si="8"/>
        <v>-15</v>
      </c>
      <c r="G6" s="21">
        <f>MAX(Assumptions!$B$21,F6+H6)</f>
        <v>-15</v>
      </c>
      <c r="H6" s="21">
        <f>((L6*(Assumptions!$B$22+((Assumptions!$B$23-Assumptions!$B$22)*IF(I6&gt;0,K6/I6,0)))*(1+Assumptions!$B$60*(Archetypes!$B$13-1)))+IF(L6&gt;I6,I6*Assumptions!$B$24,0)-IF(IF(I6&gt;0,M6/I6,1)&lt;Assumptions!$B$61,((M6*(Assumptions!$B$27*(1+Assumptions!$B$28*(Archetypes!$B$14-1))/(1+Assumptions!$B$29*(Archetypes!$B$12-1))))+(((I6*Archetypes!$B$17*IF(I6&gt;0,M6/I6,1)*Archetypes!$B$31)/100)*Assumptions!$B$30))*Assumptions!$B$62,((M6*(Assumptions!$B$27*(1+Assumptions!$B$28*(Archetypes!$B$14-1))/(1+Assumptions!$B$29*(Archetypes!$B$12-1))))+(((I6*Archetypes!$B$17*IF(I6&gt;0,M6/I6,1)*Archetypes!$B$31)/100)*Assumptions!$B$30)))-(Assumptions!$B$25*Assumptions!$B$26*E6))*E6</f>
        <v>-102.17413047272723</v>
      </c>
      <c r="I6" s="21">
        <f>(Archetypes!$B$11*(IF(F6&lt;0,1+Assumptions!$B$32*MIN(1,ABS(F6)/ABS(Assumptions!$B$21)),MAX(0.1,1-Assumptions!$B$31*(F6/50)))))*$E6</f>
        <v>84</v>
      </c>
      <c r="J6" s="26">
        <f>Archetypes!$B$30</f>
        <v>2.1999999999999999E-2</v>
      </c>
      <c r="K6" s="21">
        <f t="shared" si="2"/>
        <v>1.8479999999999999</v>
      </c>
      <c r="L6" s="21">
        <f>((I6-K6)*Archetypes!$B$15)+(K6*Archetypes!$B$15*Archetypes!$B$22)</f>
        <v>8.4369600000000009</v>
      </c>
      <c r="M6" s="21">
        <f>I6*Archetypes!$B$16</f>
        <v>63</v>
      </c>
      <c r="N6" s="21">
        <f>(IF(F6&lt;0,Assumptions!$B$8,IF(F6&lt;10,Assumptions!$B$34,IF(F6&lt;25,Assumptions!$B$35,Assumptions!$B$36))))*((((Archetypes!$B$5*Assumptions!$B$4+Archetypes!$B$6*Assumptions!$B$5)*60))+(Assumptions!$B$6*(((Archetypes!$B$11*(IF(F6&lt;0,1+Assumptions!$B$32*MIN(1,ABS(F6)/ABS(Assumptions!$B$21)),MAX(0.1,1-Assumptions!$B$31*(F6/50)))))-((Archetypes!$B$11*(IF(F6&lt;0,1+Assumptions!$B$32*MIN(1,ABS(F6)/ABS(Assumptions!$B$21)),MAX(0.1,1-Assumptions!$B$31*(F6/50)))))*J6)*Archetypes!$B$20)+((Archetypes!$B$11*(IF(F6&lt;0,1+Assumptions!$B$32*MIN(1,ABS(F6)/ABS(Assumptions!$B$21)),MAX(0.1,1-Assumptions!$B$31*(F6/50)))))*J6*Archetypes!$B$20*Archetypes!$B$21)*Assumptions!$B$18)*(IF($D6=1,1,Assumptions!$B$7)))+(((((Archetypes!$B$11*(IF(F6&lt;0,1+Assumptions!$B$32*MIN(1,ABS(F6)/ABS(Assumptions!$B$21)),MAX(0.1,1-Assumptions!$B$31*(F6/50)))))-((Archetypes!$B$11*(IF(F6&lt;0,1+Assumptions!$B$32*MIN(1,ABS(F6)/ABS(Assumptions!$B$21)),MAX(0.1,1-Assumptions!$B$31*(F6/50)))))*J6)*Archetypes!$B$15)*(Archetypes!$B$13*IF(F6&lt;0,1-Assumptions!$B$33*MIN(1,ABS(F6)/ABS(Assumptions!$B$21)),1))*5)+(((Archetypes!$B$11*(IF(F6&lt;0,1+Assumptions!$B$32*MIN(1,ABS(F6)/ABS(Assumptions!$B$21)),MAX(0.1,1-Assumptions!$B$31*(F6/50)))))*J6*Archetypes!$B$15*Archetypes!$B$22)*(Archetypes!$B$13*IF(F6&lt;0,1-Assumptions!$B$33*MIN(1,ABS(F6)/ABS(Assumptions!$B$21)),1))*5*Assumptions!$B$18))*IF(F6&lt;0,Assumptions!$B$9,1)))*$E6</f>
        <v>2906.8712639999999</v>
      </c>
      <c r="O6" s="21">
        <f>(O5)+(N6)-(MAX(0,((O5)+(N6)-(P6)))*(IF(Archetypes!$B$27="",Assumptions!$B$11,Archetypes!$B$27)))</f>
        <v>7493.3077401599994</v>
      </c>
      <c r="P6" s="21">
        <f>Archetypes!$B$36 + (Assumptions!$B$67*(IF($E6=0,0,I6/$E6))*Assumptions!$B$71*(1+Assumptions!$B$68*(Archetypes!$B$14-1))) + (Assumptions!$B$69*Archetypes!$B$34*(IF($E6=0,0,I6/$E6))*Assumptions!$B$72*POWER(Assumptions!$B$70,Archetypes!$B$18-1))</f>
        <v>2668.56</v>
      </c>
      <c r="Q6" s="21">
        <f t="shared" si="3"/>
        <v>4824.747740159999</v>
      </c>
      <c r="S6" s="21">
        <f t="shared" si="9"/>
        <v>161.88847197440001</v>
      </c>
      <c r="T6" s="21">
        <f>MAX(Assumptions!$B$21,S6+U6)</f>
        <v>172.6123635104</v>
      </c>
      <c r="U6" s="21">
        <f>((Y6*(Assumptions!$B$22+((Assumptions!$B$23-Assumptions!$B$22)*IF(V6&gt;0,X6/V6,0)))*(1+Assumptions!$B$60*(Archetypes!$C$13-1)))+IF(Y6&gt;V6,V6*Assumptions!$B$24,0)-IF(IF(V6&gt;0,Z6/V6,1)&lt;Assumptions!$B$61,((Z6*(Assumptions!$B$27*(1+Assumptions!$B$28*(Archetypes!$C$14-1))/(1+Assumptions!$B$29*(Archetypes!$C$12-1))))+(((V6*Archetypes!$C$17*IF(V6&gt;0,Z6/V6,1)*Archetypes!$C$31)/100)*Assumptions!$B$30))*Assumptions!$B$62,((Z6*(Assumptions!$B$27*(1+Assumptions!$B$28*(Archetypes!$C$14-1))/(1+Assumptions!$B$29*(Archetypes!$C$12-1))))+(((V6*Archetypes!$C$17*IF(V6&gt;0,Z6/V6,1)*Archetypes!$C$31)/100)*Assumptions!$B$30)))-(Assumptions!$B$25*Assumptions!$B$26*E6))*E6</f>
        <v>10.723891536000004</v>
      </c>
      <c r="V6" s="21">
        <f>(Archetypes!$C$11*(IF(S6&lt;0,1+Assumptions!$B$32*MIN(1,ABS(S6)/ABS(Assumptions!$B$21)),MAX(0.1,1-Assumptions!$B$31*(S6/50)))))*$E6</f>
        <v>3.6000000000000005</v>
      </c>
      <c r="W6" s="26">
        <f>Archetypes!$C$30</f>
        <v>3.7999999999999999E-2</v>
      </c>
      <c r="X6" s="21">
        <f t="shared" si="4"/>
        <v>0.1368</v>
      </c>
      <c r="Y6" s="21">
        <f>((V6-X6)*Archetypes!$C$15)+(X6*Archetypes!$C$15*Archetypes!$C$22)</f>
        <v>1.8205200000000004</v>
      </c>
      <c r="Z6" s="21">
        <f>V6*Archetypes!$C$16</f>
        <v>1.6200000000000003</v>
      </c>
      <c r="AA6" s="21">
        <f>(IF(S6&lt;0,Assumptions!$B$8,IF(S6&lt;10,Assumptions!$B$34,IF(S6&lt;25,Assumptions!$B$35,Assumptions!$B$36))))*((((Archetypes!$C$5*Assumptions!$B$4+Archetypes!$C$6*Assumptions!$B$5)*60))+(Assumptions!$B$6*(((Archetypes!$C$11*(IF(S6&lt;0,1+Assumptions!$B$32*MIN(1,ABS(S6)/ABS(Assumptions!$B$21)),MAX(0.1,1-Assumptions!$B$31*(S6/50)))))-((Archetypes!$C$11*(IF(S6&lt;0,1+Assumptions!$B$32*MIN(1,ABS(S6)/ABS(Assumptions!$B$21)),MAX(0.1,1-Assumptions!$B$31*(S6/50)))))*W6)*Archetypes!$C$20)+((Archetypes!$C$11*(IF(S6&lt;0,1+Assumptions!$B$32*MIN(1,ABS(S6)/ABS(Assumptions!$B$21)),MAX(0.1,1-Assumptions!$B$31*(S6/50)))))*W6*Archetypes!$C$20*Archetypes!$C$21)*Assumptions!$B$18)*(IF($D6=1,1,Assumptions!$B$7)))+(((((Archetypes!$C$11*(IF(S6&lt;0,1+Assumptions!$B$32*MIN(1,ABS(S6)/ABS(Assumptions!$B$21)),MAX(0.1,1-Assumptions!$B$31*(S6/50)))))-((Archetypes!$C$11*(IF(S6&lt;0,1+Assumptions!$B$32*MIN(1,ABS(S6)/ABS(Assumptions!$B$21)),MAX(0.1,1-Assumptions!$B$31*(S6/50)))))*W6)*Archetypes!$C$15)*(Archetypes!$C$13*IF(S6&lt;0,1-Assumptions!$B$33*MIN(1,ABS(S6)/ABS(Assumptions!$B$21)),1))*5)+(((Archetypes!$C$11*(IF(S6&lt;0,1+Assumptions!$B$32*MIN(1,ABS(S6)/ABS(Assumptions!$B$21)),MAX(0.1,1-Assumptions!$B$31*(S6/50)))))*W6*Archetypes!$C$15*Archetypes!$C$22)*(Archetypes!$C$13*IF(S6&lt;0,1-Assumptions!$B$33*MIN(1,ABS(S6)/ABS(Assumptions!$B$21)),1))*5*Assumptions!$B$18))*IF(S6&lt;0,Assumptions!$B$9,1)))*$E6</f>
        <v>3492.4942799999999</v>
      </c>
      <c r="AB6" s="21">
        <f>(AB5)+(AA6)-(MAX(0,((AB5)+(AA6)-(AC6)))*(IF(Archetypes!$C$27="",Assumptions!$B$11,Archetypes!$C$27)))</f>
        <v>13711.627867500001</v>
      </c>
      <c r="AC6" s="21">
        <f>Archetypes!$C$36 + (Assumptions!$B$67*(IF($E6=0,0,V6/$E6))*Assumptions!$B$71*(1+Assumptions!$B$68*(Archetypes!$C$14-1))) + (Assumptions!$B$69*Archetypes!$C$34*(IF($E6=0,0,V6/$E6))*Assumptions!$B$72*POWER(Assumptions!$B$70,Archetypes!$C$18-1))</f>
        <v>9108.3600000000024</v>
      </c>
      <c r="AD6" s="21">
        <f t="shared" si="5"/>
        <v>4603.2678674999988</v>
      </c>
      <c r="AF6" s="21">
        <f t="shared" si="10"/>
        <v>356.37306929005717</v>
      </c>
      <c r="AG6" s="21">
        <f>MAX(Assumptions!$B$21,AF6+AH6)</f>
        <v>389.25275073462859</v>
      </c>
      <c r="AH6" s="21">
        <f>((AL6*(Assumptions!$B$22+((Assumptions!$B$23-Assumptions!$B$22)*IF(AI6&gt;0,AK6/AI6,0)))*(1+Assumptions!$B$60*(Archetypes!$D$13-1)))+IF(AL6&gt;AI6,AI6*Assumptions!$B$24,0)-IF(IF(AI6&gt;0,AM6/AI6,1)&lt;Assumptions!$B$61,((AM6*(Assumptions!$B$27*(1+Assumptions!$B$28*(Archetypes!$D$14-1))/(1+Assumptions!$B$29*(Archetypes!$D$12-1))))+(((AI6*Archetypes!$D$17*IF(AI6&gt;0,AM6/AI6,1)*Archetypes!$D$31)/100)*Assumptions!$B$30))*Assumptions!$B$62,((AM6*(Assumptions!$B$27*(1+Assumptions!$B$28*(Archetypes!$D$14-1))/(1+Assumptions!$B$29*(Archetypes!$D$12-1))))+(((AI6*Archetypes!$D$17*IF(AI6&gt;0,AM6/AI6,1)*Archetypes!$D$31)/100)*Assumptions!$B$30)))-(Assumptions!$B$25*Assumptions!$B$26*E6))*E6</f>
        <v>32.879681444571439</v>
      </c>
      <c r="AI6" s="21">
        <f>(Archetypes!$D$11*(IF(AF6&lt;0,1+Assumptions!$B$32*MIN(1,ABS(AF6)/ABS(Assumptions!$B$21)),MAX(0.1,1-Assumptions!$B$31*(AF6/50)))))*$E6</f>
        <v>1.8000000000000003</v>
      </c>
      <c r="AJ6" s="26">
        <f>Archetypes!$D$30</f>
        <v>0.10400000000000001</v>
      </c>
      <c r="AK6" s="21">
        <f t="shared" si="6"/>
        <v>0.18720000000000003</v>
      </c>
      <c r="AL6" s="21">
        <f>((AI6-AK6)*Archetypes!$D$15)+(AK6*Archetypes!$D$15*Archetypes!$D$22)</f>
        <v>2.8123200000000006</v>
      </c>
      <c r="AM6" s="21">
        <f>AI6*Archetypes!$D$16</f>
        <v>0.3600000000000001</v>
      </c>
      <c r="AN6" s="21">
        <f>(IF(AF6&lt;0,Assumptions!$B$8,IF(AF6&lt;10,Assumptions!$B$34,IF(AF6&lt;25,Assumptions!$B$35,Assumptions!$B$36))))*((((Archetypes!$D$5*Assumptions!$B$4+Archetypes!$D$6*Assumptions!$B$5)*60))+(Assumptions!$B$6*(((Archetypes!$D$11*(IF(AF6&lt;0,1+Assumptions!$B$32*MIN(1,ABS(AF6)/ABS(Assumptions!$B$21)),MAX(0.1,1-Assumptions!$B$31*(AF6/50)))))-((Archetypes!$D$11*(IF(AF6&lt;0,1+Assumptions!$B$32*MIN(1,ABS(AF6)/ABS(Assumptions!$B$21)),MAX(0.1,1-Assumptions!$B$31*(AF6/50)))))*AJ6)*Archetypes!$D$20)+((Archetypes!$D$11*(IF(AF6&lt;0,1+Assumptions!$B$32*MIN(1,ABS(AF6)/ABS(Assumptions!$B$21)),MAX(0.1,1-Assumptions!$B$31*(AF6/50)))))*AJ6*Archetypes!$D$20*Archetypes!$D$21)*Assumptions!$B$18)*(IF($D6=1,1,Assumptions!$B$7)))+(((((Archetypes!$D$11*(IF(AF6&lt;0,1+Assumptions!$B$32*MIN(1,ABS(AF6)/ABS(Assumptions!$B$21)),MAX(0.1,1-Assumptions!$B$31*(AF6/50)))))-((Archetypes!$D$11*(IF(AF6&lt;0,1+Assumptions!$B$32*MIN(1,ABS(AF6)/ABS(Assumptions!$B$21)),MAX(0.1,1-Assumptions!$B$31*(AF6/50)))))*AJ6)*Archetypes!$D$15)*(Archetypes!$D$13*IF(AF6&lt;0,1-Assumptions!$B$33*MIN(1,ABS(AF6)/ABS(Assumptions!$B$21)),1))*5)+(((Archetypes!$D$11*(IF(AF6&lt;0,1+Assumptions!$B$32*MIN(1,ABS(AF6)/ABS(Assumptions!$B$21)),MAX(0.1,1-Assumptions!$B$31*(AF6/50)))))*AJ6*Archetypes!$D$15*Archetypes!$D$22)*(Archetypes!$D$13*IF(AF6&lt;0,1-Assumptions!$B$33*MIN(1,ABS(AF6)/ABS(Assumptions!$B$21)),1))*5*Assumptions!$B$18))*IF(AF6&lt;0,Assumptions!$B$9,1)))*$E6</f>
        <v>5637.8204999999998</v>
      </c>
      <c r="AO6" s="21">
        <f>(AO5)+(AN6)-(MAX(0,((AO5)+(AN6)-(AP6)))*(IF(Archetypes!$D$27="",Assumptions!$B$11,Archetypes!$D$27)))</f>
        <v>24649.795934687998</v>
      </c>
      <c r="AP6" s="21">
        <f>Archetypes!$D$36 + (Assumptions!$B$67*(IF($E6=0,0,AI6/$E6))*Assumptions!$B$71*(1+Assumptions!$B$68*(Archetypes!$D$14-1))) + (Assumptions!$B$69*Archetypes!$D$34*(IF($E6=0,0,AI6/$E6))*Assumptions!$B$72*POWER(Assumptions!$B$70,Archetypes!$D$18-1))</f>
        <v>20774.800648960005</v>
      </c>
      <c r="AQ6" s="21">
        <f t="shared" si="7"/>
        <v>3874.9952857279932</v>
      </c>
    </row>
    <row r="7" spans="1:52" x14ac:dyDescent="0.25">
      <c r="A7" s="20">
        <v>18</v>
      </c>
      <c r="B7" s="20">
        <f t="shared" si="0"/>
        <v>1</v>
      </c>
      <c r="C7" s="20">
        <f t="shared" si="1"/>
        <v>18</v>
      </c>
      <c r="D7" s="6">
        <f>IF(C7&lt;Assumptions!$B$10,1,0)</f>
        <v>0</v>
      </c>
      <c r="E7" s="6">
        <v>6</v>
      </c>
      <c r="F7" s="21">
        <f t="shared" si="8"/>
        <v>-15</v>
      </c>
      <c r="G7" s="21">
        <f>MAX(Assumptions!$B$21,F7+H7)</f>
        <v>-15</v>
      </c>
      <c r="H7" s="21">
        <f>((L7*(Assumptions!$B$22+((Assumptions!$B$23-Assumptions!$B$22)*IF(I7&gt;0,K7/I7,0)))*(1+Assumptions!$B$60*(Archetypes!$B$13-1)))+IF(L7&gt;I7,I7*Assumptions!$B$24,0)-IF(IF(I7&gt;0,M7/I7,1)&lt;Assumptions!$B$61,((M7*(Assumptions!$B$27*(1+Assumptions!$B$28*(Archetypes!$B$14-1))/(1+Assumptions!$B$29*(Archetypes!$B$12-1))))+(((I7*Archetypes!$B$17*IF(I7&gt;0,M7/I7,1)*Archetypes!$B$31)/100)*Assumptions!$B$30))*Assumptions!$B$62,((M7*(Assumptions!$B$27*(1+Assumptions!$B$28*(Archetypes!$B$14-1))/(1+Assumptions!$B$29*(Archetypes!$B$12-1))))+(((I7*Archetypes!$B$17*IF(I7&gt;0,M7/I7,1)*Archetypes!$B$31)/100)*Assumptions!$B$30)))-(Assumptions!$B$25*Assumptions!$B$26*E7))*E7</f>
        <v>-102.17413047272723</v>
      </c>
      <c r="I7" s="21">
        <f>(Archetypes!$B$11*(IF(F7&lt;0,1+Assumptions!$B$32*MIN(1,ABS(F7)/ABS(Assumptions!$B$21)),MAX(0.1,1-Assumptions!$B$31*(F7/50)))))*$E7</f>
        <v>84</v>
      </c>
      <c r="J7" s="26">
        <f>Archetypes!$B$30</f>
        <v>2.1999999999999999E-2</v>
      </c>
      <c r="K7" s="21">
        <f t="shared" si="2"/>
        <v>1.8479999999999999</v>
      </c>
      <c r="L7" s="21">
        <f>((I7-K7)*Archetypes!$B$15)+(K7*Archetypes!$B$15*Archetypes!$B$22)</f>
        <v>8.4369600000000009</v>
      </c>
      <c r="M7" s="21">
        <f>I7*Archetypes!$B$16</f>
        <v>63</v>
      </c>
      <c r="N7" s="21">
        <f>(IF(F7&lt;0,Assumptions!$B$8,IF(F7&lt;10,Assumptions!$B$34,IF(F7&lt;25,Assumptions!$B$35,Assumptions!$B$36))))*((((Archetypes!$B$5*Assumptions!$B$4+Archetypes!$B$6*Assumptions!$B$5)*60))+(Assumptions!$B$6*(((Archetypes!$B$11*(IF(F7&lt;0,1+Assumptions!$B$32*MIN(1,ABS(F7)/ABS(Assumptions!$B$21)),MAX(0.1,1-Assumptions!$B$31*(F7/50)))))-((Archetypes!$B$11*(IF(F7&lt;0,1+Assumptions!$B$32*MIN(1,ABS(F7)/ABS(Assumptions!$B$21)),MAX(0.1,1-Assumptions!$B$31*(F7/50)))))*J7)*Archetypes!$B$20)+((Archetypes!$B$11*(IF(F7&lt;0,1+Assumptions!$B$32*MIN(1,ABS(F7)/ABS(Assumptions!$B$21)),MAX(0.1,1-Assumptions!$B$31*(F7/50)))))*J7*Archetypes!$B$20*Archetypes!$B$21)*Assumptions!$B$18)*(IF($D7=1,1,Assumptions!$B$7)))+(((((Archetypes!$B$11*(IF(F7&lt;0,1+Assumptions!$B$32*MIN(1,ABS(F7)/ABS(Assumptions!$B$21)),MAX(0.1,1-Assumptions!$B$31*(F7/50)))))-((Archetypes!$B$11*(IF(F7&lt;0,1+Assumptions!$B$32*MIN(1,ABS(F7)/ABS(Assumptions!$B$21)),MAX(0.1,1-Assumptions!$B$31*(F7/50)))))*J7)*Archetypes!$B$15)*(Archetypes!$B$13*IF(F7&lt;0,1-Assumptions!$B$33*MIN(1,ABS(F7)/ABS(Assumptions!$B$21)),1))*5)+(((Archetypes!$B$11*(IF(F7&lt;0,1+Assumptions!$B$32*MIN(1,ABS(F7)/ABS(Assumptions!$B$21)),MAX(0.1,1-Assumptions!$B$31*(F7/50)))))*J7*Archetypes!$B$15*Archetypes!$B$22)*(Archetypes!$B$13*IF(F7&lt;0,1-Assumptions!$B$33*MIN(1,ABS(F7)/ABS(Assumptions!$B$21)),1))*5*Assumptions!$B$18))*IF(F7&lt;0,Assumptions!$B$9,1)))*$E7</f>
        <v>2906.8712639999999</v>
      </c>
      <c r="O7" s="21">
        <f>(O6)+(N7)-(MAX(0,((O6)+(N7)-(P7)))*(IF(Archetypes!$B$27="",Assumptions!$B$11,Archetypes!$B$27)))</f>
        <v>8853.8552033279993</v>
      </c>
      <c r="P7" s="21">
        <f>Archetypes!$B$36 + (Assumptions!$B$67*(IF($E7=0,0,I7/$E7))*Assumptions!$B$71*(1+Assumptions!$B$68*(Archetypes!$B$14-1))) + (Assumptions!$B$69*Archetypes!$B$34*(IF($E7=0,0,I7/$E7))*Assumptions!$B$72*POWER(Assumptions!$B$70,Archetypes!$B$18-1))</f>
        <v>2668.56</v>
      </c>
      <c r="Q7" s="21">
        <f t="shared" si="3"/>
        <v>6185.2952033279998</v>
      </c>
      <c r="S7" s="21">
        <f t="shared" si="9"/>
        <v>172.6123635104</v>
      </c>
      <c r="T7" s="21">
        <f>MAX(Assumptions!$B$21,S7+U7)</f>
        <v>183.3362550464</v>
      </c>
      <c r="U7" s="21">
        <f>((Y7*(Assumptions!$B$22+((Assumptions!$B$23-Assumptions!$B$22)*IF(V7&gt;0,X7/V7,0)))*(1+Assumptions!$B$60*(Archetypes!$C$13-1)))+IF(Y7&gt;V7,V7*Assumptions!$B$24,0)-IF(IF(V7&gt;0,Z7/V7,1)&lt;Assumptions!$B$61,((Z7*(Assumptions!$B$27*(1+Assumptions!$B$28*(Archetypes!$C$14-1))/(1+Assumptions!$B$29*(Archetypes!$C$12-1))))+(((V7*Archetypes!$C$17*IF(V7&gt;0,Z7/V7,1)*Archetypes!$C$31)/100)*Assumptions!$B$30))*Assumptions!$B$62,((Z7*(Assumptions!$B$27*(1+Assumptions!$B$28*(Archetypes!$C$14-1))/(1+Assumptions!$B$29*(Archetypes!$C$12-1))))+(((V7*Archetypes!$C$17*IF(V7&gt;0,Z7/V7,1)*Archetypes!$C$31)/100)*Assumptions!$B$30)))-(Assumptions!$B$25*Assumptions!$B$26*E7))*E7</f>
        <v>10.723891536000004</v>
      </c>
      <c r="V7" s="21">
        <f>(Archetypes!$C$11*(IF(S7&lt;0,1+Assumptions!$B$32*MIN(1,ABS(S7)/ABS(Assumptions!$B$21)),MAX(0.1,1-Assumptions!$B$31*(S7/50)))))*$E7</f>
        <v>3.6000000000000005</v>
      </c>
      <c r="W7" s="26">
        <f>Archetypes!$C$30</f>
        <v>3.7999999999999999E-2</v>
      </c>
      <c r="X7" s="21">
        <f t="shared" si="4"/>
        <v>0.1368</v>
      </c>
      <c r="Y7" s="21">
        <f>((V7-X7)*Archetypes!$C$15)+(X7*Archetypes!$C$15*Archetypes!$C$22)</f>
        <v>1.8205200000000004</v>
      </c>
      <c r="Z7" s="21">
        <f>V7*Archetypes!$C$16</f>
        <v>1.6200000000000003</v>
      </c>
      <c r="AA7" s="21">
        <f>(IF(S7&lt;0,Assumptions!$B$8,IF(S7&lt;10,Assumptions!$B$34,IF(S7&lt;25,Assumptions!$B$35,Assumptions!$B$36))))*((((Archetypes!$C$5*Assumptions!$B$4+Archetypes!$C$6*Assumptions!$B$5)*60))+(Assumptions!$B$6*(((Archetypes!$C$11*(IF(S7&lt;0,1+Assumptions!$B$32*MIN(1,ABS(S7)/ABS(Assumptions!$B$21)),MAX(0.1,1-Assumptions!$B$31*(S7/50)))))-((Archetypes!$C$11*(IF(S7&lt;0,1+Assumptions!$B$32*MIN(1,ABS(S7)/ABS(Assumptions!$B$21)),MAX(0.1,1-Assumptions!$B$31*(S7/50)))))*W7)*Archetypes!$C$20)+((Archetypes!$C$11*(IF(S7&lt;0,1+Assumptions!$B$32*MIN(1,ABS(S7)/ABS(Assumptions!$B$21)),MAX(0.1,1-Assumptions!$B$31*(S7/50)))))*W7*Archetypes!$C$20*Archetypes!$C$21)*Assumptions!$B$18)*(IF($D7=1,1,Assumptions!$B$7)))+(((((Archetypes!$C$11*(IF(S7&lt;0,1+Assumptions!$B$32*MIN(1,ABS(S7)/ABS(Assumptions!$B$21)),MAX(0.1,1-Assumptions!$B$31*(S7/50)))))-((Archetypes!$C$11*(IF(S7&lt;0,1+Assumptions!$B$32*MIN(1,ABS(S7)/ABS(Assumptions!$B$21)),MAX(0.1,1-Assumptions!$B$31*(S7/50)))))*W7)*Archetypes!$C$15)*(Archetypes!$C$13*IF(S7&lt;0,1-Assumptions!$B$33*MIN(1,ABS(S7)/ABS(Assumptions!$B$21)),1))*5)+(((Archetypes!$C$11*(IF(S7&lt;0,1+Assumptions!$B$32*MIN(1,ABS(S7)/ABS(Assumptions!$B$21)),MAX(0.1,1-Assumptions!$B$31*(S7/50)))))*W7*Archetypes!$C$15*Archetypes!$C$22)*(Archetypes!$C$13*IF(S7&lt;0,1-Assumptions!$B$33*MIN(1,ABS(S7)/ABS(Assumptions!$B$21)),1))*5*Assumptions!$B$18))*IF(S7&lt;0,Assumptions!$B$9,1)))*$E7</f>
        <v>3492.4942799999999</v>
      </c>
      <c r="AB7" s="21">
        <f>(AB6)+(AA7)-(MAX(0,((AB6)+(AA7)-(AC7)))*(IF(Archetypes!$C$27="",Assumptions!$B$11,Archetypes!$C$27)))</f>
        <v>15180.181610625003</v>
      </c>
      <c r="AC7" s="21">
        <f>Archetypes!$C$36 + (Assumptions!$B$67*(IF($E7=0,0,V7/$E7))*Assumptions!$B$71*(1+Assumptions!$B$68*(Archetypes!$C$14-1))) + (Assumptions!$B$69*Archetypes!$C$34*(IF($E7=0,0,V7/$E7))*Assumptions!$B$72*POWER(Assumptions!$B$70,Archetypes!$C$18-1))</f>
        <v>9108.3600000000024</v>
      </c>
      <c r="AD7" s="21">
        <f t="shared" si="5"/>
        <v>6071.8216106250002</v>
      </c>
      <c r="AF7" s="21">
        <f t="shared" si="10"/>
        <v>389.25275073462859</v>
      </c>
      <c r="AG7" s="21">
        <f>MAX(Assumptions!$B$21,AF7+AH7)</f>
        <v>422.13243217920001</v>
      </c>
      <c r="AH7" s="21">
        <f>((AL7*(Assumptions!$B$22+((Assumptions!$B$23-Assumptions!$B$22)*IF(AI7&gt;0,AK7/AI7,0)))*(1+Assumptions!$B$60*(Archetypes!$D$13-1)))+IF(AL7&gt;AI7,AI7*Assumptions!$B$24,0)-IF(IF(AI7&gt;0,AM7/AI7,1)&lt;Assumptions!$B$61,((AM7*(Assumptions!$B$27*(1+Assumptions!$B$28*(Archetypes!$D$14-1))/(1+Assumptions!$B$29*(Archetypes!$D$12-1))))+(((AI7*Archetypes!$D$17*IF(AI7&gt;0,AM7/AI7,1)*Archetypes!$D$31)/100)*Assumptions!$B$30))*Assumptions!$B$62,((AM7*(Assumptions!$B$27*(1+Assumptions!$B$28*(Archetypes!$D$14-1))/(1+Assumptions!$B$29*(Archetypes!$D$12-1))))+(((AI7*Archetypes!$D$17*IF(AI7&gt;0,AM7/AI7,1)*Archetypes!$D$31)/100)*Assumptions!$B$30)))-(Assumptions!$B$25*Assumptions!$B$26*E7))*E7</f>
        <v>32.879681444571439</v>
      </c>
      <c r="AI7" s="21">
        <f>(Archetypes!$D$11*(IF(AF7&lt;0,1+Assumptions!$B$32*MIN(1,ABS(AF7)/ABS(Assumptions!$B$21)),MAX(0.1,1-Assumptions!$B$31*(AF7/50)))))*$E7</f>
        <v>1.8000000000000003</v>
      </c>
      <c r="AJ7" s="26">
        <f>Archetypes!$D$30</f>
        <v>0.10400000000000001</v>
      </c>
      <c r="AK7" s="21">
        <f t="shared" si="6"/>
        <v>0.18720000000000003</v>
      </c>
      <c r="AL7" s="21">
        <f>((AI7-AK7)*Archetypes!$D$15)+(AK7*Archetypes!$D$15*Archetypes!$D$22)</f>
        <v>2.8123200000000006</v>
      </c>
      <c r="AM7" s="21">
        <f>AI7*Archetypes!$D$16</f>
        <v>0.3600000000000001</v>
      </c>
      <c r="AN7" s="21">
        <f>(IF(AF7&lt;0,Assumptions!$B$8,IF(AF7&lt;10,Assumptions!$B$34,IF(AF7&lt;25,Assumptions!$B$35,Assumptions!$B$36))))*((((Archetypes!$D$5*Assumptions!$B$4+Archetypes!$D$6*Assumptions!$B$5)*60))+(Assumptions!$B$6*(((Archetypes!$D$11*(IF(AF7&lt;0,1+Assumptions!$B$32*MIN(1,ABS(AF7)/ABS(Assumptions!$B$21)),MAX(0.1,1-Assumptions!$B$31*(AF7/50)))))-((Archetypes!$D$11*(IF(AF7&lt;0,1+Assumptions!$B$32*MIN(1,ABS(AF7)/ABS(Assumptions!$B$21)),MAX(0.1,1-Assumptions!$B$31*(AF7/50)))))*AJ7)*Archetypes!$D$20)+((Archetypes!$D$11*(IF(AF7&lt;0,1+Assumptions!$B$32*MIN(1,ABS(AF7)/ABS(Assumptions!$B$21)),MAX(0.1,1-Assumptions!$B$31*(AF7/50)))))*AJ7*Archetypes!$D$20*Archetypes!$D$21)*Assumptions!$B$18)*(IF($D7=1,1,Assumptions!$B$7)))+(((((Archetypes!$D$11*(IF(AF7&lt;0,1+Assumptions!$B$32*MIN(1,ABS(AF7)/ABS(Assumptions!$B$21)),MAX(0.1,1-Assumptions!$B$31*(AF7/50)))))-((Archetypes!$D$11*(IF(AF7&lt;0,1+Assumptions!$B$32*MIN(1,ABS(AF7)/ABS(Assumptions!$B$21)),MAX(0.1,1-Assumptions!$B$31*(AF7/50)))))*AJ7)*Archetypes!$D$15)*(Archetypes!$D$13*IF(AF7&lt;0,1-Assumptions!$B$33*MIN(1,ABS(AF7)/ABS(Assumptions!$B$21)),1))*5)+(((Archetypes!$D$11*(IF(AF7&lt;0,1+Assumptions!$B$32*MIN(1,ABS(AF7)/ABS(Assumptions!$B$21)),MAX(0.1,1-Assumptions!$B$31*(AF7/50)))))*AJ7*Archetypes!$D$15*Archetypes!$D$22)*(Archetypes!$D$13*IF(AF7&lt;0,1-Assumptions!$B$33*MIN(1,ABS(AF7)/ABS(Assumptions!$B$21)),1))*5*Assumptions!$B$18))*IF(AF7&lt;0,Assumptions!$B$9,1)))*$E7</f>
        <v>5637.8204999999998</v>
      </c>
      <c r="AO7" s="21">
        <f>(AO6)+(AN7)-(MAX(0,((AO6)+(AN7)-(AP7)))*(IF(Archetypes!$D$27="",Assumptions!$B$11,Archetypes!$D$27)))</f>
        <v>27433.771698969598</v>
      </c>
      <c r="AP7" s="21">
        <f>Archetypes!$D$36 + (Assumptions!$B$67*(IF($E7=0,0,AI7/$E7))*Assumptions!$B$71*(1+Assumptions!$B$68*(Archetypes!$D$14-1))) + (Assumptions!$B$69*Archetypes!$D$34*(IF($E7=0,0,AI7/$E7))*Assumptions!$B$72*POWER(Assumptions!$B$70,Archetypes!$D$18-1))</f>
        <v>20774.800648960005</v>
      </c>
      <c r="AQ7" s="21">
        <f t="shared" si="7"/>
        <v>6658.9710500095935</v>
      </c>
    </row>
    <row r="8" spans="1:52" x14ac:dyDescent="0.25">
      <c r="A8" s="20">
        <v>24</v>
      </c>
      <c r="B8" s="20">
        <f t="shared" si="0"/>
        <v>2</v>
      </c>
      <c r="C8" s="20">
        <f t="shared" si="1"/>
        <v>0</v>
      </c>
      <c r="D8" s="6">
        <f>IF(C8&lt;Assumptions!$B$10,1,0)</f>
        <v>1</v>
      </c>
      <c r="E8" s="6">
        <v>6</v>
      </c>
      <c r="F8" s="21">
        <f t="shared" si="8"/>
        <v>-15</v>
      </c>
      <c r="G8" s="21">
        <f>MAX(Assumptions!$B$21,F8+H8)</f>
        <v>-15</v>
      </c>
      <c r="H8" s="21">
        <f>((L8*(Assumptions!$B$22+((Assumptions!$B$23-Assumptions!$B$22)*IF(I8&gt;0,K8/I8,0)))*(1+Assumptions!$B$60*(Archetypes!$B$13-1)))+IF(L8&gt;I8,I8*Assumptions!$B$24,0)-IF(IF(I8&gt;0,M8/I8,1)&lt;Assumptions!$B$61,((M8*(Assumptions!$B$27*(1+Assumptions!$B$28*(Archetypes!$B$14-1))/(1+Assumptions!$B$29*(Archetypes!$B$12-1))))+(((I8*Archetypes!$B$17*IF(I8&gt;0,M8/I8,1)*Archetypes!$B$31)/100)*Assumptions!$B$30))*Assumptions!$B$62,((M8*(Assumptions!$B$27*(1+Assumptions!$B$28*(Archetypes!$B$14-1))/(1+Assumptions!$B$29*(Archetypes!$B$12-1))))+(((I8*Archetypes!$B$17*IF(I8&gt;0,M8/I8,1)*Archetypes!$B$31)/100)*Assumptions!$B$30)))-(Assumptions!$B$25*Assumptions!$B$26*E8))*E8</f>
        <v>-102.17413047272723</v>
      </c>
      <c r="I8" s="21">
        <f>(Archetypes!$B$11*(IF(F8&lt;0,1+Assumptions!$B$32*MIN(1,ABS(F8)/ABS(Assumptions!$B$21)),MAX(0.1,1-Assumptions!$B$31*(F8/50)))))*$E8</f>
        <v>84</v>
      </c>
      <c r="J8" s="26">
        <f>Archetypes!$B$30</f>
        <v>2.1999999999999999E-2</v>
      </c>
      <c r="K8" s="21">
        <f t="shared" si="2"/>
        <v>1.8479999999999999</v>
      </c>
      <c r="L8" s="21">
        <f>((I8-K8)*Archetypes!$B$15)+(K8*Archetypes!$B$15*Archetypes!$B$22)</f>
        <v>8.4369600000000009</v>
      </c>
      <c r="M8" s="21">
        <f>I8*Archetypes!$B$16</f>
        <v>63</v>
      </c>
      <c r="N8" s="21">
        <f>(IF(F8&lt;0,Assumptions!$B$8,IF(F8&lt;10,Assumptions!$B$34,IF(F8&lt;25,Assumptions!$B$35,Assumptions!$B$36))))*((((Archetypes!$B$5*Assumptions!$B$4+Archetypes!$B$6*Assumptions!$B$5)*60))+(Assumptions!$B$6*(((Archetypes!$B$11*(IF(F8&lt;0,1+Assumptions!$B$32*MIN(1,ABS(F8)/ABS(Assumptions!$B$21)),MAX(0.1,1-Assumptions!$B$31*(F8/50)))))-((Archetypes!$B$11*(IF(F8&lt;0,1+Assumptions!$B$32*MIN(1,ABS(F8)/ABS(Assumptions!$B$21)),MAX(0.1,1-Assumptions!$B$31*(F8/50)))))*J8)*Archetypes!$B$20)+((Archetypes!$B$11*(IF(F8&lt;0,1+Assumptions!$B$32*MIN(1,ABS(F8)/ABS(Assumptions!$B$21)),MAX(0.1,1-Assumptions!$B$31*(F8/50)))))*J8*Archetypes!$B$20*Archetypes!$B$21)*Assumptions!$B$18)*(IF($D8=1,1,Assumptions!$B$7)))+(((((Archetypes!$B$11*(IF(F8&lt;0,1+Assumptions!$B$32*MIN(1,ABS(F8)/ABS(Assumptions!$B$21)),MAX(0.1,1-Assumptions!$B$31*(F8/50)))))-((Archetypes!$B$11*(IF(F8&lt;0,1+Assumptions!$B$32*MIN(1,ABS(F8)/ABS(Assumptions!$B$21)),MAX(0.1,1-Assumptions!$B$31*(F8/50)))))*J8)*Archetypes!$B$15)*(Archetypes!$B$13*IF(F8&lt;0,1-Assumptions!$B$33*MIN(1,ABS(F8)/ABS(Assumptions!$B$21)),1))*5)+(((Archetypes!$B$11*(IF(F8&lt;0,1+Assumptions!$B$32*MIN(1,ABS(F8)/ABS(Assumptions!$B$21)),MAX(0.1,1-Assumptions!$B$31*(F8/50)))))*J8*Archetypes!$B$15*Archetypes!$B$22)*(Archetypes!$B$13*IF(F8&lt;0,1-Assumptions!$B$33*MIN(1,ABS(F8)/ABS(Assumptions!$B$21)),1))*5*Assumptions!$B$18))*IF(F8&lt;0,Assumptions!$B$9,1)))*$E8</f>
        <v>4261.2704640000011</v>
      </c>
      <c r="O8" s="21">
        <f>(O7)+(N8)-(MAX(0,((O7)+(N8)-(P8)))*(IF(Archetypes!$B$27="",Assumptions!$B$11,Archetypes!$B$27)))</f>
        <v>11025.8125338624</v>
      </c>
      <c r="P8" s="21">
        <f>Archetypes!$B$36 + (Assumptions!$B$67*(IF($E8=0,0,I8/$E8))*Assumptions!$B$71*(1+Assumptions!$B$68*(Archetypes!$B$14-1))) + (Assumptions!$B$69*Archetypes!$B$34*(IF($E8=0,0,I8/$E8))*Assumptions!$B$72*POWER(Assumptions!$B$70,Archetypes!$B$18-1))</f>
        <v>2668.56</v>
      </c>
      <c r="Q8" s="21">
        <f t="shared" si="3"/>
        <v>8357.2525338624</v>
      </c>
      <c r="S8" s="21">
        <f t="shared" si="9"/>
        <v>183.3362550464</v>
      </c>
      <c r="T8" s="21">
        <f>MAX(Assumptions!$B$21,S8+U8)</f>
        <v>194.06014658239999</v>
      </c>
      <c r="U8" s="21">
        <f>((Y8*(Assumptions!$B$22+((Assumptions!$B$23-Assumptions!$B$22)*IF(V8&gt;0,X8/V8,0)))*(1+Assumptions!$B$60*(Archetypes!$C$13-1)))+IF(Y8&gt;V8,V8*Assumptions!$B$24,0)-IF(IF(V8&gt;0,Z8/V8,1)&lt;Assumptions!$B$61,((Z8*(Assumptions!$B$27*(1+Assumptions!$B$28*(Archetypes!$C$14-1))/(1+Assumptions!$B$29*(Archetypes!$C$12-1))))+(((V8*Archetypes!$C$17*IF(V8&gt;0,Z8/V8,1)*Archetypes!$C$31)/100)*Assumptions!$B$30))*Assumptions!$B$62,((Z8*(Assumptions!$B$27*(1+Assumptions!$B$28*(Archetypes!$C$14-1))/(1+Assumptions!$B$29*(Archetypes!$C$12-1))))+(((V8*Archetypes!$C$17*IF(V8&gt;0,Z8/V8,1)*Archetypes!$C$31)/100)*Assumptions!$B$30)))-(Assumptions!$B$25*Assumptions!$B$26*E8))*E8</f>
        <v>10.723891536000004</v>
      </c>
      <c r="V8" s="21">
        <f>(Archetypes!$C$11*(IF(S8&lt;0,1+Assumptions!$B$32*MIN(1,ABS(S8)/ABS(Assumptions!$B$21)),MAX(0.1,1-Assumptions!$B$31*(S8/50)))))*$E8</f>
        <v>3.6000000000000005</v>
      </c>
      <c r="W8" s="26">
        <f>Archetypes!$C$30</f>
        <v>3.7999999999999999E-2</v>
      </c>
      <c r="X8" s="21">
        <f t="shared" si="4"/>
        <v>0.1368</v>
      </c>
      <c r="Y8" s="21">
        <f>((V8-X8)*Archetypes!$C$15)+(X8*Archetypes!$C$15*Archetypes!$C$22)</f>
        <v>1.8205200000000004</v>
      </c>
      <c r="Z8" s="21">
        <f>V8*Archetypes!$C$16</f>
        <v>1.6200000000000003</v>
      </c>
      <c r="AA8" s="21">
        <f>(IF(S8&lt;0,Assumptions!$B$8,IF(S8&lt;10,Assumptions!$B$34,IF(S8&lt;25,Assumptions!$B$35,Assumptions!$B$36))))*((((Archetypes!$C$5*Assumptions!$B$4+Archetypes!$C$6*Assumptions!$B$5)*60))+(Assumptions!$B$6*(((Archetypes!$C$11*(IF(S8&lt;0,1+Assumptions!$B$32*MIN(1,ABS(S8)/ABS(Assumptions!$B$21)),MAX(0.1,1-Assumptions!$B$31*(S8/50)))))-((Archetypes!$C$11*(IF(S8&lt;0,1+Assumptions!$B$32*MIN(1,ABS(S8)/ABS(Assumptions!$B$21)),MAX(0.1,1-Assumptions!$B$31*(S8/50)))))*W8)*Archetypes!$C$20)+((Archetypes!$C$11*(IF(S8&lt;0,1+Assumptions!$B$32*MIN(1,ABS(S8)/ABS(Assumptions!$B$21)),MAX(0.1,1-Assumptions!$B$31*(S8/50)))))*W8*Archetypes!$C$20*Archetypes!$C$21)*Assumptions!$B$18)*(IF($D8=1,1,Assumptions!$B$7)))+(((((Archetypes!$C$11*(IF(S8&lt;0,1+Assumptions!$B$32*MIN(1,ABS(S8)/ABS(Assumptions!$B$21)),MAX(0.1,1-Assumptions!$B$31*(S8/50)))))-((Archetypes!$C$11*(IF(S8&lt;0,1+Assumptions!$B$32*MIN(1,ABS(S8)/ABS(Assumptions!$B$21)),MAX(0.1,1-Assumptions!$B$31*(S8/50)))))*W8)*Archetypes!$C$15)*(Archetypes!$C$13*IF(S8&lt;0,1-Assumptions!$B$33*MIN(1,ABS(S8)/ABS(Assumptions!$B$21)),1))*5)+(((Archetypes!$C$11*(IF(S8&lt;0,1+Assumptions!$B$32*MIN(1,ABS(S8)/ABS(Assumptions!$B$21)),MAX(0.1,1-Assumptions!$B$31*(S8/50)))))*W8*Archetypes!$C$15*Archetypes!$C$22)*(Archetypes!$C$13*IF(S8&lt;0,1-Assumptions!$B$33*MIN(1,ABS(S8)/ABS(Assumptions!$B$21)),1))*5*Assumptions!$B$18))*IF(S8&lt;0,Assumptions!$B$9,1)))*$E8</f>
        <v>3697.9335000000001</v>
      </c>
      <c r="AB8" s="21">
        <f>(AB7)+(AA8)-(MAX(0,((AB7)+(AA8)-(AC8)))*(IF(Archetypes!$C$27="",Assumptions!$B$11,Archetypes!$C$27)))</f>
        <v>16435.676332968753</v>
      </c>
      <c r="AC8" s="21">
        <f>Archetypes!$C$36 + (Assumptions!$B$67*(IF($E8=0,0,V8/$E8))*Assumptions!$B$71*(1+Assumptions!$B$68*(Archetypes!$C$14-1))) + (Assumptions!$B$69*Archetypes!$C$34*(IF($E8=0,0,V8/$E8))*Assumptions!$B$72*POWER(Assumptions!$B$70,Archetypes!$C$18-1))</f>
        <v>9108.3600000000024</v>
      </c>
      <c r="AD8" s="21">
        <f t="shared" si="5"/>
        <v>7327.3163329687504</v>
      </c>
      <c r="AF8" s="21">
        <f t="shared" si="10"/>
        <v>422.13243217920001</v>
      </c>
      <c r="AG8" s="21">
        <f>MAX(Assumptions!$B$21,AF8+AH8)</f>
        <v>455.01211362377143</v>
      </c>
      <c r="AH8" s="21">
        <f>((AL8*(Assumptions!$B$22+((Assumptions!$B$23-Assumptions!$B$22)*IF(AI8&gt;0,AK8/AI8,0)))*(1+Assumptions!$B$60*(Archetypes!$D$13-1)))+IF(AL8&gt;AI8,AI8*Assumptions!$B$24,0)-IF(IF(AI8&gt;0,AM8/AI8,1)&lt;Assumptions!$B$61,((AM8*(Assumptions!$B$27*(1+Assumptions!$B$28*(Archetypes!$D$14-1))/(1+Assumptions!$B$29*(Archetypes!$D$12-1))))+(((AI8*Archetypes!$D$17*IF(AI8&gt;0,AM8/AI8,1)*Archetypes!$D$31)/100)*Assumptions!$B$30))*Assumptions!$B$62,((AM8*(Assumptions!$B$27*(1+Assumptions!$B$28*(Archetypes!$D$14-1))/(1+Assumptions!$B$29*(Archetypes!$D$12-1))))+(((AI8*Archetypes!$D$17*IF(AI8&gt;0,AM8/AI8,1)*Archetypes!$D$31)/100)*Assumptions!$B$30)))-(Assumptions!$B$25*Assumptions!$B$26*E8))*E8</f>
        <v>32.879681444571439</v>
      </c>
      <c r="AI8" s="21">
        <f>(Archetypes!$D$11*(IF(AF8&lt;0,1+Assumptions!$B$32*MIN(1,ABS(AF8)/ABS(Assumptions!$B$21)),MAX(0.1,1-Assumptions!$B$31*(AF8/50)))))*$E8</f>
        <v>1.8000000000000003</v>
      </c>
      <c r="AJ8" s="26">
        <f>Archetypes!$D$30</f>
        <v>0.10400000000000001</v>
      </c>
      <c r="AK8" s="21">
        <f t="shared" si="6"/>
        <v>0.18720000000000003</v>
      </c>
      <c r="AL8" s="21">
        <f>((AI8-AK8)*Archetypes!$D$15)+(AK8*Archetypes!$D$15*Archetypes!$D$22)</f>
        <v>2.8123200000000006</v>
      </c>
      <c r="AM8" s="21">
        <f>AI8*Archetypes!$D$16</f>
        <v>0.3600000000000001</v>
      </c>
      <c r="AN8" s="21">
        <f>(IF(AF8&lt;0,Assumptions!$B$8,IF(AF8&lt;10,Assumptions!$B$34,IF(AF8&lt;25,Assumptions!$B$35,Assumptions!$B$36))))*((((Archetypes!$D$5*Assumptions!$B$4+Archetypes!$D$6*Assumptions!$B$5)*60))+(Assumptions!$B$6*(((Archetypes!$D$11*(IF(AF8&lt;0,1+Assumptions!$B$32*MIN(1,ABS(AF8)/ABS(Assumptions!$B$21)),MAX(0.1,1-Assumptions!$B$31*(AF8/50)))))-((Archetypes!$D$11*(IF(AF8&lt;0,1+Assumptions!$B$32*MIN(1,ABS(AF8)/ABS(Assumptions!$B$21)),MAX(0.1,1-Assumptions!$B$31*(AF8/50)))))*AJ8)*Archetypes!$D$20)+((Archetypes!$D$11*(IF(AF8&lt;0,1+Assumptions!$B$32*MIN(1,ABS(AF8)/ABS(Assumptions!$B$21)),MAX(0.1,1-Assumptions!$B$31*(AF8/50)))))*AJ8*Archetypes!$D$20*Archetypes!$D$21)*Assumptions!$B$18)*(IF($D8=1,1,Assumptions!$B$7)))+(((((Archetypes!$D$11*(IF(AF8&lt;0,1+Assumptions!$B$32*MIN(1,ABS(AF8)/ABS(Assumptions!$B$21)),MAX(0.1,1-Assumptions!$B$31*(AF8/50)))))-((Archetypes!$D$11*(IF(AF8&lt;0,1+Assumptions!$B$32*MIN(1,ABS(AF8)/ABS(Assumptions!$B$21)),MAX(0.1,1-Assumptions!$B$31*(AF8/50)))))*AJ8)*Archetypes!$D$15)*(Archetypes!$D$13*IF(AF8&lt;0,1-Assumptions!$B$33*MIN(1,ABS(AF8)/ABS(Assumptions!$B$21)),1))*5)+(((Archetypes!$D$11*(IF(AF8&lt;0,1+Assumptions!$B$32*MIN(1,ABS(AF8)/ABS(Assumptions!$B$21)),MAX(0.1,1-Assumptions!$B$31*(AF8/50)))))*AJ8*Archetypes!$D$15*Archetypes!$D$22)*(Archetypes!$D$13*IF(AF8&lt;0,1-Assumptions!$B$33*MIN(1,ABS(AF8)/ABS(Assumptions!$B$21)),1))*5*Assumptions!$B$18))*IF(AF8&lt;0,Assumptions!$B$9,1)))*$E8</f>
        <v>6208.1279999999988</v>
      </c>
      <c r="AO8" s="21">
        <f>(AO7)+(AN8)-(MAX(0,((AO7)+(AN8)-(AP8)))*(IF(Archetypes!$D$27="",Assumptions!$B$11,Archetypes!$D$27)))</f>
        <v>29781.769983966718</v>
      </c>
      <c r="AP8" s="21">
        <f>Archetypes!$D$36 + (Assumptions!$B$67*(IF($E8=0,0,AI8/$E8))*Assumptions!$B$71*(1+Assumptions!$B$68*(Archetypes!$D$14-1))) + (Assumptions!$B$69*Archetypes!$D$34*(IF($E8=0,0,AI8/$E8))*Assumptions!$B$72*POWER(Assumptions!$B$70,Archetypes!$D$18-1))</f>
        <v>20774.800648960005</v>
      </c>
      <c r="AQ8" s="21">
        <f t="shared" si="7"/>
        <v>9006.9693350067137</v>
      </c>
    </row>
    <row r="9" spans="1:52" x14ac:dyDescent="0.25">
      <c r="A9" s="20">
        <v>30</v>
      </c>
      <c r="B9" s="20">
        <f t="shared" si="0"/>
        <v>2</v>
      </c>
      <c r="C9" s="20">
        <f t="shared" si="1"/>
        <v>6</v>
      </c>
      <c r="D9" s="6">
        <f>IF(C9&lt;Assumptions!$B$10,1,0)</f>
        <v>0</v>
      </c>
      <c r="E9" s="6">
        <v>6</v>
      </c>
      <c r="F9" s="21">
        <f t="shared" si="8"/>
        <v>-15</v>
      </c>
      <c r="G9" s="21">
        <f>MAX(Assumptions!$B$21,F9+H9)</f>
        <v>-15</v>
      </c>
      <c r="H9" s="21">
        <f>((L9*(Assumptions!$B$22+((Assumptions!$B$23-Assumptions!$B$22)*IF(I9&gt;0,K9/I9,0)))*(1+Assumptions!$B$60*(Archetypes!$B$13-1)))+IF(L9&gt;I9,I9*Assumptions!$B$24,0)-IF(IF(I9&gt;0,M9/I9,1)&lt;Assumptions!$B$61,((M9*(Assumptions!$B$27*(1+Assumptions!$B$28*(Archetypes!$B$14-1))/(1+Assumptions!$B$29*(Archetypes!$B$12-1))))+(((I9*Archetypes!$B$17*IF(I9&gt;0,M9/I9,1)*Archetypes!$B$31)/100)*Assumptions!$B$30))*Assumptions!$B$62,((M9*(Assumptions!$B$27*(1+Assumptions!$B$28*(Archetypes!$B$14-1))/(1+Assumptions!$B$29*(Archetypes!$B$12-1))))+(((I9*Archetypes!$B$17*IF(I9&gt;0,M9/I9,1)*Archetypes!$B$31)/100)*Assumptions!$B$30)))-(Assumptions!$B$25*Assumptions!$B$26*E9))*E9</f>
        <v>-102.17413047272723</v>
      </c>
      <c r="I9" s="21">
        <f>(Archetypes!$B$11*(IF(F9&lt;0,1+Assumptions!$B$32*MIN(1,ABS(F9)/ABS(Assumptions!$B$21)),MAX(0.1,1-Assumptions!$B$31*(F9/50)))))*$E9</f>
        <v>84</v>
      </c>
      <c r="J9" s="26">
        <f>Archetypes!$B$30</f>
        <v>2.1999999999999999E-2</v>
      </c>
      <c r="K9" s="21">
        <f t="shared" si="2"/>
        <v>1.8479999999999999</v>
      </c>
      <c r="L9" s="21">
        <f>((I9-K9)*Archetypes!$B$15)+(K9*Archetypes!$B$15*Archetypes!$B$22)</f>
        <v>8.4369600000000009</v>
      </c>
      <c r="M9" s="21">
        <f>I9*Archetypes!$B$16</f>
        <v>63</v>
      </c>
      <c r="N9" s="21">
        <f>(IF(F9&lt;0,Assumptions!$B$8,IF(F9&lt;10,Assumptions!$B$34,IF(F9&lt;25,Assumptions!$B$35,Assumptions!$B$36))))*((((Archetypes!$B$5*Assumptions!$B$4+Archetypes!$B$6*Assumptions!$B$5)*60))+(Assumptions!$B$6*(((Archetypes!$B$11*(IF(F9&lt;0,1+Assumptions!$B$32*MIN(1,ABS(F9)/ABS(Assumptions!$B$21)),MAX(0.1,1-Assumptions!$B$31*(F9/50)))))-((Archetypes!$B$11*(IF(F9&lt;0,1+Assumptions!$B$32*MIN(1,ABS(F9)/ABS(Assumptions!$B$21)),MAX(0.1,1-Assumptions!$B$31*(F9/50)))))*J9)*Archetypes!$B$20)+((Archetypes!$B$11*(IF(F9&lt;0,1+Assumptions!$B$32*MIN(1,ABS(F9)/ABS(Assumptions!$B$21)),MAX(0.1,1-Assumptions!$B$31*(F9/50)))))*J9*Archetypes!$B$20*Archetypes!$B$21)*Assumptions!$B$18)*(IF($D9=1,1,Assumptions!$B$7)))+(((((Archetypes!$B$11*(IF(F9&lt;0,1+Assumptions!$B$32*MIN(1,ABS(F9)/ABS(Assumptions!$B$21)),MAX(0.1,1-Assumptions!$B$31*(F9/50)))))-((Archetypes!$B$11*(IF(F9&lt;0,1+Assumptions!$B$32*MIN(1,ABS(F9)/ABS(Assumptions!$B$21)),MAX(0.1,1-Assumptions!$B$31*(F9/50)))))*J9)*Archetypes!$B$15)*(Archetypes!$B$13*IF(F9&lt;0,1-Assumptions!$B$33*MIN(1,ABS(F9)/ABS(Assumptions!$B$21)),1))*5)+(((Archetypes!$B$11*(IF(F9&lt;0,1+Assumptions!$B$32*MIN(1,ABS(F9)/ABS(Assumptions!$B$21)),MAX(0.1,1-Assumptions!$B$31*(F9/50)))))*J9*Archetypes!$B$15*Archetypes!$B$22)*(Archetypes!$B$13*IF(F9&lt;0,1-Assumptions!$B$33*MIN(1,ABS(F9)/ABS(Assumptions!$B$21)),1))*5*Assumptions!$B$18))*IF(F9&lt;0,Assumptions!$B$9,1)))*$E9</f>
        <v>2906.8712639999999</v>
      </c>
      <c r="O9" s="21">
        <f>(O8)+(N9)-(MAX(0,((O8)+(N9)-(P9)))*(IF(Archetypes!$B$27="",Assumptions!$B$11,Archetypes!$B$27)))</f>
        <v>11679.859038289918</v>
      </c>
      <c r="P9" s="21">
        <f>Archetypes!$B$36 + (Assumptions!$B$67*(IF($E9=0,0,I9/$E9))*Assumptions!$B$71*(1+Assumptions!$B$68*(Archetypes!$B$14-1))) + (Assumptions!$B$69*Archetypes!$B$34*(IF($E9=0,0,I9/$E9))*Assumptions!$B$72*POWER(Assumptions!$B$70,Archetypes!$B$18-1))</f>
        <v>2668.56</v>
      </c>
      <c r="Q9" s="21">
        <f t="shared" si="3"/>
        <v>9011.2990382899188</v>
      </c>
      <c r="S9" s="21">
        <f t="shared" si="9"/>
        <v>194.06014658239999</v>
      </c>
      <c r="T9" s="21">
        <f>MAX(Assumptions!$B$21,S9+U9)</f>
        <v>204.78403811839999</v>
      </c>
      <c r="U9" s="21">
        <f>((Y9*(Assumptions!$B$22+((Assumptions!$B$23-Assumptions!$B$22)*IF(V9&gt;0,X9/V9,0)))*(1+Assumptions!$B$60*(Archetypes!$C$13-1)))+IF(Y9&gt;V9,V9*Assumptions!$B$24,0)-IF(IF(V9&gt;0,Z9/V9,1)&lt;Assumptions!$B$61,((Z9*(Assumptions!$B$27*(1+Assumptions!$B$28*(Archetypes!$C$14-1))/(1+Assumptions!$B$29*(Archetypes!$C$12-1))))+(((V9*Archetypes!$C$17*IF(V9&gt;0,Z9/V9,1)*Archetypes!$C$31)/100)*Assumptions!$B$30))*Assumptions!$B$62,((Z9*(Assumptions!$B$27*(1+Assumptions!$B$28*(Archetypes!$C$14-1))/(1+Assumptions!$B$29*(Archetypes!$C$12-1))))+(((V9*Archetypes!$C$17*IF(V9&gt;0,Z9/V9,1)*Archetypes!$C$31)/100)*Assumptions!$B$30)))-(Assumptions!$B$25*Assumptions!$B$26*E9))*E9</f>
        <v>10.723891536000004</v>
      </c>
      <c r="V9" s="21">
        <f>(Archetypes!$C$11*(IF(S9&lt;0,1+Assumptions!$B$32*MIN(1,ABS(S9)/ABS(Assumptions!$B$21)),MAX(0.1,1-Assumptions!$B$31*(S9/50)))))*$E9</f>
        <v>3.6000000000000005</v>
      </c>
      <c r="W9" s="26">
        <f>Archetypes!$C$30</f>
        <v>3.7999999999999999E-2</v>
      </c>
      <c r="X9" s="21">
        <f t="shared" si="4"/>
        <v>0.1368</v>
      </c>
      <c r="Y9" s="21">
        <f>((V9-X9)*Archetypes!$C$15)+(X9*Archetypes!$C$15*Archetypes!$C$22)</f>
        <v>1.8205200000000004</v>
      </c>
      <c r="Z9" s="21">
        <f>V9*Archetypes!$C$16</f>
        <v>1.6200000000000003</v>
      </c>
      <c r="AA9" s="21">
        <f>(IF(S9&lt;0,Assumptions!$B$8,IF(S9&lt;10,Assumptions!$B$34,IF(S9&lt;25,Assumptions!$B$35,Assumptions!$B$36))))*((((Archetypes!$C$5*Assumptions!$B$4+Archetypes!$C$6*Assumptions!$B$5)*60))+(Assumptions!$B$6*(((Archetypes!$C$11*(IF(S9&lt;0,1+Assumptions!$B$32*MIN(1,ABS(S9)/ABS(Assumptions!$B$21)),MAX(0.1,1-Assumptions!$B$31*(S9/50)))))-((Archetypes!$C$11*(IF(S9&lt;0,1+Assumptions!$B$32*MIN(1,ABS(S9)/ABS(Assumptions!$B$21)),MAX(0.1,1-Assumptions!$B$31*(S9/50)))))*W9)*Archetypes!$C$20)+((Archetypes!$C$11*(IF(S9&lt;0,1+Assumptions!$B$32*MIN(1,ABS(S9)/ABS(Assumptions!$B$21)),MAX(0.1,1-Assumptions!$B$31*(S9/50)))))*W9*Archetypes!$C$20*Archetypes!$C$21)*Assumptions!$B$18)*(IF($D9=1,1,Assumptions!$B$7)))+(((((Archetypes!$C$11*(IF(S9&lt;0,1+Assumptions!$B$32*MIN(1,ABS(S9)/ABS(Assumptions!$B$21)),MAX(0.1,1-Assumptions!$B$31*(S9/50)))))-((Archetypes!$C$11*(IF(S9&lt;0,1+Assumptions!$B$32*MIN(1,ABS(S9)/ABS(Assumptions!$B$21)),MAX(0.1,1-Assumptions!$B$31*(S9/50)))))*W9)*Archetypes!$C$15)*(Archetypes!$C$13*IF(S9&lt;0,1-Assumptions!$B$33*MIN(1,ABS(S9)/ABS(Assumptions!$B$21)),1))*5)+(((Archetypes!$C$11*(IF(S9&lt;0,1+Assumptions!$B$32*MIN(1,ABS(S9)/ABS(Assumptions!$B$21)),MAX(0.1,1-Assumptions!$B$31*(S9/50)))))*W9*Archetypes!$C$15*Archetypes!$C$22)*(Archetypes!$C$13*IF(S9&lt;0,1-Assumptions!$B$33*MIN(1,ABS(S9)/ABS(Assumptions!$B$21)),1))*5*Assumptions!$B$18))*IF(S9&lt;0,Assumptions!$B$9,1)))*$E9</f>
        <v>3492.4942799999999</v>
      </c>
      <c r="AB9" s="21">
        <f>(AB8)+(AA9)-(MAX(0,((AB8)+(AA9)-(AC9)))*(IF(Archetypes!$C$27="",Assumptions!$B$11,Archetypes!$C$27)))</f>
        <v>17223.217959726564</v>
      </c>
      <c r="AC9" s="21">
        <f>Archetypes!$C$36 + (Assumptions!$B$67*(IF($E9=0,0,V9/$E9))*Assumptions!$B$71*(1+Assumptions!$B$68*(Archetypes!$C$14-1))) + (Assumptions!$B$69*Archetypes!$C$34*(IF($E9=0,0,V9/$E9))*Assumptions!$B$72*POWER(Assumptions!$B$70,Archetypes!$C$18-1))</f>
        <v>9108.3600000000024</v>
      </c>
      <c r="AD9" s="21">
        <f t="shared" si="5"/>
        <v>8114.8579597265616</v>
      </c>
      <c r="AF9" s="21">
        <f t="shared" si="10"/>
        <v>455.01211362377143</v>
      </c>
      <c r="AG9" s="21">
        <f>MAX(Assumptions!$B$21,AF9+AH9)</f>
        <v>487.89179506834284</v>
      </c>
      <c r="AH9" s="21">
        <f>((AL9*(Assumptions!$B$22+((Assumptions!$B$23-Assumptions!$B$22)*IF(AI9&gt;0,AK9/AI9,0)))*(1+Assumptions!$B$60*(Archetypes!$D$13-1)))+IF(AL9&gt;AI9,AI9*Assumptions!$B$24,0)-IF(IF(AI9&gt;0,AM9/AI9,1)&lt;Assumptions!$B$61,((AM9*(Assumptions!$B$27*(1+Assumptions!$B$28*(Archetypes!$D$14-1))/(1+Assumptions!$B$29*(Archetypes!$D$12-1))))+(((AI9*Archetypes!$D$17*IF(AI9&gt;0,AM9/AI9,1)*Archetypes!$D$31)/100)*Assumptions!$B$30))*Assumptions!$B$62,((AM9*(Assumptions!$B$27*(1+Assumptions!$B$28*(Archetypes!$D$14-1))/(1+Assumptions!$B$29*(Archetypes!$D$12-1))))+(((AI9*Archetypes!$D$17*IF(AI9&gt;0,AM9/AI9,1)*Archetypes!$D$31)/100)*Assumptions!$B$30)))-(Assumptions!$B$25*Assumptions!$B$26*E9))*E9</f>
        <v>32.879681444571439</v>
      </c>
      <c r="AI9" s="21">
        <f>(Archetypes!$D$11*(IF(AF9&lt;0,1+Assumptions!$B$32*MIN(1,ABS(AF9)/ABS(Assumptions!$B$21)),MAX(0.1,1-Assumptions!$B$31*(AF9/50)))))*$E9</f>
        <v>1.8000000000000003</v>
      </c>
      <c r="AJ9" s="26">
        <f>Archetypes!$D$30</f>
        <v>0.10400000000000001</v>
      </c>
      <c r="AK9" s="21">
        <f t="shared" si="6"/>
        <v>0.18720000000000003</v>
      </c>
      <c r="AL9" s="21">
        <f>((AI9-AK9)*Archetypes!$D$15)+(AK9*Archetypes!$D$15*Archetypes!$D$22)</f>
        <v>2.8123200000000006</v>
      </c>
      <c r="AM9" s="21">
        <f>AI9*Archetypes!$D$16</f>
        <v>0.3600000000000001</v>
      </c>
      <c r="AN9" s="21">
        <f>(IF(AF9&lt;0,Assumptions!$B$8,IF(AF9&lt;10,Assumptions!$B$34,IF(AF9&lt;25,Assumptions!$B$35,Assumptions!$B$36))))*((((Archetypes!$D$5*Assumptions!$B$4+Archetypes!$D$6*Assumptions!$B$5)*60))+(Assumptions!$B$6*(((Archetypes!$D$11*(IF(AF9&lt;0,1+Assumptions!$B$32*MIN(1,ABS(AF9)/ABS(Assumptions!$B$21)),MAX(0.1,1-Assumptions!$B$31*(AF9/50)))))-((Archetypes!$D$11*(IF(AF9&lt;0,1+Assumptions!$B$32*MIN(1,ABS(AF9)/ABS(Assumptions!$B$21)),MAX(0.1,1-Assumptions!$B$31*(AF9/50)))))*AJ9)*Archetypes!$D$20)+((Archetypes!$D$11*(IF(AF9&lt;0,1+Assumptions!$B$32*MIN(1,ABS(AF9)/ABS(Assumptions!$B$21)),MAX(0.1,1-Assumptions!$B$31*(AF9/50)))))*AJ9*Archetypes!$D$20*Archetypes!$D$21)*Assumptions!$B$18)*(IF($D9=1,1,Assumptions!$B$7)))+(((((Archetypes!$D$11*(IF(AF9&lt;0,1+Assumptions!$B$32*MIN(1,ABS(AF9)/ABS(Assumptions!$B$21)),MAX(0.1,1-Assumptions!$B$31*(AF9/50)))))-((Archetypes!$D$11*(IF(AF9&lt;0,1+Assumptions!$B$32*MIN(1,ABS(AF9)/ABS(Assumptions!$B$21)),MAX(0.1,1-Assumptions!$B$31*(AF9/50)))))*AJ9)*Archetypes!$D$15)*(Archetypes!$D$13*IF(AF9&lt;0,1-Assumptions!$B$33*MIN(1,ABS(AF9)/ABS(Assumptions!$B$21)),1))*5)+(((Archetypes!$D$11*(IF(AF9&lt;0,1+Assumptions!$B$32*MIN(1,ABS(AF9)/ABS(Assumptions!$B$21)),MAX(0.1,1-Assumptions!$B$31*(AF9/50)))))*AJ9*Archetypes!$D$15*Archetypes!$D$22)*(Archetypes!$D$13*IF(AF9&lt;0,1-Assumptions!$B$33*MIN(1,ABS(AF9)/ABS(Assumptions!$B$21)),1))*5*Assumptions!$B$18))*IF(AF9&lt;0,Assumptions!$B$9,1)))*$E9</f>
        <v>5637.8204999999998</v>
      </c>
      <c r="AO9" s="21">
        <f>(AO8)+(AN9)-(MAX(0,((AO8)+(AN9)-(AP9)))*(IF(Archetypes!$D$27="",Assumptions!$B$11,Archetypes!$D$27)))</f>
        <v>31026.153533464705</v>
      </c>
      <c r="AP9" s="21">
        <f>Archetypes!$D$36 + (Assumptions!$B$67*(IF($E9=0,0,AI9/$E9))*Assumptions!$B$71*(1+Assumptions!$B$68*(Archetypes!$D$14-1))) + (Assumptions!$B$69*Archetypes!$D$34*(IF($E9=0,0,AI9/$E9))*Assumptions!$B$72*POWER(Assumptions!$B$70,Archetypes!$D$18-1))</f>
        <v>20774.800648960005</v>
      </c>
      <c r="AQ9" s="21">
        <f t="shared" si="7"/>
        <v>10251.3528845047</v>
      </c>
    </row>
    <row r="10" spans="1:52" x14ac:dyDescent="0.25">
      <c r="A10" s="20">
        <v>36</v>
      </c>
      <c r="B10" s="20">
        <f t="shared" si="0"/>
        <v>2</v>
      </c>
      <c r="C10" s="20">
        <f t="shared" si="1"/>
        <v>12</v>
      </c>
      <c r="D10" s="6">
        <f>IF(C10&lt;Assumptions!$B$10,1,0)</f>
        <v>0</v>
      </c>
      <c r="E10" s="6">
        <v>6</v>
      </c>
      <c r="F10" s="21">
        <f t="shared" si="8"/>
        <v>-15</v>
      </c>
      <c r="G10" s="21">
        <f>MAX(Assumptions!$B$21,F10+H10)</f>
        <v>-15</v>
      </c>
      <c r="H10" s="21">
        <f>((L10*(Assumptions!$B$22+((Assumptions!$B$23-Assumptions!$B$22)*IF(I10&gt;0,K10/I10,0)))*(1+Assumptions!$B$60*(Archetypes!$B$13-1)))+IF(L10&gt;I10,I10*Assumptions!$B$24,0)-IF(IF(I10&gt;0,M10/I10,1)&lt;Assumptions!$B$61,((M10*(Assumptions!$B$27*(1+Assumptions!$B$28*(Archetypes!$B$14-1))/(1+Assumptions!$B$29*(Archetypes!$B$12-1))))+(((I10*Archetypes!$B$17*IF(I10&gt;0,M10/I10,1)*Archetypes!$B$31)/100)*Assumptions!$B$30))*Assumptions!$B$62,((M10*(Assumptions!$B$27*(1+Assumptions!$B$28*(Archetypes!$B$14-1))/(1+Assumptions!$B$29*(Archetypes!$B$12-1))))+(((I10*Archetypes!$B$17*IF(I10&gt;0,M10/I10,1)*Archetypes!$B$31)/100)*Assumptions!$B$30)))-(Assumptions!$B$25*Assumptions!$B$26*E10))*E10</f>
        <v>-102.17413047272723</v>
      </c>
      <c r="I10" s="21">
        <f>(Archetypes!$B$11*(IF(F10&lt;0,1+Assumptions!$B$32*MIN(1,ABS(F10)/ABS(Assumptions!$B$21)),MAX(0.1,1-Assumptions!$B$31*(F10/50)))))*$E10</f>
        <v>84</v>
      </c>
      <c r="J10" s="26">
        <f>Archetypes!$B$30</f>
        <v>2.1999999999999999E-2</v>
      </c>
      <c r="K10" s="21">
        <f t="shared" si="2"/>
        <v>1.8479999999999999</v>
      </c>
      <c r="L10" s="21">
        <f>((I10-K10)*Archetypes!$B$15)+(K10*Archetypes!$B$15*Archetypes!$B$22)</f>
        <v>8.4369600000000009</v>
      </c>
      <c r="M10" s="21">
        <f>I10*Archetypes!$B$16</f>
        <v>63</v>
      </c>
      <c r="N10" s="21">
        <f>(IF(F10&lt;0,Assumptions!$B$8,IF(F10&lt;10,Assumptions!$B$34,IF(F10&lt;25,Assumptions!$B$35,Assumptions!$B$36))))*((((Archetypes!$B$5*Assumptions!$B$4+Archetypes!$B$6*Assumptions!$B$5)*60))+(Assumptions!$B$6*(((Archetypes!$B$11*(IF(F10&lt;0,1+Assumptions!$B$32*MIN(1,ABS(F10)/ABS(Assumptions!$B$21)),MAX(0.1,1-Assumptions!$B$31*(F10/50)))))-((Archetypes!$B$11*(IF(F10&lt;0,1+Assumptions!$B$32*MIN(1,ABS(F10)/ABS(Assumptions!$B$21)),MAX(0.1,1-Assumptions!$B$31*(F10/50)))))*J10)*Archetypes!$B$20)+((Archetypes!$B$11*(IF(F10&lt;0,1+Assumptions!$B$32*MIN(1,ABS(F10)/ABS(Assumptions!$B$21)),MAX(0.1,1-Assumptions!$B$31*(F10/50)))))*J10*Archetypes!$B$20*Archetypes!$B$21)*Assumptions!$B$18)*(IF($D10=1,1,Assumptions!$B$7)))+(((((Archetypes!$B$11*(IF(F10&lt;0,1+Assumptions!$B$32*MIN(1,ABS(F10)/ABS(Assumptions!$B$21)),MAX(0.1,1-Assumptions!$B$31*(F10/50)))))-((Archetypes!$B$11*(IF(F10&lt;0,1+Assumptions!$B$32*MIN(1,ABS(F10)/ABS(Assumptions!$B$21)),MAX(0.1,1-Assumptions!$B$31*(F10/50)))))*J10)*Archetypes!$B$15)*(Archetypes!$B$13*IF(F10&lt;0,1-Assumptions!$B$33*MIN(1,ABS(F10)/ABS(Assumptions!$B$21)),1))*5)+(((Archetypes!$B$11*(IF(F10&lt;0,1+Assumptions!$B$32*MIN(1,ABS(F10)/ABS(Assumptions!$B$21)),MAX(0.1,1-Assumptions!$B$31*(F10/50)))))*J10*Archetypes!$B$15*Archetypes!$B$22)*(Archetypes!$B$13*IF(F10&lt;0,1-Assumptions!$B$33*MIN(1,ABS(F10)/ABS(Assumptions!$B$21)),1))*5*Assumptions!$B$18))*IF(F10&lt;0,Assumptions!$B$9,1)))*$E10</f>
        <v>2906.8712639999999</v>
      </c>
      <c r="O10" s="21">
        <f>(O9)+(N10)-(MAX(0,((O9)+(N10)-(P10)))*(IF(Archetypes!$B$27="",Assumptions!$B$11,Archetypes!$B$27)))</f>
        <v>12203.096241831934</v>
      </c>
      <c r="P10" s="21">
        <f>Archetypes!$B$36 + (Assumptions!$B$67*(IF($E10=0,0,I10/$E10))*Assumptions!$B$71*(1+Assumptions!$B$68*(Archetypes!$B$14-1))) + (Assumptions!$B$69*Archetypes!$B$34*(IF($E10=0,0,I10/$E10))*Assumptions!$B$72*POWER(Assumptions!$B$70,Archetypes!$B$18-1))</f>
        <v>2668.56</v>
      </c>
      <c r="Q10" s="21">
        <f t="shared" si="3"/>
        <v>9534.5362418319346</v>
      </c>
      <c r="S10" s="21">
        <f t="shared" si="9"/>
        <v>204.78403811839999</v>
      </c>
      <c r="T10" s="21">
        <f>MAX(Assumptions!$B$21,S10+U10)</f>
        <v>215.50792965439999</v>
      </c>
      <c r="U10" s="21">
        <f>((Y10*(Assumptions!$B$22+((Assumptions!$B$23-Assumptions!$B$22)*IF(V10&gt;0,X10/V10,0)))*(1+Assumptions!$B$60*(Archetypes!$C$13-1)))+IF(Y10&gt;V10,V10*Assumptions!$B$24,0)-IF(IF(V10&gt;0,Z10/V10,1)&lt;Assumptions!$B$61,((Z10*(Assumptions!$B$27*(1+Assumptions!$B$28*(Archetypes!$C$14-1))/(1+Assumptions!$B$29*(Archetypes!$C$12-1))))+(((V10*Archetypes!$C$17*IF(V10&gt;0,Z10/V10,1)*Archetypes!$C$31)/100)*Assumptions!$B$30))*Assumptions!$B$62,((Z10*(Assumptions!$B$27*(1+Assumptions!$B$28*(Archetypes!$C$14-1))/(1+Assumptions!$B$29*(Archetypes!$C$12-1))))+(((V10*Archetypes!$C$17*IF(V10&gt;0,Z10/V10,1)*Archetypes!$C$31)/100)*Assumptions!$B$30)))-(Assumptions!$B$25*Assumptions!$B$26*E10))*E10</f>
        <v>10.723891536000004</v>
      </c>
      <c r="V10" s="21">
        <f>(Archetypes!$C$11*(IF(S10&lt;0,1+Assumptions!$B$32*MIN(1,ABS(S10)/ABS(Assumptions!$B$21)),MAX(0.1,1-Assumptions!$B$31*(S10/50)))))*$E10</f>
        <v>3.6000000000000005</v>
      </c>
      <c r="W10" s="26">
        <f>Archetypes!$C$30</f>
        <v>3.7999999999999999E-2</v>
      </c>
      <c r="X10" s="21">
        <f t="shared" si="4"/>
        <v>0.1368</v>
      </c>
      <c r="Y10" s="21">
        <f>((V10-X10)*Archetypes!$C$15)+(X10*Archetypes!$C$15*Archetypes!$C$22)</f>
        <v>1.8205200000000004</v>
      </c>
      <c r="Z10" s="21">
        <f>V10*Archetypes!$C$16</f>
        <v>1.6200000000000003</v>
      </c>
      <c r="AA10" s="21">
        <f>(IF(S10&lt;0,Assumptions!$B$8,IF(S10&lt;10,Assumptions!$B$34,IF(S10&lt;25,Assumptions!$B$35,Assumptions!$B$36))))*((((Archetypes!$C$5*Assumptions!$B$4+Archetypes!$C$6*Assumptions!$B$5)*60))+(Assumptions!$B$6*(((Archetypes!$C$11*(IF(S10&lt;0,1+Assumptions!$B$32*MIN(1,ABS(S10)/ABS(Assumptions!$B$21)),MAX(0.1,1-Assumptions!$B$31*(S10/50)))))-((Archetypes!$C$11*(IF(S10&lt;0,1+Assumptions!$B$32*MIN(1,ABS(S10)/ABS(Assumptions!$B$21)),MAX(0.1,1-Assumptions!$B$31*(S10/50)))))*W10)*Archetypes!$C$20)+((Archetypes!$C$11*(IF(S10&lt;0,1+Assumptions!$B$32*MIN(1,ABS(S10)/ABS(Assumptions!$B$21)),MAX(0.1,1-Assumptions!$B$31*(S10/50)))))*W10*Archetypes!$C$20*Archetypes!$C$21)*Assumptions!$B$18)*(IF($D10=1,1,Assumptions!$B$7)))+(((((Archetypes!$C$11*(IF(S10&lt;0,1+Assumptions!$B$32*MIN(1,ABS(S10)/ABS(Assumptions!$B$21)),MAX(0.1,1-Assumptions!$B$31*(S10/50)))))-((Archetypes!$C$11*(IF(S10&lt;0,1+Assumptions!$B$32*MIN(1,ABS(S10)/ABS(Assumptions!$B$21)),MAX(0.1,1-Assumptions!$B$31*(S10/50)))))*W10)*Archetypes!$C$15)*(Archetypes!$C$13*IF(S10&lt;0,1-Assumptions!$B$33*MIN(1,ABS(S10)/ABS(Assumptions!$B$21)),1))*5)+(((Archetypes!$C$11*(IF(S10&lt;0,1+Assumptions!$B$32*MIN(1,ABS(S10)/ABS(Assumptions!$B$21)),MAX(0.1,1-Assumptions!$B$31*(S10/50)))))*W10*Archetypes!$C$15*Archetypes!$C$22)*(Archetypes!$C$13*IF(S10&lt;0,1-Assumptions!$B$33*MIN(1,ABS(S10)/ABS(Assumptions!$B$21)),1))*5*Assumptions!$B$18))*IF(S10&lt;0,Assumptions!$B$9,1)))*$E10</f>
        <v>3492.4942799999999</v>
      </c>
      <c r="AB10" s="21">
        <f>(AB9)+(AA10)-(MAX(0,((AB9)+(AA10)-(AC10)))*(IF(Archetypes!$C$27="",Assumptions!$B$11,Archetypes!$C$27)))</f>
        <v>17813.874179794922</v>
      </c>
      <c r="AC10" s="21">
        <f>Archetypes!$C$36 + (Assumptions!$B$67*(IF($E10=0,0,V10/$E10))*Assumptions!$B$71*(1+Assumptions!$B$68*(Archetypes!$C$14-1))) + (Assumptions!$B$69*Archetypes!$C$34*(IF($E10=0,0,V10/$E10))*Assumptions!$B$72*POWER(Assumptions!$B$70,Archetypes!$C$18-1))</f>
        <v>9108.3600000000024</v>
      </c>
      <c r="AD10" s="21">
        <f t="shared" si="5"/>
        <v>8705.51417979492</v>
      </c>
      <c r="AF10" s="21">
        <f t="shared" si="10"/>
        <v>487.89179506834284</v>
      </c>
      <c r="AG10" s="21">
        <f>MAX(Assumptions!$B$21,AF10+AH10)</f>
        <v>520.77147651291432</v>
      </c>
      <c r="AH10" s="21">
        <f>((AL10*(Assumptions!$B$22+((Assumptions!$B$23-Assumptions!$B$22)*IF(AI10&gt;0,AK10/AI10,0)))*(1+Assumptions!$B$60*(Archetypes!$D$13-1)))+IF(AL10&gt;AI10,AI10*Assumptions!$B$24,0)-IF(IF(AI10&gt;0,AM10/AI10,1)&lt;Assumptions!$B$61,((AM10*(Assumptions!$B$27*(1+Assumptions!$B$28*(Archetypes!$D$14-1))/(1+Assumptions!$B$29*(Archetypes!$D$12-1))))+(((AI10*Archetypes!$D$17*IF(AI10&gt;0,AM10/AI10,1)*Archetypes!$D$31)/100)*Assumptions!$B$30))*Assumptions!$B$62,((AM10*(Assumptions!$B$27*(1+Assumptions!$B$28*(Archetypes!$D$14-1))/(1+Assumptions!$B$29*(Archetypes!$D$12-1))))+(((AI10*Archetypes!$D$17*IF(AI10&gt;0,AM10/AI10,1)*Archetypes!$D$31)/100)*Assumptions!$B$30)))-(Assumptions!$B$25*Assumptions!$B$26*E10))*E10</f>
        <v>32.879681444571439</v>
      </c>
      <c r="AI10" s="21">
        <f>(Archetypes!$D$11*(IF(AF10&lt;0,1+Assumptions!$B$32*MIN(1,ABS(AF10)/ABS(Assumptions!$B$21)),MAX(0.1,1-Assumptions!$B$31*(AF10/50)))))*$E10</f>
        <v>1.8000000000000003</v>
      </c>
      <c r="AJ10" s="26">
        <f>Archetypes!$D$30</f>
        <v>0.10400000000000001</v>
      </c>
      <c r="AK10" s="21">
        <f t="shared" si="6"/>
        <v>0.18720000000000003</v>
      </c>
      <c r="AL10" s="21">
        <f>((AI10-AK10)*Archetypes!$D$15)+(AK10*Archetypes!$D$15*Archetypes!$D$22)</f>
        <v>2.8123200000000006</v>
      </c>
      <c r="AM10" s="21">
        <f>AI10*Archetypes!$D$16</f>
        <v>0.3600000000000001</v>
      </c>
      <c r="AN10" s="21">
        <f>(IF(AF10&lt;0,Assumptions!$B$8,IF(AF10&lt;10,Assumptions!$B$34,IF(AF10&lt;25,Assumptions!$B$35,Assumptions!$B$36))))*((((Archetypes!$D$5*Assumptions!$B$4+Archetypes!$D$6*Assumptions!$B$5)*60))+(Assumptions!$B$6*(((Archetypes!$D$11*(IF(AF10&lt;0,1+Assumptions!$B$32*MIN(1,ABS(AF10)/ABS(Assumptions!$B$21)),MAX(0.1,1-Assumptions!$B$31*(AF10/50)))))-((Archetypes!$D$11*(IF(AF10&lt;0,1+Assumptions!$B$32*MIN(1,ABS(AF10)/ABS(Assumptions!$B$21)),MAX(0.1,1-Assumptions!$B$31*(AF10/50)))))*AJ10)*Archetypes!$D$20)+((Archetypes!$D$11*(IF(AF10&lt;0,1+Assumptions!$B$32*MIN(1,ABS(AF10)/ABS(Assumptions!$B$21)),MAX(0.1,1-Assumptions!$B$31*(AF10/50)))))*AJ10*Archetypes!$D$20*Archetypes!$D$21)*Assumptions!$B$18)*(IF($D10=1,1,Assumptions!$B$7)))+(((((Archetypes!$D$11*(IF(AF10&lt;0,1+Assumptions!$B$32*MIN(1,ABS(AF10)/ABS(Assumptions!$B$21)),MAX(0.1,1-Assumptions!$B$31*(AF10/50)))))-((Archetypes!$D$11*(IF(AF10&lt;0,1+Assumptions!$B$32*MIN(1,ABS(AF10)/ABS(Assumptions!$B$21)),MAX(0.1,1-Assumptions!$B$31*(AF10/50)))))*AJ10)*Archetypes!$D$15)*(Archetypes!$D$13*IF(AF10&lt;0,1-Assumptions!$B$33*MIN(1,ABS(AF10)/ABS(Assumptions!$B$21)),1))*5)+(((Archetypes!$D$11*(IF(AF10&lt;0,1+Assumptions!$B$32*MIN(1,ABS(AF10)/ABS(Assumptions!$B$21)),MAX(0.1,1-Assumptions!$B$31*(AF10/50)))))*AJ10*Archetypes!$D$15*Archetypes!$D$22)*(Archetypes!$D$13*IF(AF10&lt;0,1-Assumptions!$B$33*MIN(1,ABS(AF10)/ABS(Assumptions!$B$21)),1))*5*Assumptions!$B$18))*IF(AF10&lt;0,Assumptions!$B$9,1)))*$E10</f>
        <v>5637.8204999999998</v>
      </c>
      <c r="AO10" s="21">
        <f>(AO9)+(AN10)-(MAX(0,((AO9)+(AN10)-(AP10)))*(IF(Archetypes!$D$27="",Assumptions!$B$11,Archetypes!$D$27)))</f>
        <v>31897.222018113294</v>
      </c>
      <c r="AP10" s="21">
        <f>Archetypes!$D$36 + (Assumptions!$B$67*(IF($E10=0,0,AI10/$E10))*Assumptions!$B$71*(1+Assumptions!$B$68*(Archetypes!$D$14-1))) + (Assumptions!$B$69*Archetypes!$D$34*(IF($E10=0,0,AI10/$E10))*Assumptions!$B$72*POWER(Assumptions!$B$70,Archetypes!$D$18-1))</f>
        <v>20774.800648960005</v>
      </c>
      <c r="AQ10" s="21">
        <f t="shared" si="7"/>
        <v>11122.42136915329</v>
      </c>
    </row>
    <row r="11" spans="1:52" x14ac:dyDescent="0.25">
      <c r="A11" s="20">
        <v>42</v>
      </c>
      <c r="B11" s="20">
        <f t="shared" si="0"/>
        <v>2</v>
      </c>
      <c r="C11" s="20">
        <f t="shared" si="1"/>
        <v>18</v>
      </c>
      <c r="D11" s="6">
        <f>IF(C11&lt;Assumptions!$B$10,1,0)</f>
        <v>0</v>
      </c>
      <c r="E11" s="6">
        <v>6</v>
      </c>
      <c r="F11" s="21">
        <f t="shared" si="8"/>
        <v>-15</v>
      </c>
      <c r="G11" s="21">
        <f>MAX(Assumptions!$B$21,F11+H11)</f>
        <v>-15</v>
      </c>
      <c r="H11" s="21">
        <f>((L11*(Assumptions!$B$22+((Assumptions!$B$23-Assumptions!$B$22)*IF(I11&gt;0,K11/I11,0)))*(1+Assumptions!$B$60*(Archetypes!$B$13-1)))+IF(L11&gt;I11,I11*Assumptions!$B$24,0)-IF(IF(I11&gt;0,M11/I11,1)&lt;Assumptions!$B$61,((M11*(Assumptions!$B$27*(1+Assumptions!$B$28*(Archetypes!$B$14-1))/(1+Assumptions!$B$29*(Archetypes!$B$12-1))))+(((I11*Archetypes!$B$17*IF(I11&gt;0,M11/I11,1)*Archetypes!$B$31)/100)*Assumptions!$B$30))*Assumptions!$B$62,((M11*(Assumptions!$B$27*(1+Assumptions!$B$28*(Archetypes!$B$14-1))/(1+Assumptions!$B$29*(Archetypes!$B$12-1))))+(((I11*Archetypes!$B$17*IF(I11&gt;0,M11/I11,1)*Archetypes!$B$31)/100)*Assumptions!$B$30)))-(Assumptions!$B$25*Assumptions!$B$26*E11))*E11</f>
        <v>-102.17413047272723</v>
      </c>
      <c r="I11" s="21">
        <f>(Archetypes!$B$11*(IF(F11&lt;0,1+Assumptions!$B$32*MIN(1,ABS(F11)/ABS(Assumptions!$B$21)),MAX(0.1,1-Assumptions!$B$31*(F11/50)))))*$E11</f>
        <v>84</v>
      </c>
      <c r="J11" s="26">
        <f>Archetypes!$B$30</f>
        <v>2.1999999999999999E-2</v>
      </c>
      <c r="K11" s="21">
        <f t="shared" si="2"/>
        <v>1.8479999999999999</v>
      </c>
      <c r="L11" s="21">
        <f>((I11-K11)*Archetypes!$B$15)+(K11*Archetypes!$B$15*Archetypes!$B$22)</f>
        <v>8.4369600000000009</v>
      </c>
      <c r="M11" s="21">
        <f>I11*Archetypes!$B$16</f>
        <v>63</v>
      </c>
      <c r="N11" s="21">
        <f>(IF(F11&lt;0,Assumptions!$B$8,IF(F11&lt;10,Assumptions!$B$34,IF(F11&lt;25,Assumptions!$B$35,Assumptions!$B$36))))*((((Archetypes!$B$5*Assumptions!$B$4+Archetypes!$B$6*Assumptions!$B$5)*60))+(Assumptions!$B$6*(((Archetypes!$B$11*(IF(F11&lt;0,1+Assumptions!$B$32*MIN(1,ABS(F11)/ABS(Assumptions!$B$21)),MAX(0.1,1-Assumptions!$B$31*(F11/50)))))-((Archetypes!$B$11*(IF(F11&lt;0,1+Assumptions!$B$32*MIN(1,ABS(F11)/ABS(Assumptions!$B$21)),MAX(0.1,1-Assumptions!$B$31*(F11/50)))))*J11)*Archetypes!$B$20)+((Archetypes!$B$11*(IF(F11&lt;0,1+Assumptions!$B$32*MIN(1,ABS(F11)/ABS(Assumptions!$B$21)),MAX(0.1,1-Assumptions!$B$31*(F11/50)))))*J11*Archetypes!$B$20*Archetypes!$B$21)*Assumptions!$B$18)*(IF($D11=1,1,Assumptions!$B$7)))+(((((Archetypes!$B$11*(IF(F11&lt;0,1+Assumptions!$B$32*MIN(1,ABS(F11)/ABS(Assumptions!$B$21)),MAX(0.1,1-Assumptions!$B$31*(F11/50)))))-((Archetypes!$B$11*(IF(F11&lt;0,1+Assumptions!$B$32*MIN(1,ABS(F11)/ABS(Assumptions!$B$21)),MAX(0.1,1-Assumptions!$B$31*(F11/50)))))*J11)*Archetypes!$B$15)*(Archetypes!$B$13*IF(F11&lt;0,1-Assumptions!$B$33*MIN(1,ABS(F11)/ABS(Assumptions!$B$21)),1))*5)+(((Archetypes!$B$11*(IF(F11&lt;0,1+Assumptions!$B$32*MIN(1,ABS(F11)/ABS(Assumptions!$B$21)),MAX(0.1,1-Assumptions!$B$31*(F11/50)))))*J11*Archetypes!$B$15*Archetypes!$B$22)*(Archetypes!$B$13*IF(F11&lt;0,1-Assumptions!$B$33*MIN(1,ABS(F11)/ABS(Assumptions!$B$21)),1))*5*Assumptions!$B$18))*IF(F11&lt;0,Assumptions!$B$9,1)))*$E11</f>
        <v>2906.8712639999999</v>
      </c>
      <c r="O11" s="21">
        <f>(O10)+(N11)-(MAX(0,((O10)+(N11)-(P11)))*(IF(Archetypes!$B$27="",Assumptions!$B$11,Archetypes!$B$27)))</f>
        <v>12621.686004665546</v>
      </c>
      <c r="P11" s="21">
        <f>Archetypes!$B$36 + (Assumptions!$B$67*(IF($E11=0,0,I11/$E11))*Assumptions!$B$71*(1+Assumptions!$B$68*(Archetypes!$B$14-1))) + (Assumptions!$B$69*Archetypes!$B$34*(IF($E11=0,0,I11/$E11))*Assumptions!$B$72*POWER(Assumptions!$B$70,Archetypes!$B$18-1))</f>
        <v>2668.56</v>
      </c>
      <c r="Q11" s="21">
        <f t="shared" si="3"/>
        <v>9953.1260046655461</v>
      </c>
      <c r="S11" s="21">
        <f t="shared" si="9"/>
        <v>215.50792965439999</v>
      </c>
      <c r="T11" s="21">
        <f>MAX(Assumptions!$B$21,S11+U11)</f>
        <v>226.23182119039998</v>
      </c>
      <c r="U11" s="21">
        <f>((Y11*(Assumptions!$B$22+((Assumptions!$B$23-Assumptions!$B$22)*IF(V11&gt;0,X11/V11,0)))*(1+Assumptions!$B$60*(Archetypes!$C$13-1)))+IF(Y11&gt;V11,V11*Assumptions!$B$24,0)-IF(IF(V11&gt;0,Z11/V11,1)&lt;Assumptions!$B$61,((Z11*(Assumptions!$B$27*(1+Assumptions!$B$28*(Archetypes!$C$14-1))/(1+Assumptions!$B$29*(Archetypes!$C$12-1))))+(((V11*Archetypes!$C$17*IF(V11&gt;0,Z11/V11,1)*Archetypes!$C$31)/100)*Assumptions!$B$30))*Assumptions!$B$62,((Z11*(Assumptions!$B$27*(1+Assumptions!$B$28*(Archetypes!$C$14-1))/(1+Assumptions!$B$29*(Archetypes!$C$12-1))))+(((V11*Archetypes!$C$17*IF(V11&gt;0,Z11/V11,1)*Archetypes!$C$31)/100)*Assumptions!$B$30)))-(Assumptions!$B$25*Assumptions!$B$26*E11))*E11</f>
        <v>10.723891536000004</v>
      </c>
      <c r="V11" s="21">
        <f>(Archetypes!$C$11*(IF(S11&lt;0,1+Assumptions!$B$32*MIN(1,ABS(S11)/ABS(Assumptions!$B$21)),MAX(0.1,1-Assumptions!$B$31*(S11/50)))))*$E11</f>
        <v>3.6000000000000005</v>
      </c>
      <c r="W11" s="26">
        <f>Archetypes!$C$30</f>
        <v>3.7999999999999999E-2</v>
      </c>
      <c r="X11" s="21">
        <f t="shared" si="4"/>
        <v>0.1368</v>
      </c>
      <c r="Y11" s="21">
        <f>((V11-X11)*Archetypes!$C$15)+(X11*Archetypes!$C$15*Archetypes!$C$22)</f>
        <v>1.8205200000000004</v>
      </c>
      <c r="Z11" s="21">
        <f>V11*Archetypes!$C$16</f>
        <v>1.6200000000000003</v>
      </c>
      <c r="AA11" s="21">
        <f>(IF(S11&lt;0,Assumptions!$B$8,IF(S11&lt;10,Assumptions!$B$34,IF(S11&lt;25,Assumptions!$B$35,Assumptions!$B$36))))*((((Archetypes!$C$5*Assumptions!$B$4+Archetypes!$C$6*Assumptions!$B$5)*60))+(Assumptions!$B$6*(((Archetypes!$C$11*(IF(S11&lt;0,1+Assumptions!$B$32*MIN(1,ABS(S11)/ABS(Assumptions!$B$21)),MAX(0.1,1-Assumptions!$B$31*(S11/50)))))-((Archetypes!$C$11*(IF(S11&lt;0,1+Assumptions!$B$32*MIN(1,ABS(S11)/ABS(Assumptions!$B$21)),MAX(0.1,1-Assumptions!$B$31*(S11/50)))))*W11)*Archetypes!$C$20)+((Archetypes!$C$11*(IF(S11&lt;0,1+Assumptions!$B$32*MIN(1,ABS(S11)/ABS(Assumptions!$B$21)),MAX(0.1,1-Assumptions!$B$31*(S11/50)))))*W11*Archetypes!$C$20*Archetypes!$C$21)*Assumptions!$B$18)*(IF($D11=1,1,Assumptions!$B$7)))+(((((Archetypes!$C$11*(IF(S11&lt;0,1+Assumptions!$B$32*MIN(1,ABS(S11)/ABS(Assumptions!$B$21)),MAX(0.1,1-Assumptions!$B$31*(S11/50)))))-((Archetypes!$C$11*(IF(S11&lt;0,1+Assumptions!$B$32*MIN(1,ABS(S11)/ABS(Assumptions!$B$21)),MAX(0.1,1-Assumptions!$B$31*(S11/50)))))*W11)*Archetypes!$C$15)*(Archetypes!$C$13*IF(S11&lt;0,1-Assumptions!$B$33*MIN(1,ABS(S11)/ABS(Assumptions!$B$21)),1))*5)+(((Archetypes!$C$11*(IF(S11&lt;0,1+Assumptions!$B$32*MIN(1,ABS(S11)/ABS(Assumptions!$B$21)),MAX(0.1,1-Assumptions!$B$31*(S11/50)))))*W11*Archetypes!$C$15*Archetypes!$C$22)*(Archetypes!$C$13*IF(S11&lt;0,1-Assumptions!$B$33*MIN(1,ABS(S11)/ABS(Assumptions!$B$21)),1))*5*Assumptions!$B$18))*IF(S11&lt;0,Assumptions!$B$9,1)))*$E11</f>
        <v>3492.4942799999999</v>
      </c>
      <c r="AB11" s="21">
        <f>(AB10)+(AA11)-(MAX(0,((AB10)+(AA11)-(AC11)))*(IF(Archetypes!$C$27="",Assumptions!$B$11,Archetypes!$C$27)))</f>
        <v>18256.866344846192</v>
      </c>
      <c r="AC11" s="21">
        <f>Archetypes!$C$36 + (Assumptions!$B$67*(IF($E11=0,0,V11/$E11))*Assumptions!$B$71*(1+Assumptions!$B$68*(Archetypes!$C$14-1))) + (Assumptions!$B$69*Archetypes!$C$34*(IF($E11=0,0,V11/$E11))*Assumptions!$B$72*POWER(Assumptions!$B$70,Archetypes!$C$18-1))</f>
        <v>9108.3600000000024</v>
      </c>
      <c r="AD11" s="21">
        <f t="shared" si="5"/>
        <v>9148.5063448461897</v>
      </c>
      <c r="AF11" s="21">
        <f t="shared" si="10"/>
        <v>520.77147651291432</v>
      </c>
      <c r="AG11" s="21">
        <f>MAX(Assumptions!$B$21,AF11+AH11)</f>
        <v>553.65115795748579</v>
      </c>
      <c r="AH11" s="21">
        <f>((AL11*(Assumptions!$B$22+((Assumptions!$B$23-Assumptions!$B$22)*IF(AI11&gt;0,AK11/AI11,0)))*(1+Assumptions!$B$60*(Archetypes!$D$13-1)))+IF(AL11&gt;AI11,AI11*Assumptions!$B$24,0)-IF(IF(AI11&gt;0,AM11/AI11,1)&lt;Assumptions!$B$61,((AM11*(Assumptions!$B$27*(1+Assumptions!$B$28*(Archetypes!$D$14-1))/(1+Assumptions!$B$29*(Archetypes!$D$12-1))))+(((AI11*Archetypes!$D$17*IF(AI11&gt;0,AM11/AI11,1)*Archetypes!$D$31)/100)*Assumptions!$B$30))*Assumptions!$B$62,((AM11*(Assumptions!$B$27*(1+Assumptions!$B$28*(Archetypes!$D$14-1))/(1+Assumptions!$B$29*(Archetypes!$D$12-1))))+(((AI11*Archetypes!$D$17*IF(AI11&gt;0,AM11/AI11,1)*Archetypes!$D$31)/100)*Assumptions!$B$30)))-(Assumptions!$B$25*Assumptions!$B$26*E11))*E11</f>
        <v>32.879681444571439</v>
      </c>
      <c r="AI11" s="21">
        <f>(Archetypes!$D$11*(IF(AF11&lt;0,1+Assumptions!$B$32*MIN(1,ABS(AF11)/ABS(Assumptions!$B$21)),MAX(0.1,1-Assumptions!$B$31*(AF11/50)))))*$E11</f>
        <v>1.8000000000000003</v>
      </c>
      <c r="AJ11" s="26">
        <f>Archetypes!$D$30</f>
        <v>0.10400000000000001</v>
      </c>
      <c r="AK11" s="21">
        <f t="shared" si="6"/>
        <v>0.18720000000000003</v>
      </c>
      <c r="AL11" s="21">
        <f>((AI11-AK11)*Archetypes!$D$15)+(AK11*Archetypes!$D$15*Archetypes!$D$22)</f>
        <v>2.8123200000000006</v>
      </c>
      <c r="AM11" s="21">
        <f>AI11*Archetypes!$D$16</f>
        <v>0.3600000000000001</v>
      </c>
      <c r="AN11" s="21">
        <f>(IF(AF11&lt;0,Assumptions!$B$8,IF(AF11&lt;10,Assumptions!$B$34,IF(AF11&lt;25,Assumptions!$B$35,Assumptions!$B$36))))*((((Archetypes!$D$5*Assumptions!$B$4+Archetypes!$D$6*Assumptions!$B$5)*60))+(Assumptions!$B$6*(((Archetypes!$D$11*(IF(AF11&lt;0,1+Assumptions!$B$32*MIN(1,ABS(AF11)/ABS(Assumptions!$B$21)),MAX(0.1,1-Assumptions!$B$31*(AF11/50)))))-((Archetypes!$D$11*(IF(AF11&lt;0,1+Assumptions!$B$32*MIN(1,ABS(AF11)/ABS(Assumptions!$B$21)),MAX(0.1,1-Assumptions!$B$31*(AF11/50)))))*AJ11)*Archetypes!$D$20)+((Archetypes!$D$11*(IF(AF11&lt;0,1+Assumptions!$B$32*MIN(1,ABS(AF11)/ABS(Assumptions!$B$21)),MAX(0.1,1-Assumptions!$B$31*(AF11/50)))))*AJ11*Archetypes!$D$20*Archetypes!$D$21)*Assumptions!$B$18)*(IF($D11=1,1,Assumptions!$B$7)))+(((((Archetypes!$D$11*(IF(AF11&lt;0,1+Assumptions!$B$32*MIN(1,ABS(AF11)/ABS(Assumptions!$B$21)),MAX(0.1,1-Assumptions!$B$31*(AF11/50)))))-((Archetypes!$D$11*(IF(AF11&lt;0,1+Assumptions!$B$32*MIN(1,ABS(AF11)/ABS(Assumptions!$B$21)),MAX(0.1,1-Assumptions!$B$31*(AF11/50)))))*AJ11)*Archetypes!$D$15)*(Archetypes!$D$13*IF(AF11&lt;0,1-Assumptions!$B$33*MIN(1,ABS(AF11)/ABS(Assumptions!$B$21)),1))*5)+(((Archetypes!$D$11*(IF(AF11&lt;0,1+Assumptions!$B$32*MIN(1,ABS(AF11)/ABS(Assumptions!$B$21)),MAX(0.1,1-Assumptions!$B$31*(AF11/50)))))*AJ11*Archetypes!$D$15*Archetypes!$D$22)*(Archetypes!$D$13*IF(AF11&lt;0,1-Assumptions!$B$33*MIN(1,ABS(AF11)/ABS(Assumptions!$B$21)),1))*5*Assumptions!$B$18))*IF(AF11&lt;0,Assumptions!$B$9,1)))*$E11</f>
        <v>5637.8204999999998</v>
      </c>
      <c r="AO11" s="21">
        <f>(AO10)+(AN11)-(MAX(0,((AO10)+(AN11)-(AP11)))*(IF(Archetypes!$D$27="",Assumptions!$B$11,Archetypes!$D$27)))</f>
        <v>32506.96995736731</v>
      </c>
      <c r="AP11" s="21">
        <f>Archetypes!$D$36 + (Assumptions!$B$67*(IF($E11=0,0,AI11/$E11))*Assumptions!$B$71*(1+Assumptions!$B$68*(Archetypes!$D$14-1))) + (Assumptions!$B$69*Archetypes!$D$34*(IF($E11=0,0,AI11/$E11))*Assumptions!$B$72*POWER(Assumptions!$B$70,Archetypes!$D$18-1))</f>
        <v>20774.800648960005</v>
      </c>
      <c r="AQ11" s="21">
        <f t="shared" si="7"/>
        <v>11732.169308407305</v>
      </c>
    </row>
    <row r="12" spans="1:52" x14ac:dyDescent="0.25">
      <c r="A12" s="20">
        <v>48</v>
      </c>
      <c r="B12" s="20">
        <f t="shared" si="0"/>
        <v>3</v>
      </c>
      <c r="C12" s="20">
        <f t="shared" si="1"/>
        <v>0</v>
      </c>
      <c r="D12" s="6">
        <f>IF(C12&lt;Assumptions!$B$10,1,0)</f>
        <v>1</v>
      </c>
      <c r="E12" s="6">
        <v>6</v>
      </c>
      <c r="F12" s="21">
        <f t="shared" si="8"/>
        <v>-15</v>
      </c>
      <c r="G12" s="21">
        <f>MAX(Assumptions!$B$21,F12+H12)</f>
        <v>-15</v>
      </c>
      <c r="H12" s="21">
        <f>((L12*(Assumptions!$B$22+((Assumptions!$B$23-Assumptions!$B$22)*IF(I12&gt;0,K12/I12,0)))*(1+Assumptions!$B$60*(Archetypes!$B$13-1)))+IF(L12&gt;I12,I12*Assumptions!$B$24,0)-IF(IF(I12&gt;0,M12/I12,1)&lt;Assumptions!$B$61,((M12*(Assumptions!$B$27*(1+Assumptions!$B$28*(Archetypes!$B$14-1))/(1+Assumptions!$B$29*(Archetypes!$B$12-1))))+(((I12*Archetypes!$B$17*IF(I12&gt;0,M12/I12,1)*Archetypes!$B$31)/100)*Assumptions!$B$30))*Assumptions!$B$62,((M12*(Assumptions!$B$27*(1+Assumptions!$B$28*(Archetypes!$B$14-1))/(1+Assumptions!$B$29*(Archetypes!$B$12-1))))+(((I12*Archetypes!$B$17*IF(I12&gt;0,M12/I12,1)*Archetypes!$B$31)/100)*Assumptions!$B$30)))-(Assumptions!$B$25*Assumptions!$B$26*E12))*E12</f>
        <v>-102.17413047272723</v>
      </c>
      <c r="I12" s="21">
        <f>(Archetypes!$B$11*(IF(F12&lt;0,1+Assumptions!$B$32*MIN(1,ABS(F12)/ABS(Assumptions!$B$21)),MAX(0.1,1-Assumptions!$B$31*(F12/50)))))*$E12</f>
        <v>84</v>
      </c>
      <c r="J12" s="26">
        <f>Archetypes!$B$30</f>
        <v>2.1999999999999999E-2</v>
      </c>
      <c r="K12" s="21">
        <f t="shared" si="2"/>
        <v>1.8479999999999999</v>
      </c>
      <c r="L12" s="21">
        <f>((I12-K12)*Archetypes!$B$15)+(K12*Archetypes!$B$15*Archetypes!$B$22)</f>
        <v>8.4369600000000009</v>
      </c>
      <c r="M12" s="21">
        <f>I12*Archetypes!$B$16</f>
        <v>63</v>
      </c>
      <c r="N12" s="21">
        <f>(IF(F12&lt;0,Assumptions!$B$8,IF(F12&lt;10,Assumptions!$B$34,IF(F12&lt;25,Assumptions!$B$35,Assumptions!$B$36))))*((((Archetypes!$B$5*Assumptions!$B$4+Archetypes!$B$6*Assumptions!$B$5)*60))+(Assumptions!$B$6*(((Archetypes!$B$11*(IF(F12&lt;0,1+Assumptions!$B$32*MIN(1,ABS(F12)/ABS(Assumptions!$B$21)),MAX(0.1,1-Assumptions!$B$31*(F12/50)))))-((Archetypes!$B$11*(IF(F12&lt;0,1+Assumptions!$B$32*MIN(1,ABS(F12)/ABS(Assumptions!$B$21)),MAX(0.1,1-Assumptions!$B$31*(F12/50)))))*J12)*Archetypes!$B$20)+((Archetypes!$B$11*(IF(F12&lt;0,1+Assumptions!$B$32*MIN(1,ABS(F12)/ABS(Assumptions!$B$21)),MAX(0.1,1-Assumptions!$B$31*(F12/50)))))*J12*Archetypes!$B$20*Archetypes!$B$21)*Assumptions!$B$18)*(IF($D12=1,1,Assumptions!$B$7)))+(((((Archetypes!$B$11*(IF(F12&lt;0,1+Assumptions!$B$32*MIN(1,ABS(F12)/ABS(Assumptions!$B$21)),MAX(0.1,1-Assumptions!$B$31*(F12/50)))))-((Archetypes!$B$11*(IF(F12&lt;0,1+Assumptions!$B$32*MIN(1,ABS(F12)/ABS(Assumptions!$B$21)),MAX(0.1,1-Assumptions!$B$31*(F12/50)))))*J12)*Archetypes!$B$15)*(Archetypes!$B$13*IF(F12&lt;0,1-Assumptions!$B$33*MIN(1,ABS(F12)/ABS(Assumptions!$B$21)),1))*5)+(((Archetypes!$B$11*(IF(F12&lt;0,1+Assumptions!$B$32*MIN(1,ABS(F12)/ABS(Assumptions!$B$21)),MAX(0.1,1-Assumptions!$B$31*(F12/50)))))*J12*Archetypes!$B$15*Archetypes!$B$22)*(Archetypes!$B$13*IF(F12&lt;0,1-Assumptions!$B$33*MIN(1,ABS(F12)/ABS(Assumptions!$B$21)),1))*5*Assumptions!$B$18))*IF(F12&lt;0,Assumptions!$B$9,1)))*$E12</f>
        <v>4261.2704640000011</v>
      </c>
      <c r="O12" s="21">
        <f>(O11)+(N12)-(MAX(0,((O11)+(N12)-(P12)))*(IF(Archetypes!$B$27="",Assumptions!$B$11,Archetypes!$B$27)))</f>
        <v>14040.077174932438</v>
      </c>
      <c r="P12" s="21">
        <f>Archetypes!$B$36 + (Assumptions!$B$67*(IF($E12=0,0,I12/$E12))*Assumptions!$B$71*(1+Assumptions!$B$68*(Archetypes!$B$14-1))) + (Assumptions!$B$69*Archetypes!$B$34*(IF($E12=0,0,I12/$E12))*Assumptions!$B$72*POWER(Assumptions!$B$70,Archetypes!$B$18-1))</f>
        <v>2668.56</v>
      </c>
      <c r="Q12" s="21">
        <f t="shared" si="3"/>
        <v>11371.517174932438</v>
      </c>
      <c r="S12" s="21">
        <f t="shared" si="9"/>
        <v>226.23182119039998</v>
      </c>
      <c r="T12" s="21">
        <f>MAX(Assumptions!$B$21,S12+U12)</f>
        <v>236.95571272639998</v>
      </c>
      <c r="U12" s="21">
        <f>((Y12*(Assumptions!$B$22+((Assumptions!$B$23-Assumptions!$B$22)*IF(V12&gt;0,X12/V12,0)))*(1+Assumptions!$B$60*(Archetypes!$C$13-1)))+IF(Y12&gt;V12,V12*Assumptions!$B$24,0)-IF(IF(V12&gt;0,Z12/V12,1)&lt;Assumptions!$B$61,((Z12*(Assumptions!$B$27*(1+Assumptions!$B$28*(Archetypes!$C$14-1))/(1+Assumptions!$B$29*(Archetypes!$C$12-1))))+(((V12*Archetypes!$C$17*IF(V12&gt;0,Z12/V12,1)*Archetypes!$C$31)/100)*Assumptions!$B$30))*Assumptions!$B$62,((Z12*(Assumptions!$B$27*(1+Assumptions!$B$28*(Archetypes!$C$14-1))/(1+Assumptions!$B$29*(Archetypes!$C$12-1))))+(((V12*Archetypes!$C$17*IF(V12&gt;0,Z12/V12,1)*Archetypes!$C$31)/100)*Assumptions!$B$30)))-(Assumptions!$B$25*Assumptions!$B$26*E12))*E12</f>
        <v>10.723891536000004</v>
      </c>
      <c r="V12" s="21">
        <f>(Archetypes!$C$11*(IF(S12&lt;0,1+Assumptions!$B$32*MIN(1,ABS(S12)/ABS(Assumptions!$B$21)),MAX(0.1,1-Assumptions!$B$31*(S12/50)))))*$E12</f>
        <v>3.6000000000000005</v>
      </c>
      <c r="W12" s="26">
        <f>Archetypes!$C$30</f>
        <v>3.7999999999999999E-2</v>
      </c>
      <c r="X12" s="21">
        <f t="shared" si="4"/>
        <v>0.1368</v>
      </c>
      <c r="Y12" s="21">
        <f>((V12-X12)*Archetypes!$C$15)+(X12*Archetypes!$C$15*Archetypes!$C$22)</f>
        <v>1.8205200000000004</v>
      </c>
      <c r="Z12" s="21">
        <f>V12*Archetypes!$C$16</f>
        <v>1.6200000000000003</v>
      </c>
      <c r="AA12" s="21">
        <f>(IF(S12&lt;0,Assumptions!$B$8,IF(S12&lt;10,Assumptions!$B$34,IF(S12&lt;25,Assumptions!$B$35,Assumptions!$B$36))))*((((Archetypes!$C$5*Assumptions!$B$4+Archetypes!$C$6*Assumptions!$B$5)*60))+(Assumptions!$B$6*(((Archetypes!$C$11*(IF(S12&lt;0,1+Assumptions!$B$32*MIN(1,ABS(S12)/ABS(Assumptions!$B$21)),MAX(0.1,1-Assumptions!$B$31*(S12/50)))))-((Archetypes!$C$11*(IF(S12&lt;0,1+Assumptions!$B$32*MIN(1,ABS(S12)/ABS(Assumptions!$B$21)),MAX(0.1,1-Assumptions!$B$31*(S12/50)))))*W12)*Archetypes!$C$20)+((Archetypes!$C$11*(IF(S12&lt;0,1+Assumptions!$B$32*MIN(1,ABS(S12)/ABS(Assumptions!$B$21)),MAX(0.1,1-Assumptions!$B$31*(S12/50)))))*W12*Archetypes!$C$20*Archetypes!$C$21)*Assumptions!$B$18)*(IF($D12=1,1,Assumptions!$B$7)))+(((((Archetypes!$C$11*(IF(S12&lt;0,1+Assumptions!$B$32*MIN(1,ABS(S12)/ABS(Assumptions!$B$21)),MAX(0.1,1-Assumptions!$B$31*(S12/50)))))-((Archetypes!$C$11*(IF(S12&lt;0,1+Assumptions!$B$32*MIN(1,ABS(S12)/ABS(Assumptions!$B$21)),MAX(0.1,1-Assumptions!$B$31*(S12/50)))))*W12)*Archetypes!$C$15)*(Archetypes!$C$13*IF(S12&lt;0,1-Assumptions!$B$33*MIN(1,ABS(S12)/ABS(Assumptions!$B$21)),1))*5)+(((Archetypes!$C$11*(IF(S12&lt;0,1+Assumptions!$B$32*MIN(1,ABS(S12)/ABS(Assumptions!$B$21)),MAX(0.1,1-Assumptions!$B$31*(S12/50)))))*W12*Archetypes!$C$15*Archetypes!$C$22)*(Archetypes!$C$13*IF(S12&lt;0,1-Assumptions!$B$33*MIN(1,ABS(S12)/ABS(Assumptions!$B$21)),1))*5*Assumptions!$B$18))*IF(S12&lt;0,Assumptions!$B$9,1)))*$E12</f>
        <v>3697.9335000000001</v>
      </c>
      <c r="AB12" s="21">
        <f>(AB11)+(AA12)-(MAX(0,((AB11)+(AA12)-(AC12)))*(IF(Archetypes!$C$27="",Assumptions!$B$11,Archetypes!$C$27)))</f>
        <v>18743.189883634645</v>
      </c>
      <c r="AC12" s="21">
        <f>Archetypes!$C$36 + (Assumptions!$B$67*(IF($E12=0,0,V12/$E12))*Assumptions!$B$71*(1+Assumptions!$B$68*(Archetypes!$C$14-1))) + (Assumptions!$B$69*Archetypes!$C$34*(IF($E12=0,0,V12/$E12))*Assumptions!$B$72*POWER(Assumptions!$B$70,Archetypes!$C$18-1))</f>
        <v>9108.3600000000024</v>
      </c>
      <c r="AD12" s="21">
        <f t="shared" si="5"/>
        <v>9634.8298836346421</v>
      </c>
      <c r="AF12" s="21">
        <f t="shared" si="10"/>
        <v>553.65115795748579</v>
      </c>
      <c r="AG12" s="21">
        <f>MAX(Assumptions!$B$21,AF12+AH12)</f>
        <v>586.53083940205727</v>
      </c>
      <c r="AH12" s="21">
        <f>((AL12*(Assumptions!$B$22+((Assumptions!$B$23-Assumptions!$B$22)*IF(AI12&gt;0,AK12/AI12,0)))*(1+Assumptions!$B$60*(Archetypes!$D$13-1)))+IF(AL12&gt;AI12,AI12*Assumptions!$B$24,0)-IF(IF(AI12&gt;0,AM12/AI12,1)&lt;Assumptions!$B$61,((AM12*(Assumptions!$B$27*(1+Assumptions!$B$28*(Archetypes!$D$14-1))/(1+Assumptions!$B$29*(Archetypes!$D$12-1))))+(((AI12*Archetypes!$D$17*IF(AI12&gt;0,AM12/AI12,1)*Archetypes!$D$31)/100)*Assumptions!$B$30))*Assumptions!$B$62,((AM12*(Assumptions!$B$27*(1+Assumptions!$B$28*(Archetypes!$D$14-1))/(1+Assumptions!$B$29*(Archetypes!$D$12-1))))+(((AI12*Archetypes!$D$17*IF(AI12&gt;0,AM12/AI12,1)*Archetypes!$D$31)/100)*Assumptions!$B$30)))-(Assumptions!$B$25*Assumptions!$B$26*E12))*E12</f>
        <v>32.879681444571439</v>
      </c>
      <c r="AI12" s="21">
        <f>(Archetypes!$D$11*(IF(AF12&lt;0,1+Assumptions!$B$32*MIN(1,ABS(AF12)/ABS(Assumptions!$B$21)),MAX(0.1,1-Assumptions!$B$31*(AF12/50)))))*$E12</f>
        <v>1.8000000000000003</v>
      </c>
      <c r="AJ12" s="26">
        <f>Archetypes!$D$30</f>
        <v>0.10400000000000001</v>
      </c>
      <c r="AK12" s="21">
        <f t="shared" si="6"/>
        <v>0.18720000000000003</v>
      </c>
      <c r="AL12" s="21">
        <f>((AI12-AK12)*Archetypes!$D$15)+(AK12*Archetypes!$D$15*Archetypes!$D$22)</f>
        <v>2.8123200000000006</v>
      </c>
      <c r="AM12" s="21">
        <f>AI12*Archetypes!$D$16</f>
        <v>0.3600000000000001</v>
      </c>
      <c r="AN12" s="21">
        <f>(IF(AF12&lt;0,Assumptions!$B$8,IF(AF12&lt;10,Assumptions!$B$34,IF(AF12&lt;25,Assumptions!$B$35,Assumptions!$B$36))))*((((Archetypes!$D$5*Assumptions!$B$4+Archetypes!$D$6*Assumptions!$B$5)*60))+(Assumptions!$B$6*(((Archetypes!$D$11*(IF(AF12&lt;0,1+Assumptions!$B$32*MIN(1,ABS(AF12)/ABS(Assumptions!$B$21)),MAX(0.1,1-Assumptions!$B$31*(AF12/50)))))-((Archetypes!$D$11*(IF(AF12&lt;0,1+Assumptions!$B$32*MIN(1,ABS(AF12)/ABS(Assumptions!$B$21)),MAX(0.1,1-Assumptions!$B$31*(AF12/50)))))*AJ12)*Archetypes!$D$20)+((Archetypes!$D$11*(IF(AF12&lt;0,1+Assumptions!$B$32*MIN(1,ABS(AF12)/ABS(Assumptions!$B$21)),MAX(0.1,1-Assumptions!$B$31*(AF12/50)))))*AJ12*Archetypes!$D$20*Archetypes!$D$21)*Assumptions!$B$18)*(IF($D12=1,1,Assumptions!$B$7)))+(((((Archetypes!$D$11*(IF(AF12&lt;0,1+Assumptions!$B$32*MIN(1,ABS(AF12)/ABS(Assumptions!$B$21)),MAX(0.1,1-Assumptions!$B$31*(AF12/50)))))-((Archetypes!$D$11*(IF(AF12&lt;0,1+Assumptions!$B$32*MIN(1,ABS(AF12)/ABS(Assumptions!$B$21)),MAX(0.1,1-Assumptions!$B$31*(AF12/50)))))*AJ12)*Archetypes!$D$15)*(Archetypes!$D$13*IF(AF12&lt;0,1-Assumptions!$B$33*MIN(1,ABS(AF12)/ABS(Assumptions!$B$21)),1))*5)+(((Archetypes!$D$11*(IF(AF12&lt;0,1+Assumptions!$B$32*MIN(1,ABS(AF12)/ABS(Assumptions!$B$21)),MAX(0.1,1-Assumptions!$B$31*(AF12/50)))))*AJ12*Archetypes!$D$15*Archetypes!$D$22)*(Archetypes!$D$13*IF(AF12&lt;0,1-Assumptions!$B$33*MIN(1,ABS(AF12)/ABS(Assumptions!$B$21)),1))*5*Assumptions!$B$18))*IF(AF12&lt;0,Assumptions!$B$9,1)))*$E12</f>
        <v>6208.1279999999988</v>
      </c>
      <c r="AO12" s="21">
        <f>(AO11)+(AN12)-(MAX(0,((AO11)+(AN12)-(AP12)))*(IF(Archetypes!$D$27="",Assumptions!$B$11,Archetypes!$D$27)))</f>
        <v>33333.008764845115</v>
      </c>
      <c r="AP12" s="21">
        <f>Archetypes!$D$36 + (Assumptions!$B$67*(IF($E12=0,0,AI12/$E12))*Assumptions!$B$71*(1+Assumptions!$B$68*(Archetypes!$D$14-1))) + (Assumptions!$B$69*Archetypes!$D$34*(IF($E12=0,0,AI12/$E12))*Assumptions!$B$72*POWER(Assumptions!$B$70,Archetypes!$D$18-1))</f>
        <v>20774.800648960005</v>
      </c>
      <c r="AQ12" s="21">
        <f t="shared" si="7"/>
        <v>12558.208115885111</v>
      </c>
    </row>
    <row r="13" spans="1:52" x14ac:dyDescent="0.25">
      <c r="A13" s="20">
        <v>54</v>
      </c>
      <c r="B13" s="20">
        <f t="shared" si="0"/>
        <v>3</v>
      </c>
      <c r="C13" s="20">
        <f t="shared" si="1"/>
        <v>6</v>
      </c>
      <c r="D13" s="6">
        <f>IF(C13&lt;Assumptions!$B$10,1,0)</f>
        <v>0</v>
      </c>
      <c r="E13" s="6">
        <v>6</v>
      </c>
      <c r="F13" s="21">
        <f t="shared" si="8"/>
        <v>-15</v>
      </c>
      <c r="G13" s="21">
        <f>MAX(Assumptions!$B$21,F13+H13)</f>
        <v>-15</v>
      </c>
      <c r="H13" s="21">
        <f>((L13*(Assumptions!$B$22+((Assumptions!$B$23-Assumptions!$B$22)*IF(I13&gt;0,K13/I13,0)))*(1+Assumptions!$B$60*(Archetypes!$B$13-1)))+IF(L13&gt;I13,I13*Assumptions!$B$24,0)-IF(IF(I13&gt;0,M13/I13,1)&lt;Assumptions!$B$61,((M13*(Assumptions!$B$27*(1+Assumptions!$B$28*(Archetypes!$B$14-1))/(1+Assumptions!$B$29*(Archetypes!$B$12-1))))+(((I13*Archetypes!$B$17*IF(I13&gt;0,M13/I13,1)*Archetypes!$B$31)/100)*Assumptions!$B$30))*Assumptions!$B$62,((M13*(Assumptions!$B$27*(1+Assumptions!$B$28*(Archetypes!$B$14-1))/(1+Assumptions!$B$29*(Archetypes!$B$12-1))))+(((I13*Archetypes!$B$17*IF(I13&gt;0,M13/I13,1)*Archetypes!$B$31)/100)*Assumptions!$B$30)))-(Assumptions!$B$25*Assumptions!$B$26*E13))*E13</f>
        <v>-102.17413047272723</v>
      </c>
      <c r="I13" s="21">
        <f>(Archetypes!$B$11*(IF(F13&lt;0,1+Assumptions!$B$32*MIN(1,ABS(F13)/ABS(Assumptions!$B$21)),MAX(0.1,1-Assumptions!$B$31*(F13/50)))))*$E13</f>
        <v>84</v>
      </c>
      <c r="J13" s="26">
        <f>Archetypes!$B$30</f>
        <v>2.1999999999999999E-2</v>
      </c>
      <c r="K13" s="21">
        <f t="shared" si="2"/>
        <v>1.8479999999999999</v>
      </c>
      <c r="L13" s="21">
        <f>((I13-K13)*Archetypes!$B$15)+(K13*Archetypes!$B$15*Archetypes!$B$22)</f>
        <v>8.4369600000000009</v>
      </c>
      <c r="M13" s="21">
        <f>I13*Archetypes!$B$16</f>
        <v>63</v>
      </c>
      <c r="N13" s="21">
        <f>(IF(F13&lt;0,Assumptions!$B$8,IF(F13&lt;10,Assumptions!$B$34,IF(F13&lt;25,Assumptions!$B$35,Assumptions!$B$36))))*((((Archetypes!$B$5*Assumptions!$B$4+Archetypes!$B$6*Assumptions!$B$5)*60))+(Assumptions!$B$6*(((Archetypes!$B$11*(IF(F13&lt;0,1+Assumptions!$B$32*MIN(1,ABS(F13)/ABS(Assumptions!$B$21)),MAX(0.1,1-Assumptions!$B$31*(F13/50)))))-((Archetypes!$B$11*(IF(F13&lt;0,1+Assumptions!$B$32*MIN(1,ABS(F13)/ABS(Assumptions!$B$21)),MAX(0.1,1-Assumptions!$B$31*(F13/50)))))*J13)*Archetypes!$B$20)+((Archetypes!$B$11*(IF(F13&lt;0,1+Assumptions!$B$32*MIN(1,ABS(F13)/ABS(Assumptions!$B$21)),MAX(0.1,1-Assumptions!$B$31*(F13/50)))))*J13*Archetypes!$B$20*Archetypes!$B$21)*Assumptions!$B$18)*(IF($D13=1,1,Assumptions!$B$7)))+(((((Archetypes!$B$11*(IF(F13&lt;0,1+Assumptions!$B$32*MIN(1,ABS(F13)/ABS(Assumptions!$B$21)),MAX(0.1,1-Assumptions!$B$31*(F13/50)))))-((Archetypes!$B$11*(IF(F13&lt;0,1+Assumptions!$B$32*MIN(1,ABS(F13)/ABS(Assumptions!$B$21)),MAX(0.1,1-Assumptions!$B$31*(F13/50)))))*J13)*Archetypes!$B$15)*(Archetypes!$B$13*IF(F13&lt;0,1-Assumptions!$B$33*MIN(1,ABS(F13)/ABS(Assumptions!$B$21)),1))*5)+(((Archetypes!$B$11*(IF(F13&lt;0,1+Assumptions!$B$32*MIN(1,ABS(F13)/ABS(Assumptions!$B$21)),MAX(0.1,1-Assumptions!$B$31*(F13/50)))))*J13*Archetypes!$B$15*Archetypes!$B$22)*(Archetypes!$B$13*IF(F13&lt;0,1-Assumptions!$B$33*MIN(1,ABS(F13)/ABS(Assumptions!$B$21)),1))*5*Assumptions!$B$18))*IF(F13&lt;0,Assumptions!$B$9,1)))*$E13</f>
        <v>2906.8712639999999</v>
      </c>
      <c r="O13" s="21">
        <f>(O12)+(N13)-(MAX(0,((O12)+(N13)-(P13)))*(IF(Archetypes!$B$27="",Assumptions!$B$11,Archetypes!$B$27)))</f>
        <v>14091.27075114595</v>
      </c>
      <c r="P13" s="21">
        <f>Archetypes!$B$36 + (Assumptions!$B$67*(IF($E13=0,0,I13/$E13))*Assumptions!$B$71*(1+Assumptions!$B$68*(Archetypes!$B$14-1))) + (Assumptions!$B$69*Archetypes!$B$34*(IF($E13=0,0,I13/$E13))*Assumptions!$B$72*POWER(Assumptions!$B$70,Archetypes!$B$18-1))</f>
        <v>2668.56</v>
      </c>
      <c r="Q13" s="21">
        <f t="shared" si="3"/>
        <v>11422.710751145951</v>
      </c>
      <c r="S13" s="21">
        <f t="shared" si="9"/>
        <v>236.95571272639998</v>
      </c>
      <c r="T13" s="21">
        <f>MAX(Assumptions!$B$21,S13+U13)</f>
        <v>247.67960426239998</v>
      </c>
      <c r="U13" s="21">
        <f>((Y13*(Assumptions!$B$22+((Assumptions!$B$23-Assumptions!$B$22)*IF(V13&gt;0,X13/V13,0)))*(1+Assumptions!$B$60*(Archetypes!$C$13-1)))+IF(Y13&gt;V13,V13*Assumptions!$B$24,0)-IF(IF(V13&gt;0,Z13/V13,1)&lt;Assumptions!$B$61,((Z13*(Assumptions!$B$27*(1+Assumptions!$B$28*(Archetypes!$C$14-1))/(1+Assumptions!$B$29*(Archetypes!$C$12-1))))+(((V13*Archetypes!$C$17*IF(V13&gt;0,Z13/V13,1)*Archetypes!$C$31)/100)*Assumptions!$B$30))*Assumptions!$B$62,((Z13*(Assumptions!$B$27*(1+Assumptions!$B$28*(Archetypes!$C$14-1))/(1+Assumptions!$B$29*(Archetypes!$C$12-1))))+(((V13*Archetypes!$C$17*IF(V13&gt;0,Z13/V13,1)*Archetypes!$C$31)/100)*Assumptions!$B$30)))-(Assumptions!$B$25*Assumptions!$B$26*E13))*E13</f>
        <v>10.723891536000004</v>
      </c>
      <c r="V13" s="21">
        <f>(Archetypes!$C$11*(IF(S13&lt;0,1+Assumptions!$B$32*MIN(1,ABS(S13)/ABS(Assumptions!$B$21)),MAX(0.1,1-Assumptions!$B$31*(S13/50)))))*$E13</f>
        <v>3.6000000000000005</v>
      </c>
      <c r="W13" s="26">
        <f>Archetypes!$C$30</f>
        <v>3.7999999999999999E-2</v>
      </c>
      <c r="X13" s="21">
        <f t="shared" si="4"/>
        <v>0.1368</v>
      </c>
      <c r="Y13" s="21">
        <f>((V13-X13)*Archetypes!$C$15)+(X13*Archetypes!$C$15*Archetypes!$C$22)</f>
        <v>1.8205200000000004</v>
      </c>
      <c r="Z13" s="21">
        <f>V13*Archetypes!$C$16</f>
        <v>1.6200000000000003</v>
      </c>
      <c r="AA13" s="21">
        <f>(IF(S13&lt;0,Assumptions!$B$8,IF(S13&lt;10,Assumptions!$B$34,IF(S13&lt;25,Assumptions!$B$35,Assumptions!$B$36))))*((((Archetypes!$C$5*Assumptions!$B$4+Archetypes!$C$6*Assumptions!$B$5)*60))+(Assumptions!$B$6*(((Archetypes!$C$11*(IF(S13&lt;0,1+Assumptions!$B$32*MIN(1,ABS(S13)/ABS(Assumptions!$B$21)),MAX(0.1,1-Assumptions!$B$31*(S13/50)))))-((Archetypes!$C$11*(IF(S13&lt;0,1+Assumptions!$B$32*MIN(1,ABS(S13)/ABS(Assumptions!$B$21)),MAX(0.1,1-Assumptions!$B$31*(S13/50)))))*W13)*Archetypes!$C$20)+((Archetypes!$C$11*(IF(S13&lt;0,1+Assumptions!$B$32*MIN(1,ABS(S13)/ABS(Assumptions!$B$21)),MAX(0.1,1-Assumptions!$B$31*(S13/50)))))*W13*Archetypes!$C$20*Archetypes!$C$21)*Assumptions!$B$18)*(IF($D13=1,1,Assumptions!$B$7)))+(((((Archetypes!$C$11*(IF(S13&lt;0,1+Assumptions!$B$32*MIN(1,ABS(S13)/ABS(Assumptions!$B$21)),MAX(0.1,1-Assumptions!$B$31*(S13/50)))))-((Archetypes!$C$11*(IF(S13&lt;0,1+Assumptions!$B$32*MIN(1,ABS(S13)/ABS(Assumptions!$B$21)),MAX(0.1,1-Assumptions!$B$31*(S13/50)))))*W13)*Archetypes!$C$15)*(Archetypes!$C$13*IF(S13&lt;0,1-Assumptions!$B$33*MIN(1,ABS(S13)/ABS(Assumptions!$B$21)),1))*5)+(((Archetypes!$C$11*(IF(S13&lt;0,1+Assumptions!$B$32*MIN(1,ABS(S13)/ABS(Assumptions!$B$21)),MAX(0.1,1-Assumptions!$B$31*(S13/50)))))*W13*Archetypes!$C$15*Archetypes!$C$22)*(Archetypes!$C$13*IF(S13&lt;0,1-Assumptions!$B$33*MIN(1,ABS(S13)/ABS(Assumptions!$B$21)),1))*5*Assumptions!$B$18))*IF(S13&lt;0,Assumptions!$B$9,1)))*$E13</f>
        <v>3492.4942799999999</v>
      </c>
      <c r="AB13" s="21">
        <f>(AB12)+(AA13)-(MAX(0,((AB12)+(AA13)-(AC13)))*(IF(Archetypes!$C$27="",Assumptions!$B$11,Archetypes!$C$27)))</f>
        <v>18953.853122725985</v>
      </c>
      <c r="AC13" s="21">
        <f>Archetypes!$C$36 + (Assumptions!$B$67*(IF($E13=0,0,V13/$E13))*Assumptions!$B$71*(1+Assumptions!$B$68*(Archetypes!$C$14-1))) + (Assumptions!$B$69*Archetypes!$C$34*(IF($E13=0,0,V13/$E13))*Assumptions!$B$72*POWER(Assumptions!$B$70,Archetypes!$C$18-1))</f>
        <v>9108.3600000000024</v>
      </c>
      <c r="AD13" s="21">
        <f t="shared" si="5"/>
        <v>9845.4931227259822</v>
      </c>
      <c r="AF13" s="21">
        <f t="shared" si="10"/>
        <v>586.53083940205727</v>
      </c>
      <c r="AG13" s="21">
        <f>MAX(Assumptions!$B$21,AF13+AH13)</f>
        <v>619.41052084662874</v>
      </c>
      <c r="AH13" s="21">
        <f>((AL13*(Assumptions!$B$22+((Assumptions!$B$23-Assumptions!$B$22)*IF(AI13&gt;0,AK13/AI13,0)))*(1+Assumptions!$B$60*(Archetypes!$D$13-1)))+IF(AL13&gt;AI13,AI13*Assumptions!$B$24,0)-IF(IF(AI13&gt;0,AM13/AI13,1)&lt;Assumptions!$B$61,((AM13*(Assumptions!$B$27*(1+Assumptions!$B$28*(Archetypes!$D$14-1))/(1+Assumptions!$B$29*(Archetypes!$D$12-1))))+(((AI13*Archetypes!$D$17*IF(AI13&gt;0,AM13/AI13,1)*Archetypes!$D$31)/100)*Assumptions!$B$30))*Assumptions!$B$62,((AM13*(Assumptions!$B$27*(1+Assumptions!$B$28*(Archetypes!$D$14-1))/(1+Assumptions!$B$29*(Archetypes!$D$12-1))))+(((AI13*Archetypes!$D$17*IF(AI13&gt;0,AM13/AI13,1)*Archetypes!$D$31)/100)*Assumptions!$B$30)))-(Assumptions!$B$25*Assumptions!$B$26*E13))*E13</f>
        <v>32.879681444571439</v>
      </c>
      <c r="AI13" s="21">
        <f>(Archetypes!$D$11*(IF(AF13&lt;0,1+Assumptions!$B$32*MIN(1,ABS(AF13)/ABS(Assumptions!$B$21)),MAX(0.1,1-Assumptions!$B$31*(AF13/50)))))*$E13</f>
        <v>1.8000000000000003</v>
      </c>
      <c r="AJ13" s="26">
        <f>Archetypes!$D$30</f>
        <v>0.10400000000000001</v>
      </c>
      <c r="AK13" s="21">
        <f t="shared" si="6"/>
        <v>0.18720000000000003</v>
      </c>
      <c r="AL13" s="21">
        <f>((AI13-AK13)*Archetypes!$D$15)+(AK13*Archetypes!$D$15*Archetypes!$D$22)</f>
        <v>2.8123200000000006</v>
      </c>
      <c r="AM13" s="21">
        <f>AI13*Archetypes!$D$16</f>
        <v>0.3600000000000001</v>
      </c>
      <c r="AN13" s="21">
        <f>(IF(AF13&lt;0,Assumptions!$B$8,IF(AF13&lt;10,Assumptions!$B$34,IF(AF13&lt;25,Assumptions!$B$35,Assumptions!$B$36))))*((((Archetypes!$D$5*Assumptions!$B$4+Archetypes!$D$6*Assumptions!$B$5)*60))+(Assumptions!$B$6*(((Archetypes!$D$11*(IF(AF13&lt;0,1+Assumptions!$B$32*MIN(1,ABS(AF13)/ABS(Assumptions!$B$21)),MAX(0.1,1-Assumptions!$B$31*(AF13/50)))))-((Archetypes!$D$11*(IF(AF13&lt;0,1+Assumptions!$B$32*MIN(1,ABS(AF13)/ABS(Assumptions!$B$21)),MAX(0.1,1-Assumptions!$B$31*(AF13/50)))))*AJ13)*Archetypes!$D$20)+((Archetypes!$D$11*(IF(AF13&lt;0,1+Assumptions!$B$32*MIN(1,ABS(AF13)/ABS(Assumptions!$B$21)),MAX(0.1,1-Assumptions!$B$31*(AF13/50)))))*AJ13*Archetypes!$D$20*Archetypes!$D$21)*Assumptions!$B$18)*(IF($D13=1,1,Assumptions!$B$7)))+(((((Archetypes!$D$11*(IF(AF13&lt;0,1+Assumptions!$B$32*MIN(1,ABS(AF13)/ABS(Assumptions!$B$21)),MAX(0.1,1-Assumptions!$B$31*(AF13/50)))))-((Archetypes!$D$11*(IF(AF13&lt;0,1+Assumptions!$B$32*MIN(1,ABS(AF13)/ABS(Assumptions!$B$21)),MAX(0.1,1-Assumptions!$B$31*(AF13/50)))))*AJ13)*Archetypes!$D$15)*(Archetypes!$D$13*IF(AF13&lt;0,1-Assumptions!$B$33*MIN(1,ABS(AF13)/ABS(Assumptions!$B$21)),1))*5)+(((Archetypes!$D$11*(IF(AF13&lt;0,1+Assumptions!$B$32*MIN(1,ABS(AF13)/ABS(Assumptions!$B$21)),MAX(0.1,1-Assumptions!$B$31*(AF13/50)))))*AJ13*Archetypes!$D$15*Archetypes!$D$22)*(Archetypes!$D$13*IF(AF13&lt;0,1-Assumptions!$B$33*MIN(1,ABS(AF13)/ABS(Assumptions!$B$21)),1))*5*Assumptions!$B$18))*IF(AF13&lt;0,Assumptions!$B$9,1)))*$E13</f>
        <v>5637.8204999999998</v>
      </c>
      <c r="AO13" s="21">
        <f>(AO12)+(AN13)-(MAX(0,((AO12)+(AN13)-(AP13)))*(IF(Archetypes!$D$27="",Assumptions!$B$11,Archetypes!$D$27)))</f>
        <v>33512.020680079586</v>
      </c>
      <c r="AP13" s="21">
        <f>Archetypes!$D$36 + (Assumptions!$B$67*(IF($E13=0,0,AI13/$E13))*Assumptions!$B$71*(1+Assumptions!$B$68*(Archetypes!$D$14-1))) + (Assumptions!$B$69*Archetypes!$D$34*(IF($E13=0,0,AI13/$E13))*Assumptions!$B$72*POWER(Assumptions!$B$70,Archetypes!$D$18-1))</f>
        <v>20774.800648960005</v>
      </c>
      <c r="AQ13" s="21">
        <f t="shared" si="7"/>
        <v>12737.220031119581</v>
      </c>
    </row>
    <row r="14" spans="1:52" x14ac:dyDescent="0.25">
      <c r="A14" s="20">
        <v>60</v>
      </c>
      <c r="B14" s="20">
        <f t="shared" si="0"/>
        <v>3</v>
      </c>
      <c r="C14" s="20">
        <f t="shared" si="1"/>
        <v>12</v>
      </c>
      <c r="D14" s="6">
        <f>IF(C14&lt;Assumptions!$B$10,1,0)</f>
        <v>0</v>
      </c>
      <c r="E14" s="6">
        <v>6</v>
      </c>
      <c r="F14" s="21">
        <f t="shared" si="8"/>
        <v>-15</v>
      </c>
      <c r="G14" s="21">
        <f>MAX(Assumptions!$B$21,F14+H14)</f>
        <v>-15</v>
      </c>
      <c r="H14" s="21">
        <f>((L14*(Assumptions!$B$22+((Assumptions!$B$23-Assumptions!$B$22)*IF(I14&gt;0,K14/I14,0)))*(1+Assumptions!$B$60*(Archetypes!$B$13-1)))+IF(L14&gt;I14,I14*Assumptions!$B$24,0)-IF(IF(I14&gt;0,M14/I14,1)&lt;Assumptions!$B$61,((M14*(Assumptions!$B$27*(1+Assumptions!$B$28*(Archetypes!$B$14-1))/(1+Assumptions!$B$29*(Archetypes!$B$12-1))))+(((I14*Archetypes!$B$17*IF(I14&gt;0,M14/I14,1)*Archetypes!$B$31)/100)*Assumptions!$B$30))*Assumptions!$B$62,((M14*(Assumptions!$B$27*(1+Assumptions!$B$28*(Archetypes!$B$14-1))/(1+Assumptions!$B$29*(Archetypes!$B$12-1))))+(((I14*Archetypes!$B$17*IF(I14&gt;0,M14/I14,1)*Archetypes!$B$31)/100)*Assumptions!$B$30)))-(Assumptions!$B$25*Assumptions!$B$26*E14))*E14</f>
        <v>-102.17413047272723</v>
      </c>
      <c r="I14" s="21">
        <f>(Archetypes!$B$11*(IF(F14&lt;0,1+Assumptions!$B$32*MIN(1,ABS(F14)/ABS(Assumptions!$B$21)),MAX(0.1,1-Assumptions!$B$31*(F14/50)))))*$E14</f>
        <v>84</v>
      </c>
      <c r="J14" s="26">
        <f>Archetypes!$B$30</f>
        <v>2.1999999999999999E-2</v>
      </c>
      <c r="K14" s="21">
        <f t="shared" si="2"/>
        <v>1.8479999999999999</v>
      </c>
      <c r="L14" s="21">
        <f>((I14-K14)*Archetypes!$B$15)+(K14*Archetypes!$B$15*Archetypes!$B$22)</f>
        <v>8.4369600000000009</v>
      </c>
      <c r="M14" s="21">
        <f>I14*Archetypes!$B$16</f>
        <v>63</v>
      </c>
      <c r="N14" s="21">
        <f>(IF(F14&lt;0,Assumptions!$B$8,IF(F14&lt;10,Assumptions!$B$34,IF(F14&lt;25,Assumptions!$B$35,Assumptions!$B$36))))*((((Archetypes!$B$5*Assumptions!$B$4+Archetypes!$B$6*Assumptions!$B$5)*60))+(Assumptions!$B$6*(((Archetypes!$B$11*(IF(F14&lt;0,1+Assumptions!$B$32*MIN(1,ABS(F14)/ABS(Assumptions!$B$21)),MAX(0.1,1-Assumptions!$B$31*(F14/50)))))-((Archetypes!$B$11*(IF(F14&lt;0,1+Assumptions!$B$32*MIN(1,ABS(F14)/ABS(Assumptions!$B$21)),MAX(0.1,1-Assumptions!$B$31*(F14/50)))))*J14)*Archetypes!$B$20)+((Archetypes!$B$11*(IF(F14&lt;0,1+Assumptions!$B$32*MIN(1,ABS(F14)/ABS(Assumptions!$B$21)),MAX(0.1,1-Assumptions!$B$31*(F14/50)))))*J14*Archetypes!$B$20*Archetypes!$B$21)*Assumptions!$B$18)*(IF($D14=1,1,Assumptions!$B$7)))+(((((Archetypes!$B$11*(IF(F14&lt;0,1+Assumptions!$B$32*MIN(1,ABS(F14)/ABS(Assumptions!$B$21)),MAX(0.1,1-Assumptions!$B$31*(F14/50)))))-((Archetypes!$B$11*(IF(F14&lt;0,1+Assumptions!$B$32*MIN(1,ABS(F14)/ABS(Assumptions!$B$21)),MAX(0.1,1-Assumptions!$B$31*(F14/50)))))*J14)*Archetypes!$B$15)*(Archetypes!$B$13*IF(F14&lt;0,1-Assumptions!$B$33*MIN(1,ABS(F14)/ABS(Assumptions!$B$21)),1))*5)+(((Archetypes!$B$11*(IF(F14&lt;0,1+Assumptions!$B$32*MIN(1,ABS(F14)/ABS(Assumptions!$B$21)),MAX(0.1,1-Assumptions!$B$31*(F14/50)))))*J14*Archetypes!$B$15*Archetypes!$B$22)*(Archetypes!$B$13*IF(F14&lt;0,1-Assumptions!$B$33*MIN(1,ABS(F14)/ABS(Assumptions!$B$21)),1))*5*Assumptions!$B$18))*IF(F14&lt;0,Assumptions!$B$9,1)))*$E14</f>
        <v>2906.8712639999999</v>
      </c>
      <c r="O14" s="21">
        <f>(O13)+(N14)-(MAX(0,((O13)+(N14)-(P14)))*(IF(Archetypes!$B$27="",Assumptions!$B$11,Archetypes!$B$27)))</f>
        <v>14132.225612116759</v>
      </c>
      <c r="P14" s="21">
        <f>Archetypes!$B$36 + (Assumptions!$B$67*(IF($E14=0,0,I14/$E14))*Assumptions!$B$71*(1+Assumptions!$B$68*(Archetypes!$B$14-1))) + (Assumptions!$B$69*Archetypes!$B$34*(IF($E14=0,0,I14/$E14))*Assumptions!$B$72*POWER(Assumptions!$B$70,Archetypes!$B$18-1))</f>
        <v>2668.56</v>
      </c>
      <c r="Q14" s="21">
        <f t="shared" si="3"/>
        <v>11463.66561211676</v>
      </c>
      <c r="S14" s="21">
        <f t="shared" si="9"/>
        <v>247.67960426239998</v>
      </c>
      <c r="T14" s="21">
        <f>MAX(Assumptions!$B$21,S14+U14)</f>
        <v>258.4034957984</v>
      </c>
      <c r="U14" s="21">
        <f>((Y14*(Assumptions!$B$22+((Assumptions!$B$23-Assumptions!$B$22)*IF(V14&gt;0,X14/V14,0)))*(1+Assumptions!$B$60*(Archetypes!$C$13-1)))+IF(Y14&gt;V14,V14*Assumptions!$B$24,0)-IF(IF(V14&gt;0,Z14/V14,1)&lt;Assumptions!$B$61,((Z14*(Assumptions!$B$27*(1+Assumptions!$B$28*(Archetypes!$C$14-1))/(1+Assumptions!$B$29*(Archetypes!$C$12-1))))+(((V14*Archetypes!$C$17*IF(V14&gt;0,Z14/V14,1)*Archetypes!$C$31)/100)*Assumptions!$B$30))*Assumptions!$B$62,((Z14*(Assumptions!$B$27*(1+Assumptions!$B$28*(Archetypes!$C$14-1))/(1+Assumptions!$B$29*(Archetypes!$C$12-1))))+(((V14*Archetypes!$C$17*IF(V14&gt;0,Z14/V14,1)*Archetypes!$C$31)/100)*Assumptions!$B$30)))-(Assumptions!$B$25*Assumptions!$B$26*E14))*E14</f>
        <v>10.723891536000004</v>
      </c>
      <c r="V14" s="21">
        <f>(Archetypes!$C$11*(IF(S14&lt;0,1+Assumptions!$B$32*MIN(1,ABS(S14)/ABS(Assumptions!$B$21)),MAX(0.1,1-Assumptions!$B$31*(S14/50)))))*$E14</f>
        <v>3.6000000000000005</v>
      </c>
      <c r="W14" s="26">
        <f>Archetypes!$C$30</f>
        <v>3.7999999999999999E-2</v>
      </c>
      <c r="X14" s="21">
        <f t="shared" si="4"/>
        <v>0.1368</v>
      </c>
      <c r="Y14" s="21">
        <f>((V14-X14)*Archetypes!$C$15)+(X14*Archetypes!$C$15*Archetypes!$C$22)</f>
        <v>1.8205200000000004</v>
      </c>
      <c r="Z14" s="21">
        <f>V14*Archetypes!$C$16</f>
        <v>1.6200000000000003</v>
      </c>
      <c r="AA14" s="21">
        <f>(IF(S14&lt;0,Assumptions!$B$8,IF(S14&lt;10,Assumptions!$B$34,IF(S14&lt;25,Assumptions!$B$35,Assumptions!$B$36))))*((((Archetypes!$C$5*Assumptions!$B$4+Archetypes!$C$6*Assumptions!$B$5)*60))+(Assumptions!$B$6*(((Archetypes!$C$11*(IF(S14&lt;0,1+Assumptions!$B$32*MIN(1,ABS(S14)/ABS(Assumptions!$B$21)),MAX(0.1,1-Assumptions!$B$31*(S14/50)))))-((Archetypes!$C$11*(IF(S14&lt;0,1+Assumptions!$B$32*MIN(1,ABS(S14)/ABS(Assumptions!$B$21)),MAX(0.1,1-Assumptions!$B$31*(S14/50)))))*W14)*Archetypes!$C$20)+((Archetypes!$C$11*(IF(S14&lt;0,1+Assumptions!$B$32*MIN(1,ABS(S14)/ABS(Assumptions!$B$21)),MAX(0.1,1-Assumptions!$B$31*(S14/50)))))*W14*Archetypes!$C$20*Archetypes!$C$21)*Assumptions!$B$18)*(IF($D14=1,1,Assumptions!$B$7)))+(((((Archetypes!$C$11*(IF(S14&lt;0,1+Assumptions!$B$32*MIN(1,ABS(S14)/ABS(Assumptions!$B$21)),MAX(0.1,1-Assumptions!$B$31*(S14/50)))))-((Archetypes!$C$11*(IF(S14&lt;0,1+Assumptions!$B$32*MIN(1,ABS(S14)/ABS(Assumptions!$B$21)),MAX(0.1,1-Assumptions!$B$31*(S14/50)))))*W14)*Archetypes!$C$15)*(Archetypes!$C$13*IF(S14&lt;0,1-Assumptions!$B$33*MIN(1,ABS(S14)/ABS(Assumptions!$B$21)),1))*5)+(((Archetypes!$C$11*(IF(S14&lt;0,1+Assumptions!$B$32*MIN(1,ABS(S14)/ABS(Assumptions!$B$21)),MAX(0.1,1-Assumptions!$B$31*(S14/50)))))*W14*Archetypes!$C$15*Archetypes!$C$22)*(Archetypes!$C$13*IF(S14&lt;0,1-Assumptions!$B$33*MIN(1,ABS(S14)/ABS(Assumptions!$B$21)),1))*5*Assumptions!$B$18))*IF(S14&lt;0,Assumptions!$B$9,1)))*$E14</f>
        <v>3492.4942799999999</v>
      </c>
      <c r="AB14" s="21">
        <f>(AB13)+(AA14)-(MAX(0,((AB13)+(AA14)-(AC14)))*(IF(Archetypes!$C$27="",Assumptions!$B$11,Archetypes!$C$27)))</f>
        <v>19111.850552044489</v>
      </c>
      <c r="AC14" s="21">
        <f>Archetypes!$C$36 + (Assumptions!$B$67*(IF($E14=0,0,V14/$E14))*Assumptions!$B$71*(1+Assumptions!$B$68*(Archetypes!$C$14-1))) + (Assumptions!$B$69*Archetypes!$C$34*(IF($E14=0,0,V14/$E14))*Assumptions!$B$72*POWER(Assumptions!$B$70,Archetypes!$C$18-1))</f>
        <v>9108.3600000000024</v>
      </c>
      <c r="AD14" s="21">
        <f t="shared" si="5"/>
        <v>10003.490552044486</v>
      </c>
      <c r="AF14" s="21">
        <f t="shared" si="10"/>
        <v>619.41052084662874</v>
      </c>
      <c r="AG14" s="21">
        <f>MAX(Assumptions!$B$21,AF14+AH14)</f>
        <v>652.29020229120022</v>
      </c>
      <c r="AH14" s="21">
        <f>((AL14*(Assumptions!$B$22+((Assumptions!$B$23-Assumptions!$B$22)*IF(AI14&gt;0,AK14/AI14,0)))*(1+Assumptions!$B$60*(Archetypes!$D$13-1)))+IF(AL14&gt;AI14,AI14*Assumptions!$B$24,0)-IF(IF(AI14&gt;0,AM14/AI14,1)&lt;Assumptions!$B$61,((AM14*(Assumptions!$B$27*(1+Assumptions!$B$28*(Archetypes!$D$14-1))/(1+Assumptions!$B$29*(Archetypes!$D$12-1))))+(((AI14*Archetypes!$D$17*IF(AI14&gt;0,AM14/AI14,1)*Archetypes!$D$31)/100)*Assumptions!$B$30))*Assumptions!$B$62,((AM14*(Assumptions!$B$27*(1+Assumptions!$B$28*(Archetypes!$D$14-1))/(1+Assumptions!$B$29*(Archetypes!$D$12-1))))+(((AI14*Archetypes!$D$17*IF(AI14&gt;0,AM14/AI14,1)*Archetypes!$D$31)/100)*Assumptions!$B$30)))-(Assumptions!$B$25*Assumptions!$B$26*E14))*E14</f>
        <v>32.879681444571439</v>
      </c>
      <c r="AI14" s="21">
        <f>(Archetypes!$D$11*(IF(AF14&lt;0,1+Assumptions!$B$32*MIN(1,ABS(AF14)/ABS(Assumptions!$B$21)),MAX(0.1,1-Assumptions!$B$31*(AF14/50)))))*$E14</f>
        <v>1.8000000000000003</v>
      </c>
      <c r="AJ14" s="26">
        <f>Archetypes!$D$30</f>
        <v>0.10400000000000001</v>
      </c>
      <c r="AK14" s="21">
        <f t="shared" si="6"/>
        <v>0.18720000000000003</v>
      </c>
      <c r="AL14" s="21">
        <f>((AI14-AK14)*Archetypes!$D$15)+(AK14*Archetypes!$D$15*Archetypes!$D$22)</f>
        <v>2.8123200000000006</v>
      </c>
      <c r="AM14" s="21">
        <f>AI14*Archetypes!$D$16</f>
        <v>0.3600000000000001</v>
      </c>
      <c r="AN14" s="21">
        <f>(IF(AF14&lt;0,Assumptions!$B$8,IF(AF14&lt;10,Assumptions!$B$34,IF(AF14&lt;25,Assumptions!$B$35,Assumptions!$B$36))))*((((Archetypes!$D$5*Assumptions!$B$4+Archetypes!$D$6*Assumptions!$B$5)*60))+(Assumptions!$B$6*(((Archetypes!$D$11*(IF(AF14&lt;0,1+Assumptions!$B$32*MIN(1,ABS(AF14)/ABS(Assumptions!$B$21)),MAX(0.1,1-Assumptions!$B$31*(AF14/50)))))-((Archetypes!$D$11*(IF(AF14&lt;0,1+Assumptions!$B$32*MIN(1,ABS(AF14)/ABS(Assumptions!$B$21)),MAX(0.1,1-Assumptions!$B$31*(AF14/50)))))*AJ14)*Archetypes!$D$20)+((Archetypes!$D$11*(IF(AF14&lt;0,1+Assumptions!$B$32*MIN(1,ABS(AF14)/ABS(Assumptions!$B$21)),MAX(0.1,1-Assumptions!$B$31*(AF14/50)))))*AJ14*Archetypes!$D$20*Archetypes!$D$21)*Assumptions!$B$18)*(IF($D14=1,1,Assumptions!$B$7)))+(((((Archetypes!$D$11*(IF(AF14&lt;0,1+Assumptions!$B$32*MIN(1,ABS(AF14)/ABS(Assumptions!$B$21)),MAX(0.1,1-Assumptions!$B$31*(AF14/50)))))-((Archetypes!$D$11*(IF(AF14&lt;0,1+Assumptions!$B$32*MIN(1,ABS(AF14)/ABS(Assumptions!$B$21)),MAX(0.1,1-Assumptions!$B$31*(AF14/50)))))*AJ14)*Archetypes!$D$15)*(Archetypes!$D$13*IF(AF14&lt;0,1-Assumptions!$B$33*MIN(1,ABS(AF14)/ABS(Assumptions!$B$21)),1))*5)+(((Archetypes!$D$11*(IF(AF14&lt;0,1+Assumptions!$B$32*MIN(1,ABS(AF14)/ABS(Assumptions!$B$21)),MAX(0.1,1-Assumptions!$B$31*(AF14/50)))))*AJ14*Archetypes!$D$15*Archetypes!$D$22)*(Archetypes!$D$13*IF(AF14&lt;0,1-Assumptions!$B$33*MIN(1,ABS(AF14)/ABS(Assumptions!$B$21)),1))*5*Assumptions!$B$18))*IF(AF14&lt;0,Assumptions!$B$9,1)))*$E14</f>
        <v>5637.8204999999998</v>
      </c>
      <c r="AO14" s="21">
        <f>(AO13)+(AN14)-(MAX(0,((AO13)+(AN14)-(AP14)))*(IF(Archetypes!$D$27="",Assumptions!$B$11,Archetypes!$D$27)))</f>
        <v>33637.329020743709</v>
      </c>
      <c r="AP14" s="21">
        <f>Archetypes!$D$36 + (Assumptions!$B$67*(IF($E14=0,0,AI14/$E14))*Assumptions!$B$71*(1+Assumptions!$B$68*(Archetypes!$D$14-1))) + (Assumptions!$B$69*Archetypes!$D$34*(IF($E14=0,0,AI14/$E14))*Assumptions!$B$72*POWER(Assumptions!$B$70,Archetypes!$D$18-1))</f>
        <v>20774.800648960005</v>
      </c>
      <c r="AQ14" s="21">
        <f t="shared" si="7"/>
        <v>12862.528371783705</v>
      </c>
    </row>
    <row r="15" spans="1:52" x14ac:dyDescent="0.25">
      <c r="A15" s="20">
        <v>66</v>
      </c>
      <c r="B15" s="20">
        <f t="shared" si="0"/>
        <v>3</v>
      </c>
      <c r="C15" s="20">
        <f t="shared" si="1"/>
        <v>18</v>
      </c>
      <c r="D15" s="6">
        <f>IF(C15&lt;Assumptions!$B$10,1,0)</f>
        <v>0</v>
      </c>
      <c r="E15" s="6">
        <v>6</v>
      </c>
      <c r="F15" s="21">
        <f t="shared" si="8"/>
        <v>-15</v>
      </c>
      <c r="G15" s="21">
        <f>MAX(Assumptions!$B$21,F15+H15)</f>
        <v>-15</v>
      </c>
      <c r="H15" s="21">
        <f>((L15*(Assumptions!$B$22+((Assumptions!$B$23-Assumptions!$B$22)*IF(I15&gt;0,K15/I15,0)))*(1+Assumptions!$B$60*(Archetypes!$B$13-1)))+IF(L15&gt;I15,I15*Assumptions!$B$24,0)-IF(IF(I15&gt;0,M15/I15,1)&lt;Assumptions!$B$61,((M15*(Assumptions!$B$27*(1+Assumptions!$B$28*(Archetypes!$B$14-1))/(1+Assumptions!$B$29*(Archetypes!$B$12-1))))+(((I15*Archetypes!$B$17*IF(I15&gt;0,M15/I15,1)*Archetypes!$B$31)/100)*Assumptions!$B$30))*Assumptions!$B$62,((M15*(Assumptions!$B$27*(1+Assumptions!$B$28*(Archetypes!$B$14-1))/(1+Assumptions!$B$29*(Archetypes!$B$12-1))))+(((I15*Archetypes!$B$17*IF(I15&gt;0,M15/I15,1)*Archetypes!$B$31)/100)*Assumptions!$B$30)))-(Assumptions!$B$25*Assumptions!$B$26*E15))*E15</f>
        <v>-102.17413047272723</v>
      </c>
      <c r="I15" s="21">
        <f>(Archetypes!$B$11*(IF(F15&lt;0,1+Assumptions!$B$32*MIN(1,ABS(F15)/ABS(Assumptions!$B$21)),MAX(0.1,1-Assumptions!$B$31*(F15/50)))))*$E15</f>
        <v>84</v>
      </c>
      <c r="J15" s="26">
        <f>Archetypes!$B$30</f>
        <v>2.1999999999999999E-2</v>
      </c>
      <c r="K15" s="21">
        <f t="shared" si="2"/>
        <v>1.8479999999999999</v>
      </c>
      <c r="L15" s="21">
        <f>((I15-K15)*Archetypes!$B$15)+(K15*Archetypes!$B$15*Archetypes!$B$22)</f>
        <v>8.4369600000000009</v>
      </c>
      <c r="M15" s="21">
        <f>I15*Archetypes!$B$16</f>
        <v>63</v>
      </c>
      <c r="N15" s="21">
        <f>(IF(F15&lt;0,Assumptions!$B$8,IF(F15&lt;10,Assumptions!$B$34,IF(F15&lt;25,Assumptions!$B$35,Assumptions!$B$36))))*((((Archetypes!$B$5*Assumptions!$B$4+Archetypes!$B$6*Assumptions!$B$5)*60))+(Assumptions!$B$6*(((Archetypes!$B$11*(IF(F15&lt;0,1+Assumptions!$B$32*MIN(1,ABS(F15)/ABS(Assumptions!$B$21)),MAX(0.1,1-Assumptions!$B$31*(F15/50)))))-((Archetypes!$B$11*(IF(F15&lt;0,1+Assumptions!$B$32*MIN(1,ABS(F15)/ABS(Assumptions!$B$21)),MAX(0.1,1-Assumptions!$B$31*(F15/50)))))*J15)*Archetypes!$B$20)+((Archetypes!$B$11*(IF(F15&lt;0,1+Assumptions!$B$32*MIN(1,ABS(F15)/ABS(Assumptions!$B$21)),MAX(0.1,1-Assumptions!$B$31*(F15/50)))))*J15*Archetypes!$B$20*Archetypes!$B$21)*Assumptions!$B$18)*(IF($D15=1,1,Assumptions!$B$7)))+(((((Archetypes!$B$11*(IF(F15&lt;0,1+Assumptions!$B$32*MIN(1,ABS(F15)/ABS(Assumptions!$B$21)),MAX(0.1,1-Assumptions!$B$31*(F15/50)))))-((Archetypes!$B$11*(IF(F15&lt;0,1+Assumptions!$B$32*MIN(1,ABS(F15)/ABS(Assumptions!$B$21)),MAX(0.1,1-Assumptions!$B$31*(F15/50)))))*J15)*Archetypes!$B$15)*(Archetypes!$B$13*IF(F15&lt;0,1-Assumptions!$B$33*MIN(1,ABS(F15)/ABS(Assumptions!$B$21)),1))*5)+(((Archetypes!$B$11*(IF(F15&lt;0,1+Assumptions!$B$32*MIN(1,ABS(F15)/ABS(Assumptions!$B$21)),MAX(0.1,1-Assumptions!$B$31*(F15/50)))))*J15*Archetypes!$B$15*Archetypes!$B$22)*(Archetypes!$B$13*IF(F15&lt;0,1-Assumptions!$B$33*MIN(1,ABS(F15)/ABS(Assumptions!$B$21)),1))*5*Assumptions!$B$18))*IF(F15&lt;0,Assumptions!$B$9,1)))*$E15</f>
        <v>2906.8712639999999</v>
      </c>
      <c r="O15" s="21">
        <f>(O14)+(N15)-(MAX(0,((O14)+(N15)-(P15)))*(IF(Archetypes!$B$27="",Assumptions!$B$11,Archetypes!$B$27)))</f>
        <v>14164.989500893407</v>
      </c>
      <c r="P15" s="21">
        <f>Archetypes!$B$36 + (Assumptions!$B$67*(IF($E15=0,0,I15/$E15))*Assumptions!$B$71*(1+Assumptions!$B$68*(Archetypes!$B$14-1))) + (Assumptions!$B$69*Archetypes!$B$34*(IF($E15=0,0,I15/$E15))*Assumptions!$B$72*POWER(Assumptions!$B$70,Archetypes!$B$18-1))</f>
        <v>2668.56</v>
      </c>
      <c r="Q15" s="21">
        <f t="shared" si="3"/>
        <v>11496.429500893408</v>
      </c>
      <c r="S15" s="21">
        <f t="shared" si="9"/>
        <v>258.4034957984</v>
      </c>
      <c r="T15" s="21">
        <f>MAX(Assumptions!$B$21,S15+U15)</f>
        <v>269.1273873344</v>
      </c>
      <c r="U15" s="21">
        <f>((Y15*(Assumptions!$B$22+((Assumptions!$B$23-Assumptions!$B$22)*IF(V15&gt;0,X15/V15,0)))*(1+Assumptions!$B$60*(Archetypes!$C$13-1)))+IF(Y15&gt;V15,V15*Assumptions!$B$24,0)-IF(IF(V15&gt;0,Z15/V15,1)&lt;Assumptions!$B$61,((Z15*(Assumptions!$B$27*(1+Assumptions!$B$28*(Archetypes!$C$14-1))/(1+Assumptions!$B$29*(Archetypes!$C$12-1))))+(((V15*Archetypes!$C$17*IF(V15&gt;0,Z15/V15,1)*Archetypes!$C$31)/100)*Assumptions!$B$30))*Assumptions!$B$62,((Z15*(Assumptions!$B$27*(1+Assumptions!$B$28*(Archetypes!$C$14-1))/(1+Assumptions!$B$29*(Archetypes!$C$12-1))))+(((V15*Archetypes!$C$17*IF(V15&gt;0,Z15/V15,1)*Archetypes!$C$31)/100)*Assumptions!$B$30)))-(Assumptions!$B$25*Assumptions!$B$26*E15))*E15</f>
        <v>10.723891536000004</v>
      </c>
      <c r="V15" s="21">
        <f>(Archetypes!$C$11*(IF(S15&lt;0,1+Assumptions!$B$32*MIN(1,ABS(S15)/ABS(Assumptions!$B$21)),MAX(0.1,1-Assumptions!$B$31*(S15/50)))))*$E15</f>
        <v>3.6000000000000005</v>
      </c>
      <c r="W15" s="26">
        <f>Archetypes!$C$30</f>
        <v>3.7999999999999999E-2</v>
      </c>
      <c r="X15" s="21">
        <f t="shared" si="4"/>
        <v>0.1368</v>
      </c>
      <c r="Y15" s="21">
        <f>((V15-X15)*Archetypes!$C$15)+(X15*Archetypes!$C$15*Archetypes!$C$22)</f>
        <v>1.8205200000000004</v>
      </c>
      <c r="Z15" s="21">
        <f>V15*Archetypes!$C$16</f>
        <v>1.6200000000000003</v>
      </c>
      <c r="AA15" s="21">
        <f>(IF(S15&lt;0,Assumptions!$B$8,IF(S15&lt;10,Assumptions!$B$34,IF(S15&lt;25,Assumptions!$B$35,Assumptions!$B$36))))*((((Archetypes!$C$5*Assumptions!$B$4+Archetypes!$C$6*Assumptions!$B$5)*60))+(Assumptions!$B$6*(((Archetypes!$C$11*(IF(S15&lt;0,1+Assumptions!$B$32*MIN(1,ABS(S15)/ABS(Assumptions!$B$21)),MAX(0.1,1-Assumptions!$B$31*(S15/50)))))-((Archetypes!$C$11*(IF(S15&lt;0,1+Assumptions!$B$32*MIN(1,ABS(S15)/ABS(Assumptions!$B$21)),MAX(0.1,1-Assumptions!$B$31*(S15/50)))))*W15)*Archetypes!$C$20)+((Archetypes!$C$11*(IF(S15&lt;0,1+Assumptions!$B$32*MIN(1,ABS(S15)/ABS(Assumptions!$B$21)),MAX(0.1,1-Assumptions!$B$31*(S15/50)))))*W15*Archetypes!$C$20*Archetypes!$C$21)*Assumptions!$B$18)*(IF($D15=1,1,Assumptions!$B$7)))+(((((Archetypes!$C$11*(IF(S15&lt;0,1+Assumptions!$B$32*MIN(1,ABS(S15)/ABS(Assumptions!$B$21)),MAX(0.1,1-Assumptions!$B$31*(S15/50)))))-((Archetypes!$C$11*(IF(S15&lt;0,1+Assumptions!$B$32*MIN(1,ABS(S15)/ABS(Assumptions!$B$21)),MAX(0.1,1-Assumptions!$B$31*(S15/50)))))*W15)*Archetypes!$C$15)*(Archetypes!$C$13*IF(S15&lt;0,1-Assumptions!$B$33*MIN(1,ABS(S15)/ABS(Assumptions!$B$21)),1))*5)+(((Archetypes!$C$11*(IF(S15&lt;0,1+Assumptions!$B$32*MIN(1,ABS(S15)/ABS(Assumptions!$B$21)),MAX(0.1,1-Assumptions!$B$31*(S15/50)))))*W15*Archetypes!$C$15*Archetypes!$C$22)*(Archetypes!$C$13*IF(S15&lt;0,1-Assumptions!$B$33*MIN(1,ABS(S15)/ABS(Assumptions!$B$21)),1))*5*Assumptions!$B$18))*IF(S15&lt;0,Assumptions!$B$9,1)))*$E15</f>
        <v>3492.4942799999999</v>
      </c>
      <c r="AB15" s="21">
        <f>(AB14)+(AA15)-(MAX(0,((AB14)+(AA15)-(AC15)))*(IF(Archetypes!$C$27="",Assumptions!$B$11,Archetypes!$C$27)))</f>
        <v>19230.348624033366</v>
      </c>
      <c r="AC15" s="21">
        <f>Archetypes!$C$36 + (Assumptions!$B$67*(IF($E15=0,0,V15/$E15))*Assumptions!$B$71*(1+Assumptions!$B$68*(Archetypes!$C$14-1))) + (Assumptions!$B$69*Archetypes!$C$34*(IF($E15=0,0,V15/$E15))*Assumptions!$B$72*POWER(Assumptions!$B$70,Archetypes!$C$18-1))</f>
        <v>9108.3600000000024</v>
      </c>
      <c r="AD15" s="21">
        <f t="shared" si="5"/>
        <v>10121.988624033364</v>
      </c>
      <c r="AF15" s="21">
        <f t="shared" si="10"/>
        <v>652.29020229120022</v>
      </c>
      <c r="AG15" s="21">
        <f>MAX(Assumptions!$B$21,AF15+AH15)</f>
        <v>685.16988373577169</v>
      </c>
      <c r="AH15" s="21">
        <f>((AL15*(Assumptions!$B$22+((Assumptions!$B$23-Assumptions!$B$22)*IF(AI15&gt;0,AK15/AI15,0)))*(1+Assumptions!$B$60*(Archetypes!$D$13-1)))+IF(AL15&gt;AI15,AI15*Assumptions!$B$24,0)-IF(IF(AI15&gt;0,AM15/AI15,1)&lt;Assumptions!$B$61,((AM15*(Assumptions!$B$27*(1+Assumptions!$B$28*(Archetypes!$D$14-1))/(1+Assumptions!$B$29*(Archetypes!$D$12-1))))+(((AI15*Archetypes!$D$17*IF(AI15&gt;0,AM15/AI15,1)*Archetypes!$D$31)/100)*Assumptions!$B$30))*Assumptions!$B$62,((AM15*(Assumptions!$B$27*(1+Assumptions!$B$28*(Archetypes!$D$14-1))/(1+Assumptions!$B$29*(Archetypes!$D$12-1))))+(((AI15*Archetypes!$D$17*IF(AI15&gt;0,AM15/AI15,1)*Archetypes!$D$31)/100)*Assumptions!$B$30)))-(Assumptions!$B$25*Assumptions!$B$26*E15))*E15</f>
        <v>32.879681444571439</v>
      </c>
      <c r="AI15" s="21">
        <f>(Archetypes!$D$11*(IF(AF15&lt;0,1+Assumptions!$B$32*MIN(1,ABS(AF15)/ABS(Assumptions!$B$21)),MAX(0.1,1-Assumptions!$B$31*(AF15/50)))))*$E15</f>
        <v>1.8000000000000003</v>
      </c>
      <c r="AJ15" s="26">
        <f>Archetypes!$D$30</f>
        <v>0.10400000000000001</v>
      </c>
      <c r="AK15" s="21">
        <f t="shared" si="6"/>
        <v>0.18720000000000003</v>
      </c>
      <c r="AL15" s="21">
        <f>((AI15-AK15)*Archetypes!$D$15)+(AK15*Archetypes!$D$15*Archetypes!$D$22)</f>
        <v>2.8123200000000006</v>
      </c>
      <c r="AM15" s="21">
        <f>AI15*Archetypes!$D$16</f>
        <v>0.3600000000000001</v>
      </c>
      <c r="AN15" s="21">
        <f>(IF(AF15&lt;0,Assumptions!$B$8,IF(AF15&lt;10,Assumptions!$B$34,IF(AF15&lt;25,Assumptions!$B$35,Assumptions!$B$36))))*((((Archetypes!$D$5*Assumptions!$B$4+Archetypes!$D$6*Assumptions!$B$5)*60))+(Assumptions!$B$6*(((Archetypes!$D$11*(IF(AF15&lt;0,1+Assumptions!$B$32*MIN(1,ABS(AF15)/ABS(Assumptions!$B$21)),MAX(0.1,1-Assumptions!$B$31*(AF15/50)))))-((Archetypes!$D$11*(IF(AF15&lt;0,1+Assumptions!$B$32*MIN(1,ABS(AF15)/ABS(Assumptions!$B$21)),MAX(0.1,1-Assumptions!$B$31*(AF15/50)))))*AJ15)*Archetypes!$D$20)+((Archetypes!$D$11*(IF(AF15&lt;0,1+Assumptions!$B$32*MIN(1,ABS(AF15)/ABS(Assumptions!$B$21)),MAX(0.1,1-Assumptions!$B$31*(AF15/50)))))*AJ15*Archetypes!$D$20*Archetypes!$D$21)*Assumptions!$B$18)*(IF($D15=1,1,Assumptions!$B$7)))+(((((Archetypes!$D$11*(IF(AF15&lt;0,1+Assumptions!$B$32*MIN(1,ABS(AF15)/ABS(Assumptions!$B$21)),MAX(0.1,1-Assumptions!$B$31*(AF15/50)))))-((Archetypes!$D$11*(IF(AF15&lt;0,1+Assumptions!$B$32*MIN(1,ABS(AF15)/ABS(Assumptions!$B$21)),MAX(0.1,1-Assumptions!$B$31*(AF15/50)))))*AJ15)*Archetypes!$D$15)*(Archetypes!$D$13*IF(AF15&lt;0,1-Assumptions!$B$33*MIN(1,ABS(AF15)/ABS(Assumptions!$B$21)),1))*5)+(((Archetypes!$D$11*(IF(AF15&lt;0,1+Assumptions!$B$32*MIN(1,ABS(AF15)/ABS(Assumptions!$B$21)),MAX(0.1,1-Assumptions!$B$31*(AF15/50)))))*AJ15*Archetypes!$D$15*Archetypes!$D$22)*(Archetypes!$D$13*IF(AF15&lt;0,1-Assumptions!$B$33*MIN(1,ABS(AF15)/ABS(Assumptions!$B$21)),1))*5*Assumptions!$B$18))*IF(AF15&lt;0,Assumptions!$B$9,1)))*$E15</f>
        <v>5637.8204999999998</v>
      </c>
      <c r="AO15" s="21">
        <f>(AO14)+(AN15)-(MAX(0,((AO14)+(AN15)-(AP15)))*(IF(Archetypes!$D$27="",Assumptions!$B$11,Archetypes!$D$27)))</f>
        <v>33725.044859208603</v>
      </c>
      <c r="AP15" s="21">
        <f>Archetypes!$D$36 + (Assumptions!$B$67*(IF($E15=0,0,AI15/$E15))*Assumptions!$B$71*(1+Assumptions!$B$68*(Archetypes!$D$14-1))) + (Assumptions!$B$69*Archetypes!$D$34*(IF($E15=0,0,AI15/$E15))*Assumptions!$B$72*POWER(Assumptions!$B$70,Archetypes!$D$18-1))</f>
        <v>20774.800648960005</v>
      </c>
      <c r="AQ15" s="21">
        <f t="shared" si="7"/>
        <v>12950.244210248598</v>
      </c>
    </row>
    <row r="16" spans="1:52" x14ac:dyDescent="0.25">
      <c r="A16" s="20">
        <v>72</v>
      </c>
      <c r="B16" s="20">
        <f t="shared" si="0"/>
        <v>4</v>
      </c>
      <c r="C16" s="20">
        <f t="shared" si="1"/>
        <v>0</v>
      </c>
      <c r="D16" s="6">
        <f>IF(C16&lt;Assumptions!$B$10,1,0)</f>
        <v>1</v>
      </c>
      <c r="E16" s="6">
        <v>6</v>
      </c>
      <c r="F16" s="21">
        <f t="shared" si="8"/>
        <v>-15</v>
      </c>
      <c r="G16" s="21">
        <f>MAX(Assumptions!$B$21,F16+H16)</f>
        <v>-15</v>
      </c>
      <c r="H16" s="21">
        <f>((L16*(Assumptions!$B$22+((Assumptions!$B$23-Assumptions!$B$22)*IF(I16&gt;0,K16/I16,0)))*(1+Assumptions!$B$60*(Archetypes!$B$13-1)))+IF(L16&gt;I16,I16*Assumptions!$B$24,0)-IF(IF(I16&gt;0,M16/I16,1)&lt;Assumptions!$B$61,((M16*(Assumptions!$B$27*(1+Assumptions!$B$28*(Archetypes!$B$14-1))/(1+Assumptions!$B$29*(Archetypes!$B$12-1))))+(((I16*Archetypes!$B$17*IF(I16&gt;0,M16/I16,1)*Archetypes!$B$31)/100)*Assumptions!$B$30))*Assumptions!$B$62,((M16*(Assumptions!$B$27*(1+Assumptions!$B$28*(Archetypes!$B$14-1))/(1+Assumptions!$B$29*(Archetypes!$B$12-1))))+(((I16*Archetypes!$B$17*IF(I16&gt;0,M16/I16,1)*Archetypes!$B$31)/100)*Assumptions!$B$30)))-(Assumptions!$B$25*Assumptions!$B$26*E16))*E16</f>
        <v>-102.17413047272723</v>
      </c>
      <c r="I16" s="21">
        <f>(Archetypes!$B$11*(IF(F16&lt;0,1+Assumptions!$B$32*MIN(1,ABS(F16)/ABS(Assumptions!$B$21)),MAX(0.1,1-Assumptions!$B$31*(F16/50)))))*$E16</f>
        <v>84</v>
      </c>
      <c r="J16" s="26">
        <f>Archetypes!$B$30</f>
        <v>2.1999999999999999E-2</v>
      </c>
      <c r="K16" s="21">
        <f t="shared" si="2"/>
        <v>1.8479999999999999</v>
      </c>
      <c r="L16" s="21">
        <f>((I16-K16)*Archetypes!$B$15)+(K16*Archetypes!$B$15*Archetypes!$B$22)</f>
        <v>8.4369600000000009</v>
      </c>
      <c r="M16" s="21">
        <f>I16*Archetypes!$B$16</f>
        <v>63</v>
      </c>
      <c r="N16" s="21">
        <f>(IF(F16&lt;0,Assumptions!$B$8,IF(F16&lt;10,Assumptions!$B$34,IF(F16&lt;25,Assumptions!$B$35,Assumptions!$B$36))))*((((Archetypes!$B$5*Assumptions!$B$4+Archetypes!$B$6*Assumptions!$B$5)*60))+(Assumptions!$B$6*(((Archetypes!$B$11*(IF(F16&lt;0,1+Assumptions!$B$32*MIN(1,ABS(F16)/ABS(Assumptions!$B$21)),MAX(0.1,1-Assumptions!$B$31*(F16/50)))))-((Archetypes!$B$11*(IF(F16&lt;0,1+Assumptions!$B$32*MIN(1,ABS(F16)/ABS(Assumptions!$B$21)),MAX(0.1,1-Assumptions!$B$31*(F16/50)))))*J16)*Archetypes!$B$20)+((Archetypes!$B$11*(IF(F16&lt;0,1+Assumptions!$B$32*MIN(1,ABS(F16)/ABS(Assumptions!$B$21)),MAX(0.1,1-Assumptions!$B$31*(F16/50)))))*J16*Archetypes!$B$20*Archetypes!$B$21)*Assumptions!$B$18)*(IF($D16=1,1,Assumptions!$B$7)))+(((((Archetypes!$B$11*(IF(F16&lt;0,1+Assumptions!$B$32*MIN(1,ABS(F16)/ABS(Assumptions!$B$21)),MAX(0.1,1-Assumptions!$B$31*(F16/50)))))-((Archetypes!$B$11*(IF(F16&lt;0,1+Assumptions!$B$32*MIN(1,ABS(F16)/ABS(Assumptions!$B$21)),MAX(0.1,1-Assumptions!$B$31*(F16/50)))))*J16)*Archetypes!$B$15)*(Archetypes!$B$13*IF(F16&lt;0,1-Assumptions!$B$33*MIN(1,ABS(F16)/ABS(Assumptions!$B$21)),1))*5)+(((Archetypes!$B$11*(IF(F16&lt;0,1+Assumptions!$B$32*MIN(1,ABS(F16)/ABS(Assumptions!$B$21)),MAX(0.1,1-Assumptions!$B$31*(F16/50)))))*J16*Archetypes!$B$15*Archetypes!$B$22)*(Archetypes!$B$13*IF(F16&lt;0,1-Assumptions!$B$33*MIN(1,ABS(F16)/ABS(Assumptions!$B$21)),1))*5*Assumptions!$B$18))*IF(F16&lt;0,Assumptions!$B$9,1)))*$E16</f>
        <v>4261.2704640000011</v>
      </c>
      <c r="O16" s="21">
        <f>(O15)+(N16)-(MAX(0,((O15)+(N16)-(P16)))*(IF(Archetypes!$B$27="",Assumptions!$B$11,Archetypes!$B$27)))</f>
        <v>15274.719971914727</v>
      </c>
      <c r="P16" s="21">
        <f>Archetypes!$B$36 + (Assumptions!$B$67*(IF($E16=0,0,I16/$E16))*Assumptions!$B$71*(1+Assumptions!$B$68*(Archetypes!$B$14-1))) + (Assumptions!$B$69*Archetypes!$B$34*(IF($E16=0,0,I16/$E16))*Assumptions!$B$72*POWER(Assumptions!$B$70,Archetypes!$B$18-1))</f>
        <v>2668.56</v>
      </c>
      <c r="Q16" s="21">
        <f t="shared" si="3"/>
        <v>12606.159971914727</v>
      </c>
      <c r="S16" s="21">
        <f t="shared" si="9"/>
        <v>269.1273873344</v>
      </c>
      <c r="T16" s="21">
        <f>MAX(Assumptions!$B$21,S16+U16)</f>
        <v>279.85127887039999</v>
      </c>
      <c r="U16" s="21">
        <f>((Y16*(Assumptions!$B$22+((Assumptions!$B$23-Assumptions!$B$22)*IF(V16&gt;0,X16/V16,0)))*(1+Assumptions!$B$60*(Archetypes!$C$13-1)))+IF(Y16&gt;V16,V16*Assumptions!$B$24,0)-IF(IF(V16&gt;0,Z16/V16,1)&lt;Assumptions!$B$61,((Z16*(Assumptions!$B$27*(1+Assumptions!$B$28*(Archetypes!$C$14-1))/(1+Assumptions!$B$29*(Archetypes!$C$12-1))))+(((V16*Archetypes!$C$17*IF(V16&gt;0,Z16/V16,1)*Archetypes!$C$31)/100)*Assumptions!$B$30))*Assumptions!$B$62,((Z16*(Assumptions!$B$27*(1+Assumptions!$B$28*(Archetypes!$C$14-1))/(1+Assumptions!$B$29*(Archetypes!$C$12-1))))+(((V16*Archetypes!$C$17*IF(V16&gt;0,Z16/V16,1)*Archetypes!$C$31)/100)*Assumptions!$B$30)))-(Assumptions!$B$25*Assumptions!$B$26*E16))*E16</f>
        <v>10.723891536000004</v>
      </c>
      <c r="V16" s="21">
        <f>(Archetypes!$C$11*(IF(S16&lt;0,1+Assumptions!$B$32*MIN(1,ABS(S16)/ABS(Assumptions!$B$21)),MAX(0.1,1-Assumptions!$B$31*(S16/50)))))*$E16</f>
        <v>3.6000000000000005</v>
      </c>
      <c r="W16" s="26">
        <f>Archetypes!$C$30</f>
        <v>3.7999999999999999E-2</v>
      </c>
      <c r="X16" s="21">
        <f t="shared" si="4"/>
        <v>0.1368</v>
      </c>
      <c r="Y16" s="21">
        <f>((V16-X16)*Archetypes!$C$15)+(X16*Archetypes!$C$15*Archetypes!$C$22)</f>
        <v>1.8205200000000004</v>
      </c>
      <c r="Z16" s="21">
        <f>V16*Archetypes!$C$16</f>
        <v>1.6200000000000003</v>
      </c>
      <c r="AA16" s="21">
        <f>(IF(S16&lt;0,Assumptions!$B$8,IF(S16&lt;10,Assumptions!$B$34,IF(S16&lt;25,Assumptions!$B$35,Assumptions!$B$36))))*((((Archetypes!$C$5*Assumptions!$B$4+Archetypes!$C$6*Assumptions!$B$5)*60))+(Assumptions!$B$6*(((Archetypes!$C$11*(IF(S16&lt;0,1+Assumptions!$B$32*MIN(1,ABS(S16)/ABS(Assumptions!$B$21)),MAX(0.1,1-Assumptions!$B$31*(S16/50)))))-((Archetypes!$C$11*(IF(S16&lt;0,1+Assumptions!$B$32*MIN(1,ABS(S16)/ABS(Assumptions!$B$21)),MAX(0.1,1-Assumptions!$B$31*(S16/50)))))*W16)*Archetypes!$C$20)+((Archetypes!$C$11*(IF(S16&lt;0,1+Assumptions!$B$32*MIN(1,ABS(S16)/ABS(Assumptions!$B$21)),MAX(0.1,1-Assumptions!$B$31*(S16/50)))))*W16*Archetypes!$C$20*Archetypes!$C$21)*Assumptions!$B$18)*(IF($D16=1,1,Assumptions!$B$7)))+(((((Archetypes!$C$11*(IF(S16&lt;0,1+Assumptions!$B$32*MIN(1,ABS(S16)/ABS(Assumptions!$B$21)),MAX(0.1,1-Assumptions!$B$31*(S16/50)))))-((Archetypes!$C$11*(IF(S16&lt;0,1+Assumptions!$B$32*MIN(1,ABS(S16)/ABS(Assumptions!$B$21)),MAX(0.1,1-Assumptions!$B$31*(S16/50)))))*W16)*Archetypes!$C$15)*(Archetypes!$C$13*IF(S16&lt;0,1-Assumptions!$B$33*MIN(1,ABS(S16)/ABS(Assumptions!$B$21)),1))*5)+(((Archetypes!$C$11*(IF(S16&lt;0,1+Assumptions!$B$32*MIN(1,ABS(S16)/ABS(Assumptions!$B$21)),MAX(0.1,1-Assumptions!$B$31*(S16/50)))))*W16*Archetypes!$C$15*Archetypes!$C$22)*(Archetypes!$C$13*IF(S16&lt;0,1-Assumptions!$B$33*MIN(1,ABS(S16)/ABS(Assumptions!$B$21)),1))*5*Assumptions!$B$18))*IF(S16&lt;0,Assumptions!$B$9,1)))*$E16</f>
        <v>3697.9335000000001</v>
      </c>
      <c r="AB16" s="21">
        <f>(AB15)+(AA16)-(MAX(0,((AB15)+(AA16)-(AC16)))*(IF(Archetypes!$C$27="",Assumptions!$B$11,Archetypes!$C$27)))</f>
        <v>19473.301593025026</v>
      </c>
      <c r="AC16" s="21">
        <f>Archetypes!$C$36 + (Assumptions!$B$67*(IF($E16=0,0,V16/$E16))*Assumptions!$B$71*(1+Assumptions!$B$68*(Archetypes!$C$14-1))) + (Assumptions!$B$69*Archetypes!$C$34*(IF($E16=0,0,V16/$E16))*Assumptions!$B$72*POWER(Assumptions!$B$70,Archetypes!$C$18-1))</f>
        <v>9108.3600000000024</v>
      </c>
      <c r="AD16" s="21">
        <f t="shared" si="5"/>
        <v>10364.941593025023</v>
      </c>
      <c r="AF16" s="21">
        <f t="shared" si="10"/>
        <v>685.16988373577169</v>
      </c>
      <c r="AG16" s="21">
        <f>MAX(Assumptions!$B$21,AF16+AH16)</f>
        <v>718.04956518034317</v>
      </c>
      <c r="AH16" s="21">
        <f>((AL16*(Assumptions!$B$22+((Assumptions!$B$23-Assumptions!$B$22)*IF(AI16&gt;0,AK16/AI16,0)))*(1+Assumptions!$B$60*(Archetypes!$D$13-1)))+IF(AL16&gt;AI16,AI16*Assumptions!$B$24,0)-IF(IF(AI16&gt;0,AM16/AI16,1)&lt;Assumptions!$B$61,((AM16*(Assumptions!$B$27*(1+Assumptions!$B$28*(Archetypes!$D$14-1))/(1+Assumptions!$B$29*(Archetypes!$D$12-1))))+(((AI16*Archetypes!$D$17*IF(AI16&gt;0,AM16/AI16,1)*Archetypes!$D$31)/100)*Assumptions!$B$30))*Assumptions!$B$62,((AM16*(Assumptions!$B$27*(1+Assumptions!$B$28*(Archetypes!$D$14-1))/(1+Assumptions!$B$29*(Archetypes!$D$12-1))))+(((AI16*Archetypes!$D$17*IF(AI16&gt;0,AM16/AI16,1)*Archetypes!$D$31)/100)*Assumptions!$B$30)))-(Assumptions!$B$25*Assumptions!$B$26*E16))*E16</f>
        <v>32.879681444571439</v>
      </c>
      <c r="AI16" s="21">
        <f>(Archetypes!$D$11*(IF(AF16&lt;0,1+Assumptions!$B$32*MIN(1,ABS(AF16)/ABS(Assumptions!$B$21)),MAX(0.1,1-Assumptions!$B$31*(AF16/50)))))*$E16</f>
        <v>1.8000000000000003</v>
      </c>
      <c r="AJ16" s="26">
        <f>Archetypes!$D$30</f>
        <v>0.10400000000000001</v>
      </c>
      <c r="AK16" s="21">
        <f t="shared" si="6"/>
        <v>0.18720000000000003</v>
      </c>
      <c r="AL16" s="21">
        <f>((AI16-AK16)*Archetypes!$D$15)+(AK16*Archetypes!$D$15*Archetypes!$D$22)</f>
        <v>2.8123200000000006</v>
      </c>
      <c r="AM16" s="21">
        <f>AI16*Archetypes!$D$16</f>
        <v>0.3600000000000001</v>
      </c>
      <c r="AN16" s="21">
        <f>(IF(AF16&lt;0,Assumptions!$B$8,IF(AF16&lt;10,Assumptions!$B$34,IF(AF16&lt;25,Assumptions!$B$35,Assumptions!$B$36))))*((((Archetypes!$D$5*Assumptions!$B$4+Archetypes!$D$6*Assumptions!$B$5)*60))+(Assumptions!$B$6*(((Archetypes!$D$11*(IF(AF16&lt;0,1+Assumptions!$B$32*MIN(1,ABS(AF16)/ABS(Assumptions!$B$21)),MAX(0.1,1-Assumptions!$B$31*(AF16/50)))))-((Archetypes!$D$11*(IF(AF16&lt;0,1+Assumptions!$B$32*MIN(1,ABS(AF16)/ABS(Assumptions!$B$21)),MAX(0.1,1-Assumptions!$B$31*(AF16/50)))))*AJ16)*Archetypes!$D$20)+((Archetypes!$D$11*(IF(AF16&lt;0,1+Assumptions!$B$32*MIN(1,ABS(AF16)/ABS(Assumptions!$B$21)),MAX(0.1,1-Assumptions!$B$31*(AF16/50)))))*AJ16*Archetypes!$D$20*Archetypes!$D$21)*Assumptions!$B$18)*(IF($D16=1,1,Assumptions!$B$7)))+(((((Archetypes!$D$11*(IF(AF16&lt;0,1+Assumptions!$B$32*MIN(1,ABS(AF16)/ABS(Assumptions!$B$21)),MAX(0.1,1-Assumptions!$B$31*(AF16/50)))))-((Archetypes!$D$11*(IF(AF16&lt;0,1+Assumptions!$B$32*MIN(1,ABS(AF16)/ABS(Assumptions!$B$21)),MAX(0.1,1-Assumptions!$B$31*(AF16/50)))))*AJ16)*Archetypes!$D$15)*(Archetypes!$D$13*IF(AF16&lt;0,1-Assumptions!$B$33*MIN(1,ABS(AF16)/ABS(Assumptions!$B$21)),1))*5)+(((Archetypes!$D$11*(IF(AF16&lt;0,1+Assumptions!$B$32*MIN(1,ABS(AF16)/ABS(Assumptions!$B$21)),MAX(0.1,1-Assumptions!$B$31*(AF16/50)))))*AJ16*Archetypes!$D$15*Archetypes!$D$22)*(Archetypes!$D$13*IF(AF16&lt;0,1-Assumptions!$B$33*MIN(1,ABS(AF16)/ABS(Assumptions!$B$21)),1))*5*Assumptions!$B$18))*IF(AF16&lt;0,Assumptions!$B$9,1)))*$E16</f>
        <v>6208.1279999999988</v>
      </c>
      <c r="AO16" s="21">
        <f>(AO15)+(AN16)-(MAX(0,((AO15)+(AN16)-(AP16)))*(IF(Archetypes!$D$27="",Assumptions!$B$11,Archetypes!$D$27)))</f>
        <v>34185.661196134024</v>
      </c>
      <c r="AP16" s="21">
        <f>Archetypes!$D$36 + (Assumptions!$B$67*(IF($E16=0,0,AI16/$E16))*Assumptions!$B$71*(1+Assumptions!$B$68*(Archetypes!$D$14-1))) + (Assumptions!$B$69*Archetypes!$D$34*(IF($E16=0,0,AI16/$E16))*Assumptions!$B$72*POWER(Assumptions!$B$70,Archetypes!$D$18-1))</f>
        <v>20774.800648960005</v>
      </c>
      <c r="AQ16" s="21">
        <f t="shared" si="7"/>
        <v>13410.860547174019</v>
      </c>
    </row>
    <row r="17" spans="1:43" x14ac:dyDescent="0.25">
      <c r="A17" s="20">
        <v>78</v>
      </c>
      <c r="B17" s="20">
        <f t="shared" si="0"/>
        <v>4</v>
      </c>
      <c r="C17" s="20">
        <f t="shared" si="1"/>
        <v>6</v>
      </c>
      <c r="D17" s="6">
        <f>IF(C17&lt;Assumptions!$B$10,1,0)</f>
        <v>0</v>
      </c>
      <c r="E17" s="6">
        <v>6</v>
      </c>
      <c r="F17" s="21">
        <f t="shared" si="8"/>
        <v>-15</v>
      </c>
      <c r="G17" s="21">
        <f>MAX(Assumptions!$B$21,F17+H17)</f>
        <v>-15</v>
      </c>
      <c r="H17" s="21">
        <f>((L17*(Assumptions!$B$22+((Assumptions!$B$23-Assumptions!$B$22)*IF(I17&gt;0,K17/I17,0)))*(1+Assumptions!$B$60*(Archetypes!$B$13-1)))+IF(L17&gt;I17,I17*Assumptions!$B$24,0)-IF(IF(I17&gt;0,M17/I17,1)&lt;Assumptions!$B$61,((M17*(Assumptions!$B$27*(1+Assumptions!$B$28*(Archetypes!$B$14-1))/(1+Assumptions!$B$29*(Archetypes!$B$12-1))))+(((I17*Archetypes!$B$17*IF(I17&gt;0,M17/I17,1)*Archetypes!$B$31)/100)*Assumptions!$B$30))*Assumptions!$B$62,((M17*(Assumptions!$B$27*(1+Assumptions!$B$28*(Archetypes!$B$14-1))/(1+Assumptions!$B$29*(Archetypes!$B$12-1))))+(((I17*Archetypes!$B$17*IF(I17&gt;0,M17/I17,1)*Archetypes!$B$31)/100)*Assumptions!$B$30)))-(Assumptions!$B$25*Assumptions!$B$26*E17))*E17</f>
        <v>-102.17413047272723</v>
      </c>
      <c r="I17" s="21">
        <f>(Archetypes!$B$11*(IF(F17&lt;0,1+Assumptions!$B$32*MIN(1,ABS(F17)/ABS(Assumptions!$B$21)),MAX(0.1,1-Assumptions!$B$31*(F17/50)))))*$E17</f>
        <v>84</v>
      </c>
      <c r="J17" s="26">
        <f>Archetypes!$B$30</f>
        <v>2.1999999999999999E-2</v>
      </c>
      <c r="K17" s="21">
        <f t="shared" si="2"/>
        <v>1.8479999999999999</v>
      </c>
      <c r="L17" s="21">
        <f>((I17-K17)*Archetypes!$B$15)+(K17*Archetypes!$B$15*Archetypes!$B$22)</f>
        <v>8.4369600000000009</v>
      </c>
      <c r="M17" s="21">
        <f>I17*Archetypes!$B$16</f>
        <v>63</v>
      </c>
      <c r="N17" s="21">
        <f>(IF(F17&lt;0,Assumptions!$B$8,IF(F17&lt;10,Assumptions!$B$34,IF(F17&lt;25,Assumptions!$B$35,Assumptions!$B$36))))*((((Archetypes!$B$5*Assumptions!$B$4+Archetypes!$B$6*Assumptions!$B$5)*60))+(Assumptions!$B$6*(((Archetypes!$B$11*(IF(F17&lt;0,1+Assumptions!$B$32*MIN(1,ABS(F17)/ABS(Assumptions!$B$21)),MAX(0.1,1-Assumptions!$B$31*(F17/50)))))-((Archetypes!$B$11*(IF(F17&lt;0,1+Assumptions!$B$32*MIN(1,ABS(F17)/ABS(Assumptions!$B$21)),MAX(0.1,1-Assumptions!$B$31*(F17/50)))))*J17)*Archetypes!$B$20)+((Archetypes!$B$11*(IF(F17&lt;0,1+Assumptions!$B$32*MIN(1,ABS(F17)/ABS(Assumptions!$B$21)),MAX(0.1,1-Assumptions!$B$31*(F17/50)))))*J17*Archetypes!$B$20*Archetypes!$B$21)*Assumptions!$B$18)*(IF($D17=1,1,Assumptions!$B$7)))+(((((Archetypes!$B$11*(IF(F17&lt;0,1+Assumptions!$B$32*MIN(1,ABS(F17)/ABS(Assumptions!$B$21)),MAX(0.1,1-Assumptions!$B$31*(F17/50)))))-((Archetypes!$B$11*(IF(F17&lt;0,1+Assumptions!$B$32*MIN(1,ABS(F17)/ABS(Assumptions!$B$21)),MAX(0.1,1-Assumptions!$B$31*(F17/50)))))*J17)*Archetypes!$B$15)*(Archetypes!$B$13*IF(F17&lt;0,1-Assumptions!$B$33*MIN(1,ABS(F17)/ABS(Assumptions!$B$21)),1))*5)+(((Archetypes!$B$11*(IF(F17&lt;0,1+Assumptions!$B$32*MIN(1,ABS(F17)/ABS(Assumptions!$B$21)),MAX(0.1,1-Assumptions!$B$31*(F17/50)))))*J17*Archetypes!$B$15*Archetypes!$B$22)*(Archetypes!$B$13*IF(F17&lt;0,1-Assumptions!$B$33*MIN(1,ABS(F17)/ABS(Assumptions!$B$21)),1))*5*Assumptions!$B$18))*IF(F17&lt;0,Assumptions!$B$9,1)))*$E17</f>
        <v>2906.8712639999999</v>
      </c>
      <c r="O17" s="21">
        <f>(O16)+(N17)-(MAX(0,((O16)+(N17)-(P17)))*(IF(Archetypes!$B$27="",Assumptions!$B$11,Archetypes!$B$27)))</f>
        <v>15078.98498873178</v>
      </c>
      <c r="P17" s="21">
        <f>Archetypes!$B$36 + (Assumptions!$B$67*(IF($E17=0,0,I17/$E17))*Assumptions!$B$71*(1+Assumptions!$B$68*(Archetypes!$B$14-1))) + (Assumptions!$B$69*Archetypes!$B$34*(IF($E17=0,0,I17/$E17))*Assumptions!$B$72*POWER(Assumptions!$B$70,Archetypes!$B$18-1))</f>
        <v>2668.56</v>
      </c>
      <c r="Q17" s="21">
        <f t="shared" si="3"/>
        <v>12410.42498873178</v>
      </c>
      <c r="S17" s="21">
        <f t="shared" si="9"/>
        <v>279.85127887039999</v>
      </c>
      <c r="T17" s="21">
        <f>MAX(Assumptions!$B$21,S17+U17)</f>
        <v>290.57517040639999</v>
      </c>
      <c r="U17" s="21">
        <f>((Y17*(Assumptions!$B$22+((Assumptions!$B$23-Assumptions!$B$22)*IF(V17&gt;0,X17/V17,0)))*(1+Assumptions!$B$60*(Archetypes!$C$13-1)))+IF(Y17&gt;V17,V17*Assumptions!$B$24,0)-IF(IF(V17&gt;0,Z17/V17,1)&lt;Assumptions!$B$61,((Z17*(Assumptions!$B$27*(1+Assumptions!$B$28*(Archetypes!$C$14-1))/(1+Assumptions!$B$29*(Archetypes!$C$12-1))))+(((V17*Archetypes!$C$17*IF(V17&gt;0,Z17/V17,1)*Archetypes!$C$31)/100)*Assumptions!$B$30))*Assumptions!$B$62,((Z17*(Assumptions!$B$27*(1+Assumptions!$B$28*(Archetypes!$C$14-1))/(1+Assumptions!$B$29*(Archetypes!$C$12-1))))+(((V17*Archetypes!$C$17*IF(V17&gt;0,Z17/V17,1)*Archetypes!$C$31)/100)*Assumptions!$B$30)))-(Assumptions!$B$25*Assumptions!$B$26*E17))*E17</f>
        <v>10.723891536000004</v>
      </c>
      <c r="V17" s="21">
        <f>(Archetypes!$C$11*(IF(S17&lt;0,1+Assumptions!$B$32*MIN(1,ABS(S17)/ABS(Assumptions!$B$21)),MAX(0.1,1-Assumptions!$B$31*(S17/50)))))*$E17</f>
        <v>3.6000000000000005</v>
      </c>
      <c r="W17" s="26">
        <f>Archetypes!$C$30</f>
        <v>3.7999999999999999E-2</v>
      </c>
      <c r="X17" s="21">
        <f t="shared" si="4"/>
        <v>0.1368</v>
      </c>
      <c r="Y17" s="21">
        <f>((V17-X17)*Archetypes!$C$15)+(X17*Archetypes!$C$15*Archetypes!$C$22)</f>
        <v>1.8205200000000004</v>
      </c>
      <c r="Z17" s="21">
        <f>V17*Archetypes!$C$16</f>
        <v>1.6200000000000003</v>
      </c>
      <c r="AA17" s="21">
        <f>(IF(S17&lt;0,Assumptions!$B$8,IF(S17&lt;10,Assumptions!$B$34,IF(S17&lt;25,Assumptions!$B$35,Assumptions!$B$36))))*((((Archetypes!$C$5*Assumptions!$B$4+Archetypes!$C$6*Assumptions!$B$5)*60))+(Assumptions!$B$6*(((Archetypes!$C$11*(IF(S17&lt;0,1+Assumptions!$B$32*MIN(1,ABS(S17)/ABS(Assumptions!$B$21)),MAX(0.1,1-Assumptions!$B$31*(S17/50)))))-((Archetypes!$C$11*(IF(S17&lt;0,1+Assumptions!$B$32*MIN(1,ABS(S17)/ABS(Assumptions!$B$21)),MAX(0.1,1-Assumptions!$B$31*(S17/50)))))*W17)*Archetypes!$C$20)+((Archetypes!$C$11*(IF(S17&lt;0,1+Assumptions!$B$32*MIN(1,ABS(S17)/ABS(Assumptions!$B$21)),MAX(0.1,1-Assumptions!$B$31*(S17/50)))))*W17*Archetypes!$C$20*Archetypes!$C$21)*Assumptions!$B$18)*(IF($D17=1,1,Assumptions!$B$7)))+(((((Archetypes!$C$11*(IF(S17&lt;0,1+Assumptions!$B$32*MIN(1,ABS(S17)/ABS(Assumptions!$B$21)),MAX(0.1,1-Assumptions!$B$31*(S17/50)))))-((Archetypes!$C$11*(IF(S17&lt;0,1+Assumptions!$B$32*MIN(1,ABS(S17)/ABS(Assumptions!$B$21)),MAX(0.1,1-Assumptions!$B$31*(S17/50)))))*W17)*Archetypes!$C$15)*(Archetypes!$C$13*IF(S17&lt;0,1-Assumptions!$B$33*MIN(1,ABS(S17)/ABS(Assumptions!$B$21)),1))*5)+(((Archetypes!$C$11*(IF(S17&lt;0,1+Assumptions!$B$32*MIN(1,ABS(S17)/ABS(Assumptions!$B$21)),MAX(0.1,1-Assumptions!$B$31*(S17/50)))))*W17*Archetypes!$C$15*Archetypes!$C$22)*(Archetypes!$C$13*IF(S17&lt;0,1-Assumptions!$B$33*MIN(1,ABS(S17)/ABS(Assumptions!$B$21)),1))*5*Assumptions!$B$18))*IF(S17&lt;0,Assumptions!$B$9,1)))*$E17</f>
        <v>3492.4942799999999</v>
      </c>
      <c r="AB17" s="21">
        <f>(AB16)+(AA17)-(MAX(0,((AB16)+(AA17)-(AC17)))*(IF(Archetypes!$C$27="",Assumptions!$B$11,Archetypes!$C$27)))</f>
        <v>19501.436904768769</v>
      </c>
      <c r="AC17" s="21">
        <f>Archetypes!$C$36 + (Assumptions!$B$67*(IF($E17=0,0,V17/$E17))*Assumptions!$B$71*(1+Assumptions!$B$68*(Archetypes!$C$14-1))) + (Assumptions!$B$69*Archetypes!$C$34*(IF($E17=0,0,V17/$E17))*Assumptions!$B$72*POWER(Assumptions!$B$70,Archetypes!$C$18-1))</f>
        <v>9108.3600000000024</v>
      </c>
      <c r="AD17" s="21">
        <f t="shared" si="5"/>
        <v>10393.076904768766</v>
      </c>
      <c r="AF17" s="21">
        <f t="shared" si="10"/>
        <v>718.04956518034317</v>
      </c>
      <c r="AG17" s="21">
        <f>MAX(Assumptions!$B$21,AF17+AH17)</f>
        <v>750.92924662491464</v>
      </c>
      <c r="AH17" s="21">
        <f>((AL17*(Assumptions!$B$22+((Assumptions!$B$23-Assumptions!$B$22)*IF(AI17&gt;0,AK17/AI17,0)))*(1+Assumptions!$B$60*(Archetypes!$D$13-1)))+IF(AL17&gt;AI17,AI17*Assumptions!$B$24,0)-IF(IF(AI17&gt;0,AM17/AI17,1)&lt;Assumptions!$B$61,((AM17*(Assumptions!$B$27*(1+Assumptions!$B$28*(Archetypes!$D$14-1))/(1+Assumptions!$B$29*(Archetypes!$D$12-1))))+(((AI17*Archetypes!$D$17*IF(AI17&gt;0,AM17/AI17,1)*Archetypes!$D$31)/100)*Assumptions!$B$30))*Assumptions!$B$62,((AM17*(Assumptions!$B$27*(1+Assumptions!$B$28*(Archetypes!$D$14-1))/(1+Assumptions!$B$29*(Archetypes!$D$12-1))))+(((AI17*Archetypes!$D$17*IF(AI17&gt;0,AM17/AI17,1)*Archetypes!$D$31)/100)*Assumptions!$B$30)))-(Assumptions!$B$25*Assumptions!$B$26*E17))*E17</f>
        <v>32.879681444571439</v>
      </c>
      <c r="AI17" s="21">
        <f>(Archetypes!$D$11*(IF(AF17&lt;0,1+Assumptions!$B$32*MIN(1,ABS(AF17)/ABS(Assumptions!$B$21)),MAX(0.1,1-Assumptions!$B$31*(AF17/50)))))*$E17</f>
        <v>1.8000000000000003</v>
      </c>
      <c r="AJ17" s="26">
        <f>Archetypes!$D$30</f>
        <v>0.10400000000000001</v>
      </c>
      <c r="AK17" s="21">
        <f t="shared" si="6"/>
        <v>0.18720000000000003</v>
      </c>
      <c r="AL17" s="21">
        <f>((AI17-AK17)*Archetypes!$D$15)+(AK17*Archetypes!$D$15*Archetypes!$D$22)</f>
        <v>2.8123200000000006</v>
      </c>
      <c r="AM17" s="21">
        <f>AI17*Archetypes!$D$16</f>
        <v>0.3600000000000001</v>
      </c>
      <c r="AN17" s="21">
        <f>(IF(AF17&lt;0,Assumptions!$B$8,IF(AF17&lt;10,Assumptions!$B$34,IF(AF17&lt;25,Assumptions!$B$35,Assumptions!$B$36))))*((((Archetypes!$D$5*Assumptions!$B$4+Archetypes!$D$6*Assumptions!$B$5)*60))+(Assumptions!$B$6*(((Archetypes!$D$11*(IF(AF17&lt;0,1+Assumptions!$B$32*MIN(1,ABS(AF17)/ABS(Assumptions!$B$21)),MAX(0.1,1-Assumptions!$B$31*(AF17/50)))))-((Archetypes!$D$11*(IF(AF17&lt;0,1+Assumptions!$B$32*MIN(1,ABS(AF17)/ABS(Assumptions!$B$21)),MAX(0.1,1-Assumptions!$B$31*(AF17/50)))))*AJ17)*Archetypes!$D$20)+((Archetypes!$D$11*(IF(AF17&lt;0,1+Assumptions!$B$32*MIN(1,ABS(AF17)/ABS(Assumptions!$B$21)),MAX(0.1,1-Assumptions!$B$31*(AF17/50)))))*AJ17*Archetypes!$D$20*Archetypes!$D$21)*Assumptions!$B$18)*(IF($D17=1,1,Assumptions!$B$7)))+(((((Archetypes!$D$11*(IF(AF17&lt;0,1+Assumptions!$B$32*MIN(1,ABS(AF17)/ABS(Assumptions!$B$21)),MAX(0.1,1-Assumptions!$B$31*(AF17/50)))))-((Archetypes!$D$11*(IF(AF17&lt;0,1+Assumptions!$B$32*MIN(1,ABS(AF17)/ABS(Assumptions!$B$21)),MAX(0.1,1-Assumptions!$B$31*(AF17/50)))))*AJ17)*Archetypes!$D$15)*(Archetypes!$D$13*IF(AF17&lt;0,1-Assumptions!$B$33*MIN(1,ABS(AF17)/ABS(Assumptions!$B$21)),1))*5)+(((Archetypes!$D$11*(IF(AF17&lt;0,1+Assumptions!$B$32*MIN(1,ABS(AF17)/ABS(Assumptions!$B$21)),MAX(0.1,1-Assumptions!$B$31*(AF17/50)))))*AJ17*Archetypes!$D$15*Archetypes!$D$22)*(Archetypes!$D$13*IF(AF17&lt;0,1-Assumptions!$B$33*MIN(1,ABS(AF17)/ABS(Assumptions!$B$21)),1))*5*Assumptions!$B$18))*IF(AF17&lt;0,Assumptions!$B$9,1)))*$E17</f>
        <v>5637.8204999999998</v>
      </c>
      <c r="AO17" s="21">
        <f>(AO16)+(AN17)-(MAX(0,((AO16)+(AN17)-(AP17)))*(IF(Archetypes!$D$27="",Assumptions!$B$11,Archetypes!$D$27)))</f>
        <v>34108.877381981816</v>
      </c>
      <c r="AP17" s="21">
        <f>Archetypes!$D$36 + (Assumptions!$B$67*(IF($E17=0,0,AI17/$E17))*Assumptions!$B$71*(1+Assumptions!$B$68*(Archetypes!$D$14-1))) + (Assumptions!$B$69*Archetypes!$D$34*(IF($E17=0,0,AI17/$E17))*Assumptions!$B$72*POWER(Assumptions!$B$70,Archetypes!$D$18-1))</f>
        <v>20774.800648960005</v>
      </c>
      <c r="AQ17" s="21">
        <f t="shared" si="7"/>
        <v>13334.076733021811</v>
      </c>
    </row>
    <row r="18" spans="1:43" x14ac:dyDescent="0.25">
      <c r="A18" s="20">
        <v>84</v>
      </c>
      <c r="B18" s="20">
        <f t="shared" si="0"/>
        <v>4</v>
      </c>
      <c r="C18" s="20">
        <f t="shared" si="1"/>
        <v>12</v>
      </c>
      <c r="D18" s="6">
        <f>IF(C18&lt;Assumptions!$B$10,1,0)</f>
        <v>0</v>
      </c>
      <c r="E18" s="6">
        <v>6</v>
      </c>
      <c r="F18" s="21">
        <f t="shared" si="8"/>
        <v>-15</v>
      </c>
      <c r="G18" s="21">
        <f>MAX(Assumptions!$B$21,F18+H18)</f>
        <v>-15</v>
      </c>
      <c r="H18" s="21">
        <f>((L18*(Assumptions!$B$22+((Assumptions!$B$23-Assumptions!$B$22)*IF(I18&gt;0,K18/I18,0)))*(1+Assumptions!$B$60*(Archetypes!$B$13-1)))+IF(L18&gt;I18,I18*Assumptions!$B$24,0)-IF(IF(I18&gt;0,M18/I18,1)&lt;Assumptions!$B$61,((M18*(Assumptions!$B$27*(1+Assumptions!$B$28*(Archetypes!$B$14-1))/(1+Assumptions!$B$29*(Archetypes!$B$12-1))))+(((I18*Archetypes!$B$17*IF(I18&gt;0,M18/I18,1)*Archetypes!$B$31)/100)*Assumptions!$B$30))*Assumptions!$B$62,((M18*(Assumptions!$B$27*(1+Assumptions!$B$28*(Archetypes!$B$14-1))/(1+Assumptions!$B$29*(Archetypes!$B$12-1))))+(((I18*Archetypes!$B$17*IF(I18&gt;0,M18/I18,1)*Archetypes!$B$31)/100)*Assumptions!$B$30)))-(Assumptions!$B$25*Assumptions!$B$26*E18))*E18</f>
        <v>-102.17413047272723</v>
      </c>
      <c r="I18" s="21">
        <f>(Archetypes!$B$11*(IF(F18&lt;0,1+Assumptions!$B$32*MIN(1,ABS(F18)/ABS(Assumptions!$B$21)),MAX(0.1,1-Assumptions!$B$31*(F18/50)))))*$E18</f>
        <v>84</v>
      </c>
      <c r="J18" s="26">
        <f>Archetypes!$B$30</f>
        <v>2.1999999999999999E-2</v>
      </c>
      <c r="K18" s="21">
        <f t="shared" si="2"/>
        <v>1.8479999999999999</v>
      </c>
      <c r="L18" s="21">
        <f>((I18-K18)*Archetypes!$B$15)+(K18*Archetypes!$B$15*Archetypes!$B$22)</f>
        <v>8.4369600000000009</v>
      </c>
      <c r="M18" s="21">
        <f>I18*Archetypes!$B$16</f>
        <v>63</v>
      </c>
      <c r="N18" s="21">
        <f>(IF(F18&lt;0,Assumptions!$B$8,IF(F18&lt;10,Assumptions!$B$34,IF(F18&lt;25,Assumptions!$B$35,Assumptions!$B$36))))*((((Archetypes!$B$5*Assumptions!$B$4+Archetypes!$B$6*Assumptions!$B$5)*60))+(Assumptions!$B$6*(((Archetypes!$B$11*(IF(F18&lt;0,1+Assumptions!$B$32*MIN(1,ABS(F18)/ABS(Assumptions!$B$21)),MAX(0.1,1-Assumptions!$B$31*(F18/50)))))-((Archetypes!$B$11*(IF(F18&lt;0,1+Assumptions!$B$32*MIN(1,ABS(F18)/ABS(Assumptions!$B$21)),MAX(0.1,1-Assumptions!$B$31*(F18/50)))))*J18)*Archetypes!$B$20)+((Archetypes!$B$11*(IF(F18&lt;0,1+Assumptions!$B$32*MIN(1,ABS(F18)/ABS(Assumptions!$B$21)),MAX(0.1,1-Assumptions!$B$31*(F18/50)))))*J18*Archetypes!$B$20*Archetypes!$B$21)*Assumptions!$B$18)*(IF($D18=1,1,Assumptions!$B$7)))+(((((Archetypes!$B$11*(IF(F18&lt;0,1+Assumptions!$B$32*MIN(1,ABS(F18)/ABS(Assumptions!$B$21)),MAX(0.1,1-Assumptions!$B$31*(F18/50)))))-((Archetypes!$B$11*(IF(F18&lt;0,1+Assumptions!$B$32*MIN(1,ABS(F18)/ABS(Assumptions!$B$21)),MAX(0.1,1-Assumptions!$B$31*(F18/50)))))*J18)*Archetypes!$B$15)*(Archetypes!$B$13*IF(F18&lt;0,1-Assumptions!$B$33*MIN(1,ABS(F18)/ABS(Assumptions!$B$21)),1))*5)+(((Archetypes!$B$11*(IF(F18&lt;0,1+Assumptions!$B$32*MIN(1,ABS(F18)/ABS(Assumptions!$B$21)),MAX(0.1,1-Assumptions!$B$31*(F18/50)))))*J18*Archetypes!$B$15*Archetypes!$B$22)*(Archetypes!$B$13*IF(F18&lt;0,1-Assumptions!$B$33*MIN(1,ABS(F18)/ABS(Assumptions!$B$21)),1))*5*Assumptions!$B$18))*IF(F18&lt;0,Assumptions!$B$9,1)))*$E18</f>
        <v>2906.8712639999999</v>
      </c>
      <c r="O18" s="21">
        <f>(O17)+(N18)-(MAX(0,((O17)+(N18)-(P18)))*(IF(Archetypes!$B$27="",Assumptions!$B$11,Archetypes!$B$27)))</f>
        <v>14922.397002185424</v>
      </c>
      <c r="P18" s="21">
        <f>Archetypes!$B$36 + (Assumptions!$B$67*(IF($E18=0,0,I18/$E18))*Assumptions!$B$71*(1+Assumptions!$B$68*(Archetypes!$B$14-1))) + (Assumptions!$B$69*Archetypes!$B$34*(IF($E18=0,0,I18/$E18))*Assumptions!$B$72*POWER(Assumptions!$B$70,Archetypes!$B$18-1))</f>
        <v>2668.56</v>
      </c>
      <c r="Q18" s="21">
        <f t="shared" si="3"/>
        <v>12253.837002185424</v>
      </c>
      <c r="S18" s="21">
        <f t="shared" si="9"/>
        <v>290.57517040639999</v>
      </c>
      <c r="T18" s="21">
        <f>MAX(Assumptions!$B$21,S18+U18)</f>
        <v>301.29906194239999</v>
      </c>
      <c r="U18" s="21">
        <f>((Y18*(Assumptions!$B$22+((Assumptions!$B$23-Assumptions!$B$22)*IF(V18&gt;0,X18/V18,0)))*(1+Assumptions!$B$60*(Archetypes!$C$13-1)))+IF(Y18&gt;V18,V18*Assumptions!$B$24,0)-IF(IF(V18&gt;0,Z18/V18,1)&lt;Assumptions!$B$61,((Z18*(Assumptions!$B$27*(1+Assumptions!$B$28*(Archetypes!$C$14-1))/(1+Assumptions!$B$29*(Archetypes!$C$12-1))))+(((V18*Archetypes!$C$17*IF(V18&gt;0,Z18/V18,1)*Archetypes!$C$31)/100)*Assumptions!$B$30))*Assumptions!$B$62,((Z18*(Assumptions!$B$27*(1+Assumptions!$B$28*(Archetypes!$C$14-1))/(1+Assumptions!$B$29*(Archetypes!$C$12-1))))+(((V18*Archetypes!$C$17*IF(V18&gt;0,Z18/V18,1)*Archetypes!$C$31)/100)*Assumptions!$B$30)))-(Assumptions!$B$25*Assumptions!$B$26*E18))*E18</f>
        <v>10.723891536000004</v>
      </c>
      <c r="V18" s="21">
        <f>(Archetypes!$C$11*(IF(S18&lt;0,1+Assumptions!$B$32*MIN(1,ABS(S18)/ABS(Assumptions!$B$21)),MAX(0.1,1-Assumptions!$B$31*(S18/50)))))*$E18</f>
        <v>3.6000000000000005</v>
      </c>
      <c r="W18" s="26">
        <f>Archetypes!$C$30</f>
        <v>3.7999999999999999E-2</v>
      </c>
      <c r="X18" s="21">
        <f t="shared" si="4"/>
        <v>0.1368</v>
      </c>
      <c r="Y18" s="21">
        <f>((V18-X18)*Archetypes!$C$15)+(X18*Archetypes!$C$15*Archetypes!$C$22)</f>
        <v>1.8205200000000004</v>
      </c>
      <c r="Z18" s="21">
        <f>V18*Archetypes!$C$16</f>
        <v>1.6200000000000003</v>
      </c>
      <c r="AA18" s="21">
        <f>(IF(S18&lt;0,Assumptions!$B$8,IF(S18&lt;10,Assumptions!$B$34,IF(S18&lt;25,Assumptions!$B$35,Assumptions!$B$36))))*((((Archetypes!$C$5*Assumptions!$B$4+Archetypes!$C$6*Assumptions!$B$5)*60))+(Assumptions!$B$6*(((Archetypes!$C$11*(IF(S18&lt;0,1+Assumptions!$B$32*MIN(1,ABS(S18)/ABS(Assumptions!$B$21)),MAX(0.1,1-Assumptions!$B$31*(S18/50)))))-((Archetypes!$C$11*(IF(S18&lt;0,1+Assumptions!$B$32*MIN(1,ABS(S18)/ABS(Assumptions!$B$21)),MAX(0.1,1-Assumptions!$B$31*(S18/50)))))*W18)*Archetypes!$C$20)+((Archetypes!$C$11*(IF(S18&lt;0,1+Assumptions!$B$32*MIN(1,ABS(S18)/ABS(Assumptions!$B$21)),MAX(0.1,1-Assumptions!$B$31*(S18/50)))))*W18*Archetypes!$C$20*Archetypes!$C$21)*Assumptions!$B$18)*(IF($D18=1,1,Assumptions!$B$7)))+(((((Archetypes!$C$11*(IF(S18&lt;0,1+Assumptions!$B$32*MIN(1,ABS(S18)/ABS(Assumptions!$B$21)),MAX(0.1,1-Assumptions!$B$31*(S18/50)))))-((Archetypes!$C$11*(IF(S18&lt;0,1+Assumptions!$B$32*MIN(1,ABS(S18)/ABS(Assumptions!$B$21)),MAX(0.1,1-Assumptions!$B$31*(S18/50)))))*W18)*Archetypes!$C$15)*(Archetypes!$C$13*IF(S18&lt;0,1-Assumptions!$B$33*MIN(1,ABS(S18)/ABS(Assumptions!$B$21)),1))*5)+(((Archetypes!$C$11*(IF(S18&lt;0,1+Assumptions!$B$32*MIN(1,ABS(S18)/ABS(Assumptions!$B$21)),MAX(0.1,1-Assumptions!$B$31*(S18/50)))))*W18*Archetypes!$C$15*Archetypes!$C$22)*(Archetypes!$C$13*IF(S18&lt;0,1-Assumptions!$B$33*MIN(1,ABS(S18)/ABS(Assumptions!$B$21)),1))*5*Assumptions!$B$18))*IF(S18&lt;0,Assumptions!$B$9,1)))*$E18</f>
        <v>3492.4942799999999</v>
      </c>
      <c r="AB18" s="21">
        <f>(AB17)+(AA18)-(MAX(0,((AB17)+(AA18)-(AC18)))*(IF(Archetypes!$C$27="",Assumptions!$B$11,Archetypes!$C$27)))</f>
        <v>19522.538388576577</v>
      </c>
      <c r="AC18" s="21">
        <f>Archetypes!$C$36 + (Assumptions!$B$67*(IF($E18=0,0,V18/$E18))*Assumptions!$B$71*(1+Assumptions!$B$68*(Archetypes!$C$14-1))) + (Assumptions!$B$69*Archetypes!$C$34*(IF($E18=0,0,V18/$E18))*Assumptions!$B$72*POWER(Assumptions!$B$70,Archetypes!$C$18-1))</f>
        <v>9108.3600000000024</v>
      </c>
      <c r="AD18" s="21">
        <f t="shared" si="5"/>
        <v>10414.178388576574</v>
      </c>
      <c r="AF18" s="21">
        <f t="shared" si="10"/>
        <v>750.92924662491464</v>
      </c>
      <c r="AG18" s="21">
        <f>MAX(Assumptions!$B$21,AF18+AH18)</f>
        <v>783.80892806948611</v>
      </c>
      <c r="AH18" s="21">
        <f>((AL18*(Assumptions!$B$22+((Assumptions!$B$23-Assumptions!$B$22)*IF(AI18&gt;0,AK18/AI18,0)))*(1+Assumptions!$B$60*(Archetypes!$D$13-1)))+IF(AL18&gt;AI18,AI18*Assumptions!$B$24,0)-IF(IF(AI18&gt;0,AM18/AI18,1)&lt;Assumptions!$B$61,((AM18*(Assumptions!$B$27*(1+Assumptions!$B$28*(Archetypes!$D$14-1))/(1+Assumptions!$B$29*(Archetypes!$D$12-1))))+(((AI18*Archetypes!$D$17*IF(AI18&gt;0,AM18/AI18,1)*Archetypes!$D$31)/100)*Assumptions!$B$30))*Assumptions!$B$62,((AM18*(Assumptions!$B$27*(1+Assumptions!$B$28*(Archetypes!$D$14-1))/(1+Assumptions!$B$29*(Archetypes!$D$12-1))))+(((AI18*Archetypes!$D$17*IF(AI18&gt;0,AM18/AI18,1)*Archetypes!$D$31)/100)*Assumptions!$B$30)))-(Assumptions!$B$25*Assumptions!$B$26*E18))*E18</f>
        <v>32.879681444571439</v>
      </c>
      <c r="AI18" s="21">
        <f>(Archetypes!$D$11*(IF(AF18&lt;0,1+Assumptions!$B$32*MIN(1,ABS(AF18)/ABS(Assumptions!$B$21)),MAX(0.1,1-Assumptions!$B$31*(AF18/50)))))*$E18</f>
        <v>1.8000000000000003</v>
      </c>
      <c r="AJ18" s="26">
        <f>Archetypes!$D$30</f>
        <v>0.10400000000000001</v>
      </c>
      <c r="AK18" s="21">
        <f t="shared" si="6"/>
        <v>0.18720000000000003</v>
      </c>
      <c r="AL18" s="21">
        <f>((AI18-AK18)*Archetypes!$D$15)+(AK18*Archetypes!$D$15*Archetypes!$D$22)</f>
        <v>2.8123200000000006</v>
      </c>
      <c r="AM18" s="21">
        <f>AI18*Archetypes!$D$16</f>
        <v>0.3600000000000001</v>
      </c>
      <c r="AN18" s="21">
        <f>(IF(AF18&lt;0,Assumptions!$B$8,IF(AF18&lt;10,Assumptions!$B$34,IF(AF18&lt;25,Assumptions!$B$35,Assumptions!$B$36))))*((((Archetypes!$D$5*Assumptions!$B$4+Archetypes!$D$6*Assumptions!$B$5)*60))+(Assumptions!$B$6*(((Archetypes!$D$11*(IF(AF18&lt;0,1+Assumptions!$B$32*MIN(1,ABS(AF18)/ABS(Assumptions!$B$21)),MAX(0.1,1-Assumptions!$B$31*(AF18/50)))))-((Archetypes!$D$11*(IF(AF18&lt;0,1+Assumptions!$B$32*MIN(1,ABS(AF18)/ABS(Assumptions!$B$21)),MAX(0.1,1-Assumptions!$B$31*(AF18/50)))))*AJ18)*Archetypes!$D$20)+((Archetypes!$D$11*(IF(AF18&lt;0,1+Assumptions!$B$32*MIN(1,ABS(AF18)/ABS(Assumptions!$B$21)),MAX(0.1,1-Assumptions!$B$31*(AF18/50)))))*AJ18*Archetypes!$D$20*Archetypes!$D$21)*Assumptions!$B$18)*(IF($D18=1,1,Assumptions!$B$7)))+(((((Archetypes!$D$11*(IF(AF18&lt;0,1+Assumptions!$B$32*MIN(1,ABS(AF18)/ABS(Assumptions!$B$21)),MAX(0.1,1-Assumptions!$B$31*(AF18/50)))))-((Archetypes!$D$11*(IF(AF18&lt;0,1+Assumptions!$B$32*MIN(1,ABS(AF18)/ABS(Assumptions!$B$21)),MAX(0.1,1-Assumptions!$B$31*(AF18/50)))))*AJ18)*Archetypes!$D$15)*(Archetypes!$D$13*IF(AF18&lt;0,1-Assumptions!$B$33*MIN(1,ABS(AF18)/ABS(Assumptions!$B$21)),1))*5)+(((Archetypes!$D$11*(IF(AF18&lt;0,1+Assumptions!$B$32*MIN(1,ABS(AF18)/ABS(Assumptions!$B$21)),MAX(0.1,1-Assumptions!$B$31*(AF18/50)))))*AJ18*Archetypes!$D$15*Archetypes!$D$22)*(Archetypes!$D$13*IF(AF18&lt;0,1-Assumptions!$B$33*MIN(1,ABS(AF18)/ABS(Assumptions!$B$21)),1))*5*Assumptions!$B$18))*IF(AF18&lt;0,Assumptions!$B$9,1)))*$E18</f>
        <v>5637.8204999999998</v>
      </c>
      <c r="AO18" s="21">
        <f>(AO17)+(AN18)-(MAX(0,((AO17)+(AN18)-(AP18)))*(IF(Archetypes!$D$27="",Assumptions!$B$11,Archetypes!$D$27)))</f>
        <v>34055.128712075275</v>
      </c>
      <c r="AP18" s="21">
        <f>Archetypes!$D$36 + (Assumptions!$B$67*(IF($E18=0,0,AI18/$E18))*Assumptions!$B$71*(1+Assumptions!$B$68*(Archetypes!$D$14-1))) + (Assumptions!$B$69*Archetypes!$D$34*(IF($E18=0,0,AI18/$E18))*Assumptions!$B$72*POWER(Assumptions!$B$70,Archetypes!$D$18-1))</f>
        <v>20774.800648960005</v>
      </c>
      <c r="AQ18" s="21">
        <f t="shared" si="7"/>
        <v>13280.32806311527</v>
      </c>
    </row>
    <row r="19" spans="1:43" x14ac:dyDescent="0.25">
      <c r="A19" s="20">
        <v>90</v>
      </c>
      <c r="B19" s="20">
        <f t="shared" si="0"/>
        <v>4</v>
      </c>
      <c r="C19" s="20">
        <f t="shared" si="1"/>
        <v>18</v>
      </c>
      <c r="D19" s="6">
        <f>IF(C19&lt;Assumptions!$B$10,1,0)</f>
        <v>0</v>
      </c>
      <c r="E19" s="6">
        <v>6</v>
      </c>
      <c r="F19" s="21">
        <f t="shared" si="8"/>
        <v>-15</v>
      </c>
      <c r="G19" s="21">
        <f>MAX(Assumptions!$B$21,F19+H19)</f>
        <v>-15</v>
      </c>
      <c r="H19" s="21">
        <f>((L19*(Assumptions!$B$22+((Assumptions!$B$23-Assumptions!$B$22)*IF(I19&gt;0,K19/I19,0)))*(1+Assumptions!$B$60*(Archetypes!$B$13-1)))+IF(L19&gt;I19,I19*Assumptions!$B$24,0)-IF(IF(I19&gt;0,M19/I19,1)&lt;Assumptions!$B$61,((M19*(Assumptions!$B$27*(1+Assumptions!$B$28*(Archetypes!$B$14-1))/(1+Assumptions!$B$29*(Archetypes!$B$12-1))))+(((I19*Archetypes!$B$17*IF(I19&gt;0,M19/I19,1)*Archetypes!$B$31)/100)*Assumptions!$B$30))*Assumptions!$B$62,((M19*(Assumptions!$B$27*(1+Assumptions!$B$28*(Archetypes!$B$14-1))/(1+Assumptions!$B$29*(Archetypes!$B$12-1))))+(((I19*Archetypes!$B$17*IF(I19&gt;0,M19/I19,1)*Archetypes!$B$31)/100)*Assumptions!$B$30)))-(Assumptions!$B$25*Assumptions!$B$26*E19))*E19</f>
        <v>-102.17413047272723</v>
      </c>
      <c r="I19" s="21">
        <f>(Archetypes!$B$11*(IF(F19&lt;0,1+Assumptions!$B$32*MIN(1,ABS(F19)/ABS(Assumptions!$B$21)),MAX(0.1,1-Assumptions!$B$31*(F19/50)))))*$E19</f>
        <v>84</v>
      </c>
      <c r="J19" s="26">
        <f>Archetypes!$B$30</f>
        <v>2.1999999999999999E-2</v>
      </c>
      <c r="K19" s="21">
        <f t="shared" si="2"/>
        <v>1.8479999999999999</v>
      </c>
      <c r="L19" s="21">
        <f>((I19-K19)*Archetypes!$B$15)+(K19*Archetypes!$B$15*Archetypes!$B$22)</f>
        <v>8.4369600000000009</v>
      </c>
      <c r="M19" s="21">
        <f>I19*Archetypes!$B$16</f>
        <v>63</v>
      </c>
      <c r="N19" s="21">
        <f>(IF(F19&lt;0,Assumptions!$B$8,IF(F19&lt;10,Assumptions!$B$34,IF(F19&lt;25,Assumptions!$B$35,Assumptions!$B$36))))*((((Archetypes!$B$5*Assumptions!$B$4+Archetypes!$B$6*Assumptions!$B$5)*60))+(Assumptions!$B$6*(((Archetypes!$B$11*(IF(F19&lt;0,1+Assumptions!$B$32*MIN(1,ABS(F19)/ABS(Assumptions!$B$21)),MAX(0.1,1-Assumptions!$B$31*(F19/50)))))-((Archetypes!$B$11*(IF(F19&lt;0,1+Assumptions!$B$32*MIN(1,ABS(F19)/ABS(Assumptions!$B$21)),MAX(0.1,1-Assumptions!$B$31*(F19/50)))))*J19)*Archetypes!$B$20)+((Archetypes!$B$11*(IF(F19&lt;0,1+Assumptions!$B$32*MIN(1,ABS(F19)/ABS(Assumptions!$B$21)),MAX(0.1,1-Assumptions!$B$31*(F19/50)))))*J19*Archetypes!$B$20*Archetypes!$B$21)*Assumptions!$B$18)*(IF($D19=1,1,Assumptions!$B$7)))+(((((Archetypes!$B$11*(IF(F19&lt;0,1+Assumptions!$B$32*MIN(1,ABS(F19)/ABS(Assumptions!$B$21)),MAX(0.1,1-Assumptions!$B$31*(F19/50)))))-((Archetypes!$B$11*(IF(F19&lt;0,1+Assumptions!$B$32*MIN(1,ABS(F19)/ABS(Assumptions!$B$21)),MAX(0.1,1-Assumptions!$B$31*(F19/50)))))*J19)*Archetypes!$B$15)*(Archetypes!$B$13*IF(F19&lt;0,1-Assumptions!$B$33*MIN(1,ABS(F19)/ABS(Assumptions!$B$21)),1))*5)+(((Archetypes!$B$11*(IF(F19&lt;0,1+Assumptions!$B$32*MIN(1,ABS(F19)/ABS(Assumptions!$B$21)),MAX(0.1,1-Assumptions!$B$31*(F19/50)))))*J19*Archetypes!$B$15*Archetypes!$B$22)*(Archetypes!$B$13*IF(F19&lt;0,1-Assumptions!$B$33*MIN(1,ABS(F19)/ABS(Assumptions!$B$21)),1))*5*Assumptions!$B$18))*IF(F19&lt;0,Assumptions!$B$9,1)))*$E19</f>
        <v>2906.8712639999999</v>
      </c>
      <c r="O19" s="21">
        <f>(O18)+(N19)-(MAX(0,((O18)+(N19)-(P19)))*(IF(Archetypes!$B$27="",Assumptions!$B$11,Archetypes!$B$27)))</f>
        <v>14797.126612948337</v>
      </c>
      <c r="P19" s="21">
        <f>Archetypes!$B$36 + (Assumptions!$B$67*(IF($E19=0,0,I19/$E19))*Assumptions!$B$71*(1+Assumptions!$B$68*(Archetypes!$B$14-1))) + (Assumptions!$B$69*Archetypes!$B$34*(IF($E19=0,0,I19/$E19))*Assumptions!$B$72*POWER(Assumptions!$B$70,Archetypes!$B$18-1))</f>
        <v>2668.56</v>
      </c>
      <c r="Q19" s="21">
        <f t="shared" si="3"/>
        <v>12128.566612948338</v>
      </c>
      <c r="S19" s="21">
        <f t="shared" si="9"/>
        <v>301.29906194239999</v>
      </c>
      <c r="T19" s="21">
        <f>MAX(Assumptions!$B$21,S19+U19)</f>
        <v>312.02295347839998</v>
      </c>
      <c r="U19" s="21">
        <f>((Y19*(Assumptions!$B$22+((Assumptions!$B$23-Assumptions!$B$22)*IF(V19&gt;0,X19/V19,0)))*(1+Assumptions!$B$60*(Archetypes!$C$13-1)))+IF(Y19&gt;V19,V19*Assumptions!$B$24,0)-IF(IF(V19&gt;0,Z19/V19,1)&lt;Assumptions!$B$61,((Z19*(Assumptions!$B$27*(1+Assumptions!$B$28*(Archetypes!$C$14-1))/(1+Assumptions!$B$29*(Archetypes!$C$12-1))))+(((V19*Archetypes!$C$17*IF(V19&gt;0,Z19/V19,1)*Archetypes!$C$31)/100)*Assumptions!$B$30))*Assumptions!$B$62,((Z19*(Assumptions!$B$27*(1+Assumptions!$B$28*(Archetypes!$C$14-1))/(1+Assumptions!$B$29*(Archetypes!$C$12-1))))+(((V19*Archetypes!$C$17*IF(V19&gt;0,Z19/V19,1)*Archetypes!$C$31)/100)*Assumptions!$B$30)))-(Assumptions!$B$25*Assumptions!$B$26*E19))*E19</f>
        <v>10.723891536000004</v>
      </c>
      <c r="V19" s="21">
        <f>(Archetypes!$C$11*(IF(S19&lt;0,1+Assumptions!$B$32*MIN(1,ABS(S19)/ABS(Assumptions!$B$21)),MAX(0.1,1-Assumptions!$B$31*(S19/50)))))*$E19</f>
        <v>3.6000000000000005</v>
      </c>
      <c r="W19" s="26">
        <f>Archetypes!$C$30</f>
        <v>3.7999999999999999E-2</v>
      </c>
      <c r="X19" s="21">
        <f t="shared" si="4"/>
        <v>0.1368</v>
      </c>
      <c r="Y19" s="21">
        <f>((V19-X19)*Archetypes!$C$15)+(X19*Archetypes!$C$15*Archetypes!$C$22)</f>
        <v>1.8205200000000004</v>
      </c>
      <c r="Z19" s="21">
        <f>V19*Archetypes!$C$16</f>
        <v>1.6200000000000003</v>
      </c>
      <c r="AA19" s="21">
        <f>(IF(S19&lt;0,Assumptions!$B$8,IF(S19&lt;10,Assumptions!$B$34,IF(S19&lt;25,Assumptions!$B$35,Assumptions!$B$36))))*((((Archetypes!$C$5*Assumptions!$B$4+Archetypes!$C$6*Assumptions!$B$5)*60))+(Assumptions!$B$6*(((Archetypes!$C$11*(IF(S19&lt;0,1+Assumptions!$B$32*MIN(1,ABS(S19)/ABS(Assumptions!$B$21)),MAX(0.1,1-Assumptions!$B$31*(S19/50)))))-((Archetypes!$C$11*(IF(S19&lt;0,1+Assumptions!$B$32*MIN(1,ABS(S19)/ABS(Assumptions!$B$21)),MAX(0.1,1-Assumptions!$B$31*(S19/50)))))*W19)*Archetypes!$C$20)+((Archetypes!$C$11*(IF(S19&lt;0,1+Assumptions!$B$32*MIN(1,ABS(S19)/ABS(Assumptions!$B$21)),MAX(0.1,1-Assumptions!$B$31*(S19/50)))))*W19*Archetypes!$C$20*Archetypes!$C$21)*Assumptions!$B$18)*(IF($D19=1,1,Assumptions!$B$7)))+(((((Archetypes!$C$11*(IF(S19&lt;0,1+Assumptions!$B$32*MIN(1,ABS(S19)/ABS(Assumptions!$B$21)),MAX(0.1,1-Assumptions!$B$31*(S19/50)))))-((Archetypes!$C$11*(IF(S19&lt;0,1+Assumptions!$B$32*MIN(1,ABS(S19)/ABS(Assumptions!$B$21)),MAX(0.1,1-Assumptions!$B$31*(S19/50)))))*W19)*Archetypes!$C$15)*(Archetypes!$C$13*IF(S19&lt;0,1-Assumptions!$B$33*MIN(1,ABS(S19)/ABS(Assumptions!$B$21)),1))*5)+(((Archetypes!$C$11*(IF(S19&lt;0,1+Assumptions!$B$32*MIN(1,ABS(S19)/ABS(Assumptions!$B$21)),MAX(0.1,1-Assumptions!$B$31*(S19/50)))))*W19*Archetypes!$C$15*Archetypes!$C$22)*(Archetypes!$C$13*IF(S19&lt;0,1-Assumptions!$B$33*MIN(1,ABS(S19)/ABS(Assumptions!$B$21)),1))*5*Assumptions!$B$18))*IF(S19&lt;0,Assumptions!$B$9,1)))*$E19</f>
        <v>3492.4942799999999</v>
      </c>
      <c r="AB19" s="21">
        <f>(AB18)+(AA19)-(MAX(0,((AB18)+(AA19)-(AC19)))*(IF(Archetypes!$C$27="",Assumptions!$B$11,Archetypes!$C$27)))</f>
        <v>19538.364501432432</v>
      </c>
      <c r="AC19" s="21">
        <f>Archetypes!$C$36 + (Assumptions!$B$67*(IF($E19=0,0,V19/$E19))*Assumptions!$B$71*(1+Assumptions!$B$68*(Archetypes!$C$14-1))) + (Assumptions!$B$69*Archetypes!$C$34*(IF($E19=0,0,V19/$E19))*Assumptions!$B$72*POWER(Assumptions!$B$70,Archetypes!$C$18-1))</f>
        <v>9108.3600000000024</v>
      </c>
      <c r="AD19" s="21">
        <f t="shared" si="5"/>
        <v>10430.00450143243</v>
      </c>
      <c r="AF19" s="21">
        <f t="shared" si="10"/>
        <v>783.80892806948611</v>
      </c>
      <c r="AG19" s="21">
        <f>MAX(Assumptions!$B$21,AF19+AH19)</f>
        <v>816.68860951405759</v>
      </c>
      <c r="AH19" s="21">
        <f>((AL19*(Assumptions!$B$22+((Assumptions!$B$23-Assumptions!$B$22)*IF(AI19&gt;0,AK19/AI19,0)))*(1+Assumptions!$B$60*(Archetypes!$D$13-1)))+IF(AL19&gt;AI19,AI19*Assumptions!$B$24,0)-IF(IF(AI19&gt;0,AM19/AI19,1)&lt;Assumptions!$B$61,((AM19*(Assumptions!$B$27*(1+Assumptions!$B$28*(Archetypes!$D$14-1))/(1+Assumptions!$B$29*(Archetypes!$D$12-1))))+(((AI19*Archetypes!$D$17*IF(AI19&gt;0,AM19/AI19,1)*Archetypes!$D$31)/100)*Assumptions!$B$30))*Assumptions!$B$62,((AM19*(Assumptions!$B$27*(1+Assumptions!$B$28*(Archetypes!$D$14-1))/(1+Assumptions!$B$29*(Archetypes!$D$12-1))))+(((AI19*Archetypes!$D$17*IF(AI19&gt;0,AM19/AI19,1)*Archetypes!$D$31)/100)*Assumptions!$B$30)))-(Assumptions!$B$25*Assumptions!$B$26*E19))*E19</f>
        <v>32.879681444571439</v>
      </c>
      <c r="AI19" s="21">
        <f>(Archetypes!$D$11*(IF(AF19&lt;0,1+Assumptions!$B$32*MIN(1,ABS(AF19)/ABS(Assumptions!$B$21)),MAX(0.1,1-Assumptions!$B$31*(AF19/50)))))*$E19</f>
        <v>1.8000000000000003</v>
      </c>
      <c r="AJ19" s="26">
        <f>Archetypes!$D$30</f>
        <v>0.10400000000000001</v>
      </c>
      <c r="AK19" s="21">
        <f t="shared" si="6"/>
        <v>0.18720000000000003</v>
      </c>
      <c r="AL19" s="21">
        <f>((AI19-AK19)*Archetypes!$D$15)+(AK19*Archetypes!$D$15*Archetypes!$D$22)</f>
        <v>2.8123200000000006</v>
      </c>
      <c r="AM19" s="21">
        <f>AI19*Archetypes!$D$16</f>
        <v>0.3600000000000001</v>
      </c>
      <c r="AN19" s="21">
        <f>(IF(AF19&lt;0,Assumptions!$B$8,IF(AF19&lt;10,Assumptions!$B$34,IF(AF19&lt;25,Assumptions!$B$35,Assumptions!$B$36))))*((((Archetypes!$D$5*Assumptions!$B$4+Archetypes!$D$6*Assumptions!$B$5)*60))+(Assumptions!$B$6*(((Archetypes!$D$11*(IF(AF19&lt;0,1+Assumptions!$B$32*MIN(1,ABS(AF19)/ABS(Assumptions!$B$21)),MAX(0.1,1-Assumptions!$B$31*(AF19/50)))))-((Archetypes!$D$11*(IF(AF19&lt;0,1+Assumptions!$B$32*MIN(1,ABS(AF19)/ABS(Assumptions!$B$21)),MAX(0.1,1-Assumptions!$B$31*(AF19/50)))))*AJ19)*Archetypes!$D$20)+((Archetypes!$D$11*(IF(AF19&lt;0,1+Assumptions!$B$32*MIN(1,ABS(AF19)/ABS(Assumptions!$B$21)),MAX(0.1,1-Assumptions!$B$31*(AF19/50)))))*AJ19*Archetypes!$D$20*Archetypes!$D$21)*Assumptions!$B$18)*(IF($D19=1,1,Assumptions!$B$7)))+(((((Archetypes!$D$11*(IF(AF19&lt;0,1+Assumptions!$B$32*MIN(1,ABS(AF19)/ABS(Assumptions!$B$21)),MAX(0.1,1-Assumptions!$B$31*(AF19/50)))))-((Archetypes!$D$11*(IF(AF19&lt;0,1+Assumptions!$B$32*MIN(1,ABS(AF19)/ABS(Assumptions!$B$21)),MAX(0.1,1-Assumptions!$B$31*(AF19/50)))))*AJ19)*Archetypes!$D$15)*(Archetypes!$D$13*IF(AF19&lt;0,1-Assumptions!$B$33*MIN(1,ABS(AF19)/ABS(Assumptions!$B$21)),1))*5)+(((Archetypes!$D$11*(IF(AF19&lt;0,1+Assumptions!$B$32*MIN(1,ABS(AF19)/ABS(Assumptions!$B$21)),MAX(0.1,1-Assumptions!$B$31*(AF19/50)))))*AJ19*Archetypes!$D$15*Archetypes!$D$22)*(Archetypes!$D$13*IF(AF19&lt;0,1-Assumptions!$B$33*MIN(1,ABS(AF19)/ABS(Assumptions!$B$21)),1))*5*Assumptions!$B$18))*IF(AF19&lt;0,Assumptions!$B$9,1)))*$E19</f>
        <v>5637.8204999999998</v>
      </c>
      <c r="AO19" s="21">
        <f>(AO18)+(AN19)-(MAX(0,((AO18)+(AN19)-(AP19)))*(IF(Archetypes!$D$27="",Assumptions!$B$11,Archetypes!$D$27)))</f>
        <v>34017.504643140695</v>
      </c>
      <c r="AP19" s="21">
        <f>Archetypes!$D$36 + (Assumptions!$B$67*(IF($E19=0,0,AI19/$E19))*Assumptions!$B$71*(1+Assumptions!$B$68*(Archetypes!$D$14-1))) + (Assumptions!$B$69*Archetypes!$D$34*(IF($E19=0,0,AI19/$E19))*Assumptions!$B$72*POWER(Assumptions!$B$70,Archetypes!$D$18-1))</f>
        <v>20774.800648960005</v>
      </c>
      <c r="AQ19" s="21">
        <f t="shared" si="7"/>
        <v>13242.703994180691</v>
      </c>
    </row>
    <row r="20" spans="1:43" x14ac:dyDescent="0.25">
      <c r="A20" s="20">
        <v>96</v>
      </c>
      <c r="B20" s="20">
        <f t="shared" si="0"/>
        <v>5</v>
      </c>
      <c r="C20" s="20">
        <f t="shared" si="1"/>
        <v>0</v>
      </c>
      <c r="D20" s="6">
        <f>IF(C20&lt;Assumptions!$B$10,1,0)</f>
        <v>1</v>
      </c>
      <c r="E20" s="6">
        <v>6</v>
      </c>
      <c r="F20" s="21">
        <f t="shared" si="8"/>
        <v>-15</v>
      </c>
      <c r="G20" s="21">
        <f>MAX(Assumptions!$B$21,F20+H20)</f>
        <v>-15</v>
      </c>
      <c r="H20" s="21">
        <f>((L20*(Assumptions!$B$22+((Assumptions!$B$23-Assumptions!$B$22)*IF(I20&gt;0,K20/I20,0)))*(1+Assumptions!$B$60*(Archetypes!$B$13-1)))+IF(L20&gt;I20,I20*Assumptions!$B$24,0)-IF(IF(I20&gt;0,M20/I20,1)&lt;Assumptions!$B$61,((M20*(Assumptions!$B$27*(1+Assumptions!$B$28*(Archetypes!$B$14-1))/(1+Assumptions!$B$29*(Archetypes!$B$12-1))))+(((I20*Archetypes!$B$17*IF(I20&gt;0,M20/I20,1)*Archetypes!$B$31)/100)*Assumptions!$B$30))*Assumptions!$B$62,((M20*(Assumptions!$B$27*(1+Assumptions!$B$28*(Archetypes!$B$14-1))/(1+Assumptions!$B$29*(Archetypes!$B$12-1))))+(((I20*Archetypes!$B$17*IF(I20&gt;0,M20/I20,1)*Archetypes!$B$31)/100)*Assumptions!$B$30)))-(Assumptions!$B$25*Assumptions!$B$26*E20))*E20</f>
        <v>-102.17413047272723</v>
      </c>
      <c r="I20" s="21">
        <f>(Archetypes!$B$11*(IF(F20&lt;0,1+Assumptions!$B$32*MIN(1,ABS(F20)/ABS(Assumptions!$B$21)),MAX(0.1,1-Assumptions!$B$31*(F20/50)))))*$E20</f>
        <v>84</v>
      </c>
      <c r="J20" s="26">
        <f>Archetypes!$B$30</f>
        <v>2.1999999999999999E-2</v>
      </c>
      <c r="K20" s="21">
        <f t="shared" si="2"/>
        <v>1.8479999999999999</v>
      </c>
      <c r="L20" s="21">
        <f>((I20-K20)*Archetypes!$B$15)+(K20*Archetypes!$B$15*Archetypes!$B$22)</f>
        <v>8.4369600000000009</v>
      </c>
      <c r="M20" s="21">
        <f>I20*Archetypes!$B$16</f>
        <v>63</v>
      </c>
      <c r="N20" s="21">
        <f>(IF(F20&lt;0,Assumptions!$B$8,IF(F20&lt;10,Assumptions!$B$34,IF(F20&lt;25,Assumptions!$B$35,Assumptions!$B$36))))*((((Archetypes!$B$5*Assumptions!$B$4+Archetypes!$B$6*Assumptions!$B$5)*60))+(Assumptions!$B$6*(((Archetypes!$B$11*(IF(F20&lt;0,1+Assumptions!$B$32*MIN(1,ABS(F20)/ABS(Assumptions!$B$21)),MAX(0.1,1-Assumptions!$B$31*(F20/50)))))-((Archetypes!$B$11*(IF(F20&lt;0,1+Assumptions!$B$32*MIN(1,ABS(F20)/ABS(Assumptions!$B$21)),MAX(0.1,1-Assumptions!$B$31*(F20/50)))))*J20)*Archetypes!$B$20)+((Archetypes!$B$11*(IF(F20&lt;0,1+Assumptions!$B$32*MIN(1,ABS(F20)/ABS(Assumptions!$B$21)),MAX(0.1,1-Assumptions!$B$31*(F20/50)))))*J20*Archetypes!$B$20*Archetypes!$B$21)*Assumptions!$B$18)*(IF($D20=1,1,Assumptions!$B$7)))+(((((Archetypes!$B$11*(IF(F20&lt;0,1+Assumptions!$B$32*MIN(1,ABS(F20)/ABS(Assumptions!$B$21)),MAX(0.1,1-Assumptions!$B$31*(F20/50)))))-((Archetypes!$B$11*(IF(F20&lt;0,1+Assumptions!$B$32*MIN(1,ABS(F20)/ABS(Assumptions!$B$21)),MAX(0.1,1-Assumptions!$B$31*(F20/50)))))*J20)*Archetypes!$B$15)*(Archetypes!$B$13*IF(F20&lt;0,1-Assumptions!$B$33*MIN(1,ABS(F20)/ABS(Assumptions!$B$21)),1))*5)+(((Archetypes!$B$11*(IF(F20&lt;0,1+Assumptions!$B$32*MIN(1,ABS(F20)/ABS(Assumptions!$B$21)),MAX(0.1,1-Assumptions!$B$31*(F20/50)))))*J20*Archetypes!$B$15*Archetypes!$B$22)*(Archetypes!$B$13*IF(F20&lt;0,1-Assumptions!$B$33*MIN(1,ABS(F20)/ABS(Assumptions!$B$21)),1))*5*Assumptions!$B$18))*IF(F20&lt;0,Assumptions!$B$9,1)))*$E20</f>
        <v>4261.2704640000011</v>
      </c>
      <c r="O20" s="21">
        <f>(O19)+(N20)-(MAX(0,((O19)+(N20)-(P20)))*(IF(Archetypes!$B$27="",Assumptions!$B$11,Archetypes!$B$27)))</f>
        <v>15780.429661558672</v>
      </c>
      <c r="P20" s="21">
        <f>Archetypes!$B$36 + (Assumptions!$B$67*(IF($E20=0,0,I20/$E20))*Assumptions!$B$71*(1+Assumptions!$B$68*(Archetypes!$B$14-1))) + (Assumptions!$B$69*Archetypes!$B$34*(IF($E20=0,0,I20/$E20))*Assumptions!$B$72*POWER(Assumptions!$B$70,Archetypes!$B$18-1))</f>
        <v>2668.56</v>
      </c>
      <c r="Q20" s="21">
        <f t="shared" si="3"/>
        <v>13111.869661558672</v>
      </c>
      <c r="S20" s="21">
        <f t="shared" si="9"/>
        <v>312.02295347839998</v>
      </c>
      <c r="T20" s="21">
        <f>MAX(Assumptions!$B$21,S20+U20)</f>
        <v>322.74684501439998</v>
      </c>
      <c r="U20" s="21">
        <f>((Y20*(Assumptions!$B$22+((Assumptions!$B$23-Assumptions!$B$22)*IF(V20&gt;0,X20/V20,0)))*(1+Assumptions!$B$60*(Archetypes!$C$13-1)))+IF(Y20&gt;V20,V20*Assumptions!$B$24,0)-IF(IF(V20&gt;0,Z20/V20,1)&lt;Assumptions!$B$61,((Z20*(Assumptions!$B$27*(1+Assumptions!$B$28*(Archetypes!$C$14-1))/(1+Assumptions!$B$29*(Archetypes!$C$12-1))))+(((V20*Archetypes!$C$17*IF(V20&gt;0,Z20/V20,1)*Archetypes!$C$31)/100)*Assumptions!$B$30))*Assumptions!$B$62,((Z20*(Assumptions!$B$27*(1+Assumptions!$B$28*(Archetypes!$C$14-1))/(1+Assumptions!$B$29*(Archetypes!$C$12-1))))+(((V20*Archetypes!$C$17*IF(V20&gt;0,Z20/V20,1)*Archetypes!$C$31)/100)*Assumptions!$B$30)))-(Assumptions!$B$25*Assumptions!$B$26*E20))*E20</f>
        <v>10.723891536000004</v>
      </c>
      <c r="V20" s="21">
        <f>(Archetypes!$C$11*(IF(S20&lt;0,1+Assumptions!$B$32*MIN(1,ABS(S20)/ABS(Assumptions!$B$21)),MAX(0.1,1-Assumptions!$B$31*(S20/50)))))*$E20</f>
        <v>3.6000000000000005</v>
      </c>
      <c r="W20" s="26">
        <f>Archetypes!$C$30</f>
        <v>3.7999999999999999E-2</v>
      </c>
      <c r="X20" s="21">
        <f t="shared" si="4"/>
        <v>0.1368</v>
      </c>
      <c r="Y20" s="21">
        <f>((V20-X20)*Archetypes!$C$15)+(X20*Archetypes!$C$15*Archetypes!$C$22)</f>
        <v>1.8205200000000004</v>
      </c>
      <c r="Z20" s="21">
        <f>V20*Archetypes!$C$16</f>
        <v>1.6200000000000003</v>
      </c>
      <c r="AA20" s="21">
        <f>(IF(S20&lt;0,Assumptions!$B$8,IF(S20&lt;10,Assumptions!$B$34,IF(S20&lt;25,Assumptions!$B$35,Assumptions!$B$36))))*((((Archetypes!$C$5*Assumptions!$B$4+Archetypes!$C$6*Assumptions!$B$5)*60))+(Assumptions!$B$6*(((Archetypes!$C$11*(IF(S20&lt;0,1+Assumptions!$B$32*MIN(1,ABS(S20)/ABS(Assumptions!$B$21)),MAX(0.1,1-Assumptions!$B$31*(S20/50)))))-((Archetypes!$C$11*(IF(S20&lt;0,1+Assumptions!$B$32*MIN(1,ABS(S20)/ABS(Assumptions!$B$21)),MAX(0.1,1-Assumptions!$B$31*(S20/50)))))*W20)*Archetypes!$C$20)+((Archetypes!$C$11*(IF(S20&lt;0,1+Assumptions!$B$32*MIN(1,ABS(S20)/ABS(Assumptions!$B$21)),MAX(0.1,1-Assumptions!$B$31*(S20/50)))))*W20*Archetypes!$C$20*Archetypes!$C$21)*Assumptions!$B$18)*(IF($D20=1,1,Assumptions!$B$7)))+(((((Archetypes!$C$11*(IF(S20&lt;0,1+Assumptions!$B$32*MIN(1,ABS(S20)/ABS(Assumptions!$B$21)),MAX(0.1,1-Assumptions!$B$31*(S20/50)))))-((Archetypes!$C$11*(IF(S20&lt;0,1+Assumptions!$B$32*MIN(1,ABS(S20)/ABS(Assumptions!$B$21)),MAX(0.1,1-Assumptions!$B$31*(S20/50)))))*W20)*Archetypes!$C$15)*(Archetypes!$C$13*IF(S20&lt;0,1-Assumptions!$B$33*MIN(1,ABS(S20)/ABS(Assumptions!$B$21)),1))*5)+(((Archetypes!$C$11*(IF(S20&lt;0,1+Assumptions!$B$32*MIN(1,ABS(S20)/ABS(Assumptions!$B$21)),MAX(0.1,1-Assumptions!$B$31*(S20/50)))))*W20*Archetypes!$C$15*Archetypes!$C$22)*(Archetypes!$C$13*IF(S20&lt;0,1-Assumptions!$B$33*MIN(1,ABS(S20)/ABS(Assumptions!$B$21)),1))*5*Assumptions!$B$18))*IF(S20&lt;0,Assumptions!$B$9,1)))*$E20</f>
        <v>3697.9335000000001</v>
      </c>
      <c r="AB20" s="21">
        <f>(AB19)+(AA20)-(MAX(0,((AB19)+(AA20)-(AC20)))*(IF(Archetypes!$C$27="",Assumptions!$B$11,Archetypes!$C$27)))</f>
        <v>19704.313501074324</v>
      </c>
      <c r="AC20" s="21">
        <f>Archetypes!$C$36 + (Assumptions!$B$67*(IF($E20=0,0,V20/$E20))*Assumptions!$B$71*(1+Assumptions!$B$68*(Archetypes!$C$14-1))) + (Assumptions!$B$69*Archetypes!$C$34*(IF($E20=0,0,V20/$E20))*Assumptions!$B$72*POWER(Assumptions!$B$70,Archetypes!$C$18-1))</f>
        <v>9108.3600000000024</v>
      </c>
      <c r="AD20" s="21">
        <f t="shared" si="5"/>
        <v>10595.953501074322</v>
      </c>
      <c r="AF20" s="21">
        <f t="shared" si="10"/>
        <v>816.68860951405759</v>
      </c>
      <c r="AG20" s="21">
        <f>MAX(Assumptions!$B$21,AF20+AH20)</f>
        <v>849.56829095862906</v>
      </c>
      <c r="AH20" s="21">
        <f>((AL20*(Assumptions!$B$22+((Assumptions!$B$23-Assumptions!$B$22)*IF(AI20&gt;0,AK20/AI20,0)))*(1+Assumptions!$B$60*(Archetypes!$D$13-1)))+IF(AL20&gt;AI20,AI20*Assumptions!$B$24,0)-IF(IF(AI20&gt;0,AM20/AI20,1)&lt;Assumptions!$B$61,((AM20*(Assumptions!$B$27*(1+Assumptions!$B$28*(Archetypes!$D$14-1))/(1+Assumptions!$B$29*(Archetypes!$D$12-1))))+(((AI20*Archetypes!$D$17*IF(AI20&gt;0,AM20/AI20,1)*Archetypes!$D$31)/100)*Assumptions!$B$30))*Assumptions!$B$62,((AM20*(Assumptions!$B$27*(1+Assumptions!$B$28*(Archetypes!$D$14-1))/(1+Assumptions!$B$29*(Archetypes!$D$12-1))))+(((AI20*Archetypes!$D$17*IF(AI20&gt;0,AM20/AI20,1)*Archetypes!$D$31)/100)*Assumptions!$B$30)))-(Assumptions!$B$25*Assumptions!$B$26*E20))*E20</f>
        <v>32.879681444571439</v>
      </c>
      <c r="AI20" s="21">
        <f>(Archetypes!$D$11*(IF(AF20&lt;0,1+Assumptions!$B$32*MIN(1,ABS(AF20)/ABS(Assumptions!$B$21)),MAX(0.1,1-Assumptions!$B$31*(AF20/50)))))*$E20</f>
        <v>1.8000000000000003</v>
      </c>
      <c r="AJ20" s="26">
        <f>Archetypes!$D$30</f>
        <v>0.10400000000000001</v>
      </c>
      <c r="AK20" s="21">
        <f t="shared" si="6"/>
        <v>0.18720000000000003</v>
      </c>
      <c r="AL20" s="21">
        <f>((AI20-AK20)*Archetypes!$D$15)+(AK20*Archetypes!$D$15*Archetypes!$D$22)</f>
        <v>2.8123200000000006</v>
      </c>
      <c r="AM20" s="21">
        <f>AI20*Archetypes!$D$16</f>
        <v>0.3600000000000001</v>
      </c>
      <c r="AN20" s="21">
        <f>(IF(AF20&lt;0,Assumptions!$B$8,IF(AF20&lt;10,Assumptions!$B$34,IF(AF20&lt;25,Assumptions!$B$35,Assumptions!$B$36))))*((((Archetypes!$D$5*Assumptions!$B$4+Archetypes!$D$6*Assumptions!$B$5)*60))+(Assumptions!$B$6*(((Archetypes!$D$11*(IF(AF20&lt;0,1+Assumptions!$B$32*MIN(1,ABS(AF20)/ABS(Assumptions!$B$21)),MAX(0.1,1-Assumptions!$B$31*(AF20/50)))))-((Archetypes!$D$11*(IF(AF20&lt;0,1+Assumptions!$B$32*MIN(1,ABS(AF20)/ABS(Assumptions!$B$21)),MAX(0.1,1-Assumptions!$B$31*(AF20/50)))))*AJ20)*Archetypes!$D$20)+((Archetypes!$D$11*(IF(AF20&lt;0,1+Assumptions!$B$32*MIN(1,ABS(AF20)/ABS(Assumptions!$B$21)),MAX(0.1,1-Assumptions!$B$31*(AF20/50)))))*AJ20*Archetypes!$D$20*Archetypes!$D$21)*Assumptions!$B$18)*(IF($D20=1,1,Assumptions!$B$7)))+(((((Archetypes!$D$11*(IF(AF20&lt;0,1+Assumptions!$B$32*MIN(1,ABS(AF20)/ABS(Assumptions!$B$21)),MAX(0.1,1-Assumptions!$B$31*(AF20/50)))))-((Archetypes!$D$11*(IF(AF20&lt;0,1+Assumptions!$B$32*MIN(1,ABS(AF20)/ABS(Assumptions!$B$21)),MAX(0.1,1-Assumptions!$B$31*(AF20/50)))))*AJ20)*Archetypes!$D$15)*(Archetypes!$D$13*IF(AF20&lt;0,1-Assumptions!$B$33*MIN(1,ABS(AF20)/ABS(Assumptions!$B$21)),1))*5)+(((Archetypes!$D$11*(IF(AF20&lt;0,1+Assumptions!$B$32*MIN(1,ABS(AF20)/ABS(Assumptions!$B$21)),MAX(0.1,1-Assumptions!$B$31*(AF20/50)))))*AJ20*Archetypes!$D$15*Archetypes!$D$22)*(Archetypes!$D$13*IF(AF20&lt;0,1-Assumptions!$B$33*MIN(1,ABS(AF20)/ABS(Assumptions!$B$21)),1))*5*Assumptions!$B$18))*IF(AF20&lt;0,Assumptions!$B$9,1)))*$E20</f>
        <v>6208.1279999999988</v>
      </c>
      <c r="AO20" s="21">
        <f>(AO19)+(AN20)-(MAX(0,((AO19)+(AN20)-(AP20)))*(IF(Archetypes!$D$27="",Assumptions!$B$11,Archetypes!$D$27)))</f>
        <v>34390.38304488649</v>
      </c>
      <c r="AP20" s="21">
        <f>Archetypes!$D$36 + (Assumptions!$B$67*(IF($E20=0,0,AI20/$E20))*Assumptions!$B$71*(1+Assumptions!$B$68*(Archetypes!$D$14-1))) + (Assumptions!$B$69*Archetypes!$D$34*(IF($E20=0,0,AI20/$E20))*Assumptions!$B$72*POWER(Assumptions!$B$70,Archetypes!$D$18-1))</f>
        <v>20774.800648960005</v>
      </c>
      <c r="AQ20" s="21">
        <f t="shared" si="7"/>
        <v>13615.582395926485</v>
      </c>
    </row>
    <row r="21" spans="1:43" x14ac:dyDescent="0.25">
      <c r="A21" s="20">
        <v>102</v>
      </c>
      <c r="B21" s="20">
        <f t="shared" si="0"/>
        <v>5</v>
      </c>
      <c r="C21" s="20">
        <f t="shared" si="1"/>
        <v>6</v>
      </c>
      <c r="D21" s="6">
        <f>IF(C21&lt;Assumptions!$B$10,1,0)</f>
        <v>0</v>
      </c>
      <c r="E21" s="6">
        <v>6</v>
      </c>
      <c r="F21" s="21">
        <f t="shared" si="8"/>
        <v>-15</v>
      </c>
      <c r="G21" s="21">
        <f>MAX(Assumptions!$B$21,F21+H21)</f>
        <v>-15</v>
      </c>
      <c r="H21" s="21">
        <f>((L21*(Assumptions!$B$22+((Assumptions!$B$23-Assumptions!$B$22)*IF(I21&gt;0,K21/I21,0)))*(1+Assumptions!$B$60*(Archetypes!$B$13-1)))+IF(L21&gt;I21,I21*Assumptions!$B$24,0)-IF(IF(I21&gt;0,M21/I21,1)&lt;Assumptions!$B$61,((M21*(Assumptions!$B$27*(1+Assumptions!$B$28*(Archetypes!$B$14-1))/(1+Assumptions!$B$29*(Archetypes!$B$12-1))))+(((I21*Archetypes!$B$17*IF(I21&gt;0,M21/I21,1)*Archetypes!$B$31)/100)*Assumptions!$B$30))*Assumptions!$B$62,((M21*(Assumptions!$B$27*(1+Assumptions!$B$28*(Archetypes!$B$14-1))/(1+Assumptions!$B$29*(Archetypes!$B$12-1))))+(((I21*Archetypes!$B$17*IF(I21&gt;0,M21/I21,1)*Archetypes!$B$31)/100)*Assumptions!$B$30)))-(Assumptions!$B$25*Assumptions!$B$26*E21))*E21</f>
        <v>-102.17413047272723</v>
      </c>
      <c r="I21" s="21">
        <f>(Archetypes!$B$11*(IF(F21&lt;0,1+Assumptions!$B$32*MIN(1,ABS(F21)/ABS(Assumptions!$B$21)),MAX(0.1,1-Assumptions!$B$31*(F21/50)))))*$E21</f>
        <v>84</v>
      </c>
      <c r="J21" s="26">
        <f>Archetypes!$B$30</f>
        <v>2.1999999999999999E-2</v>
      </c>
      <c r="K21" s="21">
        <f t="shared" si="2"/>
        <v>1.8479999999999999</v>
      </c>
      <c r="L21" s="21">
        <f>((I21-K21)*Archetypes!$B$15)+(K21*Archetypes!$B$15*Archetypes!$B$22)</f>
        <v>8.4369600000000009</v>
      </c>
      <c r="M21" s="21">
        <f>I21*Archetypes!$B$16</f>
        <v>63</v>
      </c>
      <c r="N21" s="21">
        <f>(IF(F21&lt;0,Assumptions!$B$8,IF(F21&lt;10,Assumptions!$B$34,IF(F21&lt;25,Assumptions!$B$35,Assumptions!$B$36))))*((((Archetypes!$B$5*Assumptions!$B$4+Archetypes!$B$6*Assumptions!$B$5)*60))+(Assumptions!$B$6*(((Archetypes!$B$11*(IF(F21&lt;0,1+Assumptions!$B$32*MIN(1,ABS(F21)/ABS(Assumptions!$B$21)),MAX(0.1,1-Assumptions!$B$31*(F21/50)))))-((Archetypes!$B$11*(IF(F21&lt;0,1+Assumptions!$B$32*MIN(1,ABS(F21)/ABS(Assumptions!$B$21)),MAX(0.1,1-Assumptions!$B$31*(F21/50)))))*J21)*Archetypes!$B$20)+((Archetypes!$B$11*(IF(F21&lt;0,1+Assumptions!$B$32*MIN(1,ABS(F21)/ABS(Assumptions!$B$21)),MAX(0.1,1-Assumptions!$B$31*(F21/50)))))*J21*Archetypes!$B$20*Archetypes!$B$21)*Assumptions!$B$18)*(IF($D21=1,1,Assumptions!$B$7)))+(((((Archetypes!$B$11*(IF(F21&lt;0,1+Assumptions!$B$32*MIN(1,ABS(F21)/ABS(Assumptions!$B$21)),MAX(0.1,1-Assumptions!$B$31*(F21/50)))))-((Archetypes!$B$11*(IF(F21&lt;0,1+Assumptions!$B$32*MIN(1,ABS(F21)/ABS(Assumptions!$B$21)),MAX(0.1,1-Assumptions!$B$31*(F21/50)))))*J21)*Archetypes!$B$15)*(Archetypes!$B$13*IF(F21&lt;0,1-Assumptions!$B$33*MIN(1,ABS(F21)/ABS(Assumptions!$B$21)),1))*5)+(((Archetypes!$B$11*(IF(F21&lt;0,1+Assumptions!$B$32*MIN(1,ABS(F21)/ABS(Assumptions!$B$21)),MAX(0.1,1-Assumptions!$B$31*(F21/50)))))*J21*Archetypes!$B$15*Archetypes!$B$22)*(Archetypes!$B$13*IF(F21&lt;0,1-Assumptions!$B$33*MIN(1,ABS(F21)/ABS(Assumptions!$B$21)),1))*5*Assumptions!$B$18))*IF(F21&lt;0,Assumptions!$B$9,1)))*$E21</f>
        <v>2906.8712639999999</v>
      </c>
      <c r="O21" s="21">
        <f>(O20)+(N21)-(MAX(0,((O20)+(N21)-(P21)))*(IF(Archetypes!$B$27="",Assumptions!$B$11,Archetypes!$B$27)))</f>
        <v>15483.552740446938</v>
      </c>
      <c r="P21" s="21">
        <f>Archetypes!$B$36 + (Assumptions!$B$67*(IF($E21=0,0,I21/$E21))*Assumptions!$B$71*(1+Assumptions!$B$68*(Archetypes!$B$14-1))) + (Assumptions!$B$69*Archetypes!$B$34*(IF($E21=0,0,I21/$E21))*Assumptions!$B$72*POWER(Assumptions!$B$70,Archetypes!$B$18-1))</f>
        <v>2668.56</v>
      </c>
      <c r="Q21" s="21">
        <f t="shared" si="3"/>
        <v>12814.992740446938</v>
      </c>
      <c r="S21" s="21">
        <f t="shared" si="9"/>
        <v>322.74684501439998</v>
      </c>
      <c r="T21" s="21">
        <f>MAX(Assumptions!$B$21,S21+U21)</f>
        <v>333.47073655039998</v>
      </c>
      <c r="U21" s="21">
        <f>((Y21*(Assumptions!$B$22+((Assumptions!$B$23-Assumptions!$B$22)*IF(V21&gt;0,X21/V21,0)))*(1+Assumptions!$B$60*(Archetypes!$C$13-1)))+IF(Y21&gt;V21,V21*Assumptions!$B$24,0)-IF(IF(V21&gt;0,Z21/V21,1)&lt;Assumptions!$B$61,((Z21*(Assumptions!$B$27*(1+Assumptions!$B$28*(Archetypes!$C$14-1))/(1+Assumptions!$B$29*(Archetypes!$C$12-1))))+(((V21*Archetypes!$C$17*IF(V21&gt;0,Z21/V21,1)*Archetypes!$C$31)/100)*Assumptions!$B$30))*Assumptions!$B$62,((Z21*(Assumptions!$B$27*(1+Assumptions!$B$28*(Archetypes!$C$14-1))/(1+Assumptions!$B$29*(Archetypes!$C$12-1))))+(((V21*Archetypes!$C$17*IF(V21&gt;0,Z21/V21,1)*Archetypes!$C$31)/100)*Assumptions!$B$30)))-(Assumptions!$B$25*Assumptions!$B$26*E21))*E21</f>
        <v>10.723891536000004</v>
      </c>
      <c r="V21" s="21">
        <f>(Archetypes!$C$11*(IF(S21&lt;0,1+Assumptions!$B$32*MIN(1,ABS(S21)/ABS(Assumptions!$B$21)),MAX(0.1,1-Assumptions!$B$31*(S21/50)))))*$E21</f>
        <v>3.6000000000000005</v>
      </c>
      <c r="W21" s="26">
        <f>Archetypes!$C$30</f>
        <v>3.7999999999999999E-2</v>
      </c>
      <c r="X21" s="21">
        <f t="shared" si="4"/>
        <v>0.1368</v>
      </c>
      <c r="Y21" s="21">
        <f>((V21-X21)*Archetypes!$C$15)+(X21*Archetypes!$C$15*Archetypes!$C$22)</f>
        <v>1.8205200000000004</v>
      </c>
      <c r="Z21" s="21">
        <f>V21*Archetypes!$C$16</f>
        <v>1.6200000000000003</v>
      </c>
      <c r="AA21" s="21">
        <f>(IF(S21&lt;0,Assumptions!$B$8,IF(S21&lt;10,Assumptions!$B$34,IF(S21&lt;25,Assumptions!$B$35,Assumptions!$B$36))))*((((Archetypes!$C$5*Assumptions!$B$4+Archetypes!$C$6*Assumptions!$B$5)*60))+(Assumptions!$B$6*(((Archetypes!$C$11*(IF(S21&lt;0,1+Assumptions!$B$32*MIN(1,ABS(S21)/ABS(Assumptions!$B$21)),MAX(0.1,1-Assumptions!$B$31*(S21/50)))))-((Archetypes!$C$11*(IF(S21&lt;0,1+Assumptions!$B$32*MIN(1,ABS(S21)/ABS(Assumptions!$B$21)),MAX(0.1,1-Assumptions!$B$31*(S21/50)))))*W21)*Archetypes!$C$20)+((Archetypes!$C$11*(IF(S21&lt;0,1+Assumptions!$B$32*MIN(1,ABS(S21)/ABS(Assumptions!$B$21)),MAX(0.1,1-Assumptions!$B$31*(S21/50)))))*W21*Archetypes!$C$20*Archetypes!$C$21)*Assumptions!$B$18)*(IF($D21=1,1,Assumptions!$B$7)))+(((((Archetypes!$C$11*(IF(S21&lt;0,1+Assumptions!$B$32*MIN(1,ABS(S21)/ABS(Assumptions!$B$21)),MAX(0.1,1-Assumptions!$B$31*(S21/50)))))-((Archetypes!$C$11*(IF(S21&lt;0,1+Assumptions!$B$32*MIN(1,ABS(S21)/ABS(Assumptions!$B$21)),MAX(0.1,1-Assumptions!$B$31*(S21/50)))))*W21)*Archetypes!$C$15)*(Archetypes!$C$13*IF(S21&lt;0,1-Assumptions!$B$33*MIN(1,ABS(S21)/ABS(Assumptions!$B$21)),1))*5)+(((Archetypes!$C$11*(IF(S21&lt;0,1+Assumptions!$B$32*MIN(1,ABS(S21)/ABS(Assumptions!$B$21)),MAX(0.1,1-Assumptions!$B$31*(S21/50)))))*W21*Archetypes!$C$15*Archetypes!$C$22)*(Archetypes!$C$13*IF(S21&lt;0,1-Assumptions!$B$33*MIN(1,ABS(S21)/ABS(Assumptions!$B$21)),1))*5*Assumptions!$B$18))*IF(S21&lt;0,Assumptions!$B$9,1)))*$E21</f>
        <v>3492.4942799999999</v>
      </c>
      <c r="AB21" s="21">
        <f>(AB20)+(AA21)-(MAX(0,((AB20)+(AA21)-(AC21)))*(IF(Archetypes!$C$27="",Assumptions!$B$11,Archetypes!$C$27)))</f>
        <v>19674.695835805742</v>
      </c>
      <c r="AC21" s="21">
        <f>Archetypes!$C$36 + (Assumptions!$B$67*(IF($E21=0,0,V21/$E21))*Assumptions!$B$71*(1+Assumptions!$B$68*(Archetypes!$C$14-1))) + (Assumptions!$B$69*Archetypes!$C$34*(IF($E21=0,0,V21/$E21))*Assumptions!$B$72*POWER(Assumptions!$B$70,Archetypes!$C$18-1))</f>
        <v>9108.3600000000024</v>
      </c>
      <c r="AD21" s="21">
        <f t="shared" si="5"/>
        <v>10566.335835805739</v>
      </c>
      <c r="AF21" s="21">
        <f t="shared" si="10"/>
        <v>849.56829095862906</v>
      </c>
      <c r="AG21" s="21">
        <f>MAX(Assumptions!$B$21,AF21+AH21)</f>
        <v>882.44797240320054</v>
      </c>
      <c r="AH21" s="21">
        <f>((AL21*(Assumptions!$B$22+((Assumptions!$B$23-Assumptions!$B$22)*IF(AI21&gt;0,AK21/AI21,0)))*(1+Assumptions!$B$60*(Archetypes!$D$13-1)))+IF(AL21&gt;AI21,AI21*Assumptions!$B$24,0)-IF(IF(AI21&gt;0,AM21/AI21,1)&lt;Assumptions!$B$61,((AM21*(Assumptions!$B$27*(1+Assumptions!$B$28*(Archetypes!$D$14-1))/(1+Assumptions!$B$29*(Archetypes!$D$12-1))))+(((AI21*Archetypes!$D$17*IF(AI21&gt;0,AM21/AI21,1)*Archetypes!$D$31)/100)*Assumptions!$B$30))*Assumptions!$B$62,((AM21*(Assumptions!$B$27*(1+Assumptions!$B$28*(Archetypes!$D$14-1))/(1+Assumptions!$B$29*(Archetypes!$D$12-1))))+(((AI21*Archetypes!$D$17*IF(AI21&gt;0,AM21/AI21,1)*Archetypes!$D$31)/100)*Assumptions!$B$30)))-(Assumptions!$B$25*Assumptions!$B$26*E21))*E21</f>
        <v>32.879681444571439</v>
      </c>
      <c r="AI21" s="21">
        <f>(Archetypes!$D$11*(IF(AF21&lt;0,1+Assumptions!$B$32*MIN(1,ABS(AF21)/ABS(Assumptions!$B$21)),MAX(0.1,1-Assumptions!$B$31*(AF21/50)))))*$E21</f>
        <v>1.8000000000000003</v>
      </c>
      <c r="AJ21" s="26">
        <f>Archetypes!$D$30</f>
        <v>0.10400000000000001</v>
      </c>
      <c r="AK21" s="21">
        <f t="shared" si="6"/>
        <v>0.18720000000000003</v>
      </c>
      <c r="AL21" s="21">
        <f>((AI21-AK21)*Archetypes!$D$15)+(AK21*Archetypes!$D$15*Archetypes!$D$22)</f>
        <v>2.8123200000000006</v>
      </c>
      <c r="AM21" s="21">
        <f>AI21*Archetypes!$D$16</f>
        <v>0.3600000000000001</v>
      </c>
      <c r="AN21" s="21">
        <f>(IF(AF21&lt;0,Assumptions!$B$8,IF(AF21&lt;10,Assumptions!$B$34,IF(AF21&lt;25,Assumptions!$B$35,Assumptions!$B$36))))*((((Archetypes!$D$5*Assumptions!$B$4+Archetypes!$D$6*Assumptions!$B$5)*60))+(Assumptions!$B$6*(((Archetypes!$D$11*(IF(AF21&lt;0,1+Assumptions!$B$32*MIN(1,ABS(AF21)/ABS(Assumptions!$B$21)),MAX(0.1,1-Assumptions!$B$31*(AF21/50)))))-((Archetypes!$D$11*(IF(AF21&lt;0,1+Assumptions!$B$32*MIN(1,ABS(AF21)/ABS(Assumptions!$B$21)),MAX(0.1,1-Assumptions!$B$31*(AF21/50)))))*AJ21)*Archetypes!$D$20)+((Archetypes!$D$11*(IF(AF21&lt;0,1+Assumptions!$B$32*MIN(1,ABS(AF21)/ABS(Assumptions!$B$21)),MAX(0.1,1-Assumptions!$B$31*(AF21/50)))))*AJ21*Archetypes!$D$20*Archetypes!$D$21)*Assumptions!$B$18)*(IF($D21=1,1,Assumptions!$B$7)))+(((((Archetypes!$D$11*(IF(AF21&lt;0,1+Assumptions!$B$32*MIN(1,ABS(AF21)/ABS(Assumptions!$B$21)),MAX(0.1,1-Assumptions!$B$31*(AF21/50)))))-((Archetypes!$D$11*(IF(AF21&lt;0,1+Assumptions!$B$32*MIN(1,ABS(AF21)/ABS(Assumptions!$B$21)),MAX(0.1,1-Assumptions!$B$31*(AF21/50)))))*AJ21)*Archetypes!$D$15)*(Archetypes!$D$13*IF(AF21&lt;0,1-Assumptions!$B$33*MIN(1,ABS(AF21)/ABS(Assumptions!$B$21)),1))*5)+(((Archetypes!$D$11*(IF(AF21&lt;0,1+Assumptions!$B$32*MIN(1,ABS(AF21)/ABS(Assumptions!$B$21)),MAX(0.1,1-Assumptions!$B$31*(AF21/50)))))*AJ21*Archetypes!$D$15*Archetypes!$D$22)*(Archetypes!$D$13*IF(AF21&lt;0,1-Assumptions!$B$33*MIN(1,ABS(AF21)/ABS(Assumptions!$B$21)),1))*5*Assumptions!$B$18))*IF(AF21&lt;0,Assumptions!$B$9,1)))*$E21</f>
        <v>5637.8204999999998</v>
      </c>
      <c r="AO21" s="21">
        <f>(AO20)+(AN21)-(MAX(0,((AO20)+(AN21)-(AP21)))*(IF(Archetypes!$D$27="",Assumptions!$B$11,Archetypes!$D$27)))</f>
        <v>34252.182676108547</v>
      </c>
      <c r="AP21" s="21">
        <f>Archetypes!$D$36 + (Assumptions!$B$67*(IF($E21=0,0,AI21/$E21))*Assumptions!$B$71*(1+Assumptions!$B$68*(Archetypes!$D$14-1))) + (Assumptions!$B$69*Archetypes!$D$34*(IF($E21=0,0,AI21/$E21))*Assumptions!$B$72*POWER(Assumptions!$B$70,Archetypes!$D$18-1))</f>
        <v>20774.800648960005</v>
      </c>
      <c r="AQ21" s="21">
        <f t="shared" si="7"/>
        <v>13477.382027148542</v>
      </c>
    </row>
    <row r="22" spans="1:43" x14ac:dyDescent="0.25">
      <c r="A22" s="20">
        <v>108</v>
      </c>
      <c r="B22" s="20">
        <f t="shared" si="0"/>
        <v>5</v>
      </c>
      <c r="C22" s="20">
        <f t="shared" si="1"/>
        <v>12</v>
      </c>
      <c r="D22" s="6">
        <f>IF(C22&lt;Assumptions!$B$10,1,0)</f>
        <v>0</v>
      </c>
      <c r="E22" s="6">
        <v>6</v>
      </c>
      <c r="F22" s="21">
        <f t="shared" si="8"/>
        <v>-15</v>
      </c>
      <c r="G22" s="21">
        <f>MAX(Assumptions!$B$21,F22+H22)</f>
        <v>-15</v>
      </c>
      <c r="H22" s="21">
        <f>((L22*(Assumptions!$B$22+((Assumptions!$B$23-Assumptions!$B$22)*IF(I22&gt;0,K22/I22,0)))*(1+Assumptions!$B$60*(Archetypes!$B$13-1)))+IF(L22&gt;I22,I22*Assumptions!$B$24,0)-IF(IF(I22&gt;0,M22/I22,1)&lt;Assumptions!$B$61,((M22*(Assumptions!$B$27*(1+Assumptions!$B$28*(Archetypes!$B$14-1))/(1+Assumptions!$B$29*(Archetypes!$B$12-1))))+(((I22*Archetypes!$B$17*IF(I22&gt;0,M22/I22,1)*Archetypes!$B$31)/100)*Assumptions!$B$30))*Assumptions!$B$62,((M22*(Assumptions!$B$27*(1+Assumptions!$B$28*(Archetypes!$B$14-1))/(1+Assumptions!$B$29*(Archetypes!$B$12-1))))+(((I22*Archetypes!$B$17*IF(I22&gt;0,M22/I22,1)*Archetypes!$B$31)/100)*Assumptions!$B$30)))-(Assumptions!$B$25*Assumptions!$B$26*E22))*E22</f>
        <v>-102.17413047272723</v>
      </c>
      <c r="I22" s="21">
        <f>(Archetypes!$B$11*(IF(F22&lt;0,1+Assumptions!$B$32*MIN(1,ABS(F22)/ABS(Assumptions!$B$21)),MAX(0.1,1-Assumptions!$B$31*(F22/50)))))*$E22</f>
        <v>84</v>
      </c>
      <c r="J22" s="26">
        <f>Archetypes!$B$30</f>
        <v>2.1999999999999999E-2</v>
      </c>
      <c r="K22" s="21">
        <f t="shared" si="2"/>
        <v>1.8479999999999999</v>
      </c>
      <c r="L22" s="21">
        <f>((I22-K22)*Archetypes!$B$15)+(K22*Archetypes!$B$15*Archetypes!$B$22)</f>
        <v>8.4369600000000009</v>
      </c>
      <c r="M22" s="21">
        <f>I22*Archetypes!$B$16</f>
        <v>63</v>
      </c>
      <c r="N22" s="21">
        <f>(IF(F22&lt;0,Assumptions!$B$8,IF(F22&lt;10,Assumptions!$B$34,IF(F22&lt;25,Assumptions!$B$35,Assumptions!$B$36))))*((((Archetypes!$B$5*Assumptions!$B$4+Archetypes!$B$6*Assumptions!$B$5)*60))+(Assumptions!$B$6*(((Archetypes!$B$11*(IF(F22&lt;0,1+Assumptions!$B$32*MIN(1,ABS(F22)/ABS(Assumptions!$B$21)),MAX(0.1,1-Assumptions!$B$31*(F22/50)))))-((Archetypes!$B$11*(IF(F22&lt;0,1+Assumptions!$B$32*MIN(1,ABS(F22)/ABS(Assumptions!$B$21)),MAX(0.1,1-Assumptions!$B$31*(F22/50)))))*J22)*Archetypes!$B$20)+((Archetypes!$B$11*(IF(F22&lt;0,1+Assumptions!$B$32*MIN(1,ABS(F22)/ABS(Assumptions!$B$21)),MAX(0.1,1-Assumptions!$B$31*(F22/50)))))*J22*Archetypes!$B$20*Archetypes!$B$21)*Assumptions!$B$18)*(IF($D22=1,1,Assumptions!$B$7)))+(((((Archetypes!$B$11*(IF(F22&lt;0,1+Assumptions!$B$32*MIN(1,ABS(F22)/ABS(Assumptions!$B$21)),MAX(0.1,1-Assumptions!$B$31*(F22/50)))))-((Archetypes!$B$11*(IF(F22&lt;0,1+Assumptions!$B$32*MIN(1,ABS(F22)/ABS(Assumptions!$B$21)),MAX(0.1,1-Assumptions!$B$31*(F22/50)))))*J22)*Archetypes!$B$15)*(Archetypes!$B$13*IF(F22&lt;0,1-Assumptions!$B$33*MIN(1,ABS(F22)/ABS(Assumptions!$B$21)),1))*5)+(((Archetypes!$B$11*(IF(F22&lt;0,1+Assumptions!$B$32*MIN(1,ABS(F22)/ABS(Assumptions!$B$21)),MAX(0.1,1-Assumptions!$B$31*(F22/50)))))*J22*Archetypes!$B$15*Archetypes!$B$22)*(Archetypes!$B$13*IF(F22&lt;0,1-Assumptions!$B$33*MIN(1,ABS(F22)/ABS(Assumptions!$B$21)),1))*5*Assumptions!$B$18))*IF(F22&lt;0,Assumptions!$B$9,1)))*$E22</f>
        <v>2906.8712639999999</v>
      </c>
      <c r="O22" s="21">
        <f>(O21)+(N22)-(MAX(0,((O21)+(N22)-(P22)))*(IF(Archetypes!$B$27="",Assumptions!$B$11,Archetypes!$B$27)))</f>
        <v>15246.051203557548</v>
      </c>
      <c r="P22" s="21">
        <f>Archetypes!$B$36 + (Assumptions!$B$67*(IF($E22=0,0,I22/$E22))*Assumptions!$B$71*(1+Assumptions!$B$68*(Archetypes!$B$14-1))) + (Assumptions!$B$69*Archetypes!$B$34*(IF($E22=0,0,I22/$E22))*Assumptions!$B$72*POWER(Assumptions!$B$70,Archetypes!$B$18-1))</f>
        <v>2668.56</v>
      </c>
      <c r="Q22" s="21">
        <f t="shared" si="3"/>
        <v>12577.491203557549</v>
      </c>
      <c r="S22" s="21">
        <f t="shared" si="9"/>
        <v>333.47073655039998</v>
      </c>
      <c r="T22" s="21">
        <f>MAX(Assumptions!$B$21,S22+U22)</f>
        <v>344.19462808639997</v>
      </c>
      <c r="U22" s="21">
        <f>((Y22*(Assumptions!$B$22+((Assumptions!$B$23-Assumptions!$B$22)*IF(V22&gt;0,X22/V22,0)))*(1+Assumptions!$B$60*(Archetypes!$C$13-1)))+IF(Y22&gt;V22,V22*Assumptions!$B$24,0)-IF(IF(V22&gt;0,Z22/V22,1)&lt;Assumptions!$B$61,((Z22*(Assumptions!$B$27*(1+Assumptions!$B$28*(Archetypes!$C$14-1))/(1+Assumptions!$B$29*(Archetypes!$C$12-1))))+(((V22*Archetypes!$C$17*IF(V22&gt;0,Z22/V22,1)*Archetypes!$C$31)/100)*Assumptions!$B$30))*Assumptions!$B$62,((Z22*(Assumptions!$B$27*(1+Assumptions!$B$28*(Archetypes!$C$14-1))/(1+Assumptions!$B$29*(Archetypes!$C$12-1))))+(((V22*Archetypes!$C$17*IF(V22&gt;0,Z22/V22,1)*Archetypes!$C$31)/100)*Assumptions!$B$30)))-(Assumptions!$B$25*Assumptions!$B$26*E22))*E22</f>
        <v>10.723891536000004</v>
      </c>
      <c r="V22" s="21">
        <f>(Archetypes!$C$11*(IF(S22&lt;0,1+Assumptions!$B$32*MIN(1,ABS(S22)/ABS(Assumptions!$B$21)),MAX(0.1,1-Assumptions!$B$31*(S22/50)))))*$E22</f>
        <v>3.6000000000000005</v>
      </c>
      <c r="W22" s="26">
        <f>Archetypes!$C$30</f>
        <v>3.7999999999999999E-2</v>
      </c>
      <c r="X22" s="21">
        <f t="shared" si="4"/>
        <v>0.1368</v>
      </c>
      <c r="Y22" s="21">
        <f>((V22-X22)*Archetypes!$C$15)+(X22*Archetypes!$C$15*Archetypes!$C$22)</f>
        <v>1.8205200000000004</v>
      </c>
      <c r="Z22" s="21">
        <f>V22*Archetypes!$C$16</f>
        <v>1.6200000000000003</v>
      </c>
      <c r="AA22" s="21">
        <f>(IF(S22&lt;0,Assumptions!$B$8,IF(S22&lt;10,Assumptions!$B$34,IF(S22&lt;25,Assumptions!$B$35,Assumptions!$B$36))))*((((Archetypes!$C$5*Assumptions!$B$4+Archetypes!$C$6*Assumptions!$B$5)*60))+(Assumptions!$B$6*(((Archetypes!$C$11*(IF(S22&lt;0,1+Assumptions!$B$32*MIN(1,ABS(S22)/ABS(Assumptions!$B$21)),MAX(0.1,1-Assumptions!$B$31*(S22/50)))))-((Archetypes!$C$11*(IF(S22&lt;0,1+Assumptions!$B$32*MIN(1,ABS(S22)/ABS(Assumptions!$B$21)),MAX(0.1,1-Assumptions!$B$31*(S22/50)))))*W22)*Archetypes!$C$20)+((Archetypes!$C$11*(IF(S22&lt;0,1+Assumptions!$B$32*MIN(1,ABS(S22)/ABS(Assumptions!$B$21)),MAX(0.1,1-Assumptions!$B$31*(S22/50)))))*W22*Archetypes!$C$20*Archetypes!$C$21)*Assumptions!$B$18)*(IF($D22=1,1,Assumptions!$B$7)))+(((((Archetypes!$C$11*(IF(S22&lt;0,1+Assumptions!$B$32*MIN(1,ABS(S22)/ABS(Assumptions!$B$21)),MAX(0.1,1-Assumptions!$B$31*(S22/50)))))-((Archetypes!$C$11*(IF(S22&lt;0,1+Assumptions!$B$32*MIN(1,ABS(S22)/ABS(Assumptions!$B$21)),MAX(0.1,1-Assumptions!$B$31*(S22/50)))))*W22)*Archetypes!$C$15)*(Archetypes!$C$13*IF(S22&lt;0,1-Assumptions!$B$33*MIN(1,ABS(S22)/ABS(Assumptions!$B$21)),1))*5)+(((Archetypes!$C$11*(IF(S22&lt;0,1+Assumptions!$B$32*MIN(1,ABS(S22)/ABS(Assumptions!$B$21)),MAX(0.1,1-Assumptions!$B$31*(S22/50)))))*W22*Archetypes!$C$15*Archetypes!$C$22)*(Archetypes!$C$13*IF(S22&lt;0,1-Assumptions!$B$33*MIN(1,ABS(S22)/ABS(Assumptions!$B$21)),1))*5*Assumptions!$B$18))*IF(S22&lt;0,Assumptions!$B$9,1)))*$E22</f>
        <v>3492.4942799999999</v>
      </c>
      <c r="AB22" s="21">
        <f>(AB21)+(AA22)-(MAX(0,((AB21)+(AA22)-(AC22)))*(IF(Archetypes!$C$27="",Assumptions!$B$11,Archetypes!$C$27)))</f>
        <v>19652.482586854305</v>
      </c>
      <c r="AC22" s="21">
        <f>Archetypes!$C$36 + (Assumptions!$B$67*(IF($E22=0,0,V22/$E22))*Assumptions!$B$71*(1+Assumptions!$B$68*(Archetypes!$C$14-1))) + (Assumptions!$B$69*Archetypes!$C$34*(IF($E22=0,0,V22/$E22))*Assumptions!$B$72*POWER(Assumptions!$B$70,Archetypes!$C$18-1))</f>
        <v>9108.3600000000024</v>
      </c>
      <c r="AD22" s="21">
        <f t="shared" si="5"/>
        <v>10544.122586854302</v>
      </c>
      <c r="AF22" s="21">
        <f t="shared" si="10"/>
        <v>882.44797240320054</v>
      </c>
      <c r="AG22" s="21">
        <f>MAX(Assumptions!$B$21,AF22+AH22)</f>
        <v>915.32765384777201</v>
      </c>
      <c r="AH22" s="21">
        <f>((AL22*(Assumptions!$B$22+((Assumptions!$B$23-Assumptions!$B$22)*IF(AI22&gt;0,AK22/AI22,0)))*(1+Assumptions!$B$60*(Archetypes!$D$13-1)))+IF(AL22&gt;AI22,AI22*Assumptions!$B$24,0)-IF(IF(AI22&gt;0,AM22/AI22,1)&lt;Assumptions!$B$61,((AM22*(Assumptions!$B$27*(1+Assumptions!$B$28*(Archetypes!$D$14-1))/(1+Assumptions!$B$29*(Archetypes!$D$12-1))))+(((AI22*Archetypes!$D$17*IF(AI22&gt;0,AM22/AI22,1)*Archetypes!$D$31)/100)*Assumptions!$B$30))*Assumptions!$B$62,((AM22*(Assumptions!$B$27*(1+Assumptions!$B$28*(Archetypes!$D$14-1))/(1+Assumptions!$B$29*(Archetypes!$D$12-1))))+(((AI22*Archetypes!$D$17*IF(AI22&gt;0,AM22/AI22,1)*Archetypes!$D$31)/100)*Assumptions!$B$30)))-(Assumptions!$B$25*Assumptions!$B$26*E22))*E22</f>
        <v>32.879681444571439</v>
      </c>
      <c r="AI22" s="21">
        <f>(Archetypes!$D$11*(IF(AF22&lt;0,1+Assumptions!$B$32*MIN(1,ABS(AF22)/ABS(Assumptions!$B$21)),MAX(0.1,1-Assumptions!$B$31*(AF22/50)))))*$E22</f>
        <v>1.8000000000000003</v>
      </c>
      <c r="AJ22" s="26">
        <f>Archetypes!$D$30</f>
        <v>0.10400000000000001</v>
      </c>
      <c r="AK22" s="21">
        <f t="shared" si="6"/>
        <v>0.18720000000000003</v>
      </c>
      <c r="AL22" s="21">
        <f>((AI22-AK22)*Archetypes!$D$15)+(AK22*Archetypes!$D$15*Archetypes!$D$22)</f>
        <v>2.8123200000000006</v>
      </c>
      <c r="AM22" s="21">
        <f>AI22*Archetypes!$D$16</f>
        <v>0.3600000000000001</v>
      </c>
      <c r="AN22" s="21">
        <f>(IF(AF22&lt;0,Assumptions!$B$8,IF(AF22&lt;10,Assumptions!$B$34,IF(AF22&lt;25,Assumptions!$B$35,Assumptions!$B$36))))*((((Archetypes!$D$5*Assumptions!$B$4+Archetypes!$D$6*Assumptions!$B$5)*60))+(Assumptions!$B$6*(((Archetypes!$D$11*(IF(AF22&lt;0,1+Assumptions!$B$32*MIN(1,ABS(AF22)/ABS(Assumptions!$B$21)),MAX(0.1,1-Assumptions!$B$31*(AF22/50)))))-((Archetypes!$D$11*(IF(AF22&lt;0,1+Assumptions!$B$32*MIN(1,ABS(AF22)/ABS(Assumptions!$B$21)),MAX(0.1,1-Assumptions!$B$31*(AF22/50)))))*AJ22)*Archetypes!$D$20)+((Archetypes!$D$11*(IF(AF22&lt;0,1+Assumptions!$B$32*MIN(1,ABS(AF22)/ABS(Assumptions!$B$21)),MAX(0.1,1-Assumptions!$B$31*(AF22/50)))))*AJ22*Archetypes!$D$20*Archetypes!$D$21)*Assumptions!$B$18)*(IF($D22=1,1,Assumptions!$B$7)))+(((((Archetypes!$D$11*(IF(AF22&lt;0,1+Assumptions!$B$32*MIN(1,ABS(AF22)/ABS(Assumptions!$B$21)),MAX(0.1,1-Assumptions!$B$31*(AF22/50)))))-((Archetypes!$D$11*(IF(AF22&lt;0,1+Assumptions!$B$32*MIN(1,ABS(AF22)/ABS(Assumptions!$B$21)),MAX(0.1,1-Assumptions!$B$31*(AF22/50)))))*AJ22)*Archetypes!$D$15)*(Archetypes!$D$13*IF(AF22&lt;0,1-Assumptions!$B$33*MIN(1,ABS(AF22)/ABS(Assumptions!$B$21)),1))*5)+(((Archetypes!$D$11*(IF(AF22&lt;0,1+Assumptions!$B$32*MIN(1,ABS(AF22)/ABS(Assumptions!$B$21)),MAX(0.1,1-Assumptions!$B$31*(AF22/50)))))*AJ22*Archetypes!$D$15*Archetypes!$D$22)*(Archetypes!$D$13*IF(AF22&lt;0,1-Assumptions!$B$33*MIN(1,ABS(AF22)/ABS(Assumptions!$B$21)),1))*5*Assumptions!$B$18))*IF(AF22&lt;0,Assumptions!$B$9,1)))*$E22</f>
        <v>5637.8204999999998</v>
      </c>
      <c r="AO22" s="21">
        <f>(AO21)+(AN22)-(MAX(0,((AO21)+(AN22)-(AP22)))*(IF(Archetypes!$D$27="",Assumptions!$B$11,Archetypes!$D$27)))</f>
        <v>34155.442417963983</v>
      </c>
      <c r="AP22" s="21">
        <f>Archetypes!$D$36 + (Assumptions!$B$67*(IF($E22=0,0,AI22/$E22))*Assumptions!$B$71*(1+Assumptions!$B$68*(Archetypes!$D$14-1))) + (Assumptions!$B$69*Archetypes!$D$34*(IF($E22=0,0,AI22/$E22))*Assumptions!$B$72*POWER(Assumptions!$B$70,Archetypes!$D$18-1))</f>
        <v>20774.800648960005</v>
      </c>
      <c r="AQ22" s="21">
        <f t="shared" si="7"/>
        <v>13380.641769003978</v>
      </c>
    </row>
    <row r="23" spans="1:43" x14ac:dyDescent="0.25">
      <c r="A23" s="20">
        <v>114</v>
      </c>
      <c r="B23" s="20">
        <f t="shared" si="0"/>
        <v>5</v>
      </c>
      <c r="C23" s="20">
        <f t="shared" si="1"/>
        <v>18</v>
      </c>
      <c r="D23" s="6">
        <f>IF(C23&lt;Assumptions!$B$10,1,0)</f>
        <v>0</v>
      </c>
      <c r="E23" s="6">
        <v>6</v>
      </c>
      <c r="F23" s="21">
        <f t="shared" si="8"/>
        <v>-15</v>
      </c>
      <c r="G23" s="21">
        <f>MAX(Assumptions!$B$21,F23+H23)</f>
        <v>-15</v>
      </c>
      <c r="H23" s="21">
        <f>((L23*(Assumptions!$B$22+((Assumptions!$B$23-Assumptions!$B$22)*IF(I23&gt;0,K23/I23,0)))*(1+Assumptions!$B$60*(Archetypes!$B$13-1)))+IF(L23&gt;I23,I23*Assumptions!$B$24,0)-IF(IF(I23&gt;0,M23/I23,1)&lt;Assumptions!$B$61,((M23*(Assumptions!$B$27*(1+Assumptions!$B$28*(Archetypes!$B$14-1))/(1+Assumptions!$B$29*(Archetypes!$B$12-1))))+(((I23*Archetypes!$B$17*IF(I23&gt;0,M23/I23,1)*Archetypes!$B$31)/100)*Assumptions!$B$30))*Assumptions!$B$62,((M23*(Assumptions!$B$27*(1+Assumptions!$B$28*(Archetypes!$B$14-1))/(1+Assumptions!$B$29*(Archetypes!$B$12-1))))+(((I23*Archetypes!$B$17*IF(I23&gt;0,M23/I23,1)*Archetypes!$B$31)/100)*Assumptions!$B$30)))-(Assumptions!$B$25*Assumptions!$B$26*E23))*E23</f>
        <v>-102.17413047272723</v>
      </c>
      <c r="I23" s="21">
        <f>(Archetypes!$B$11*(IF(F23&lt;0,1+Assumptions!$B$32*MIN(1,ABS(F23)/ABS(Assumptions!$B$21)),MAX(0.1,1-Assumptions!$B$31*(F23/50)))))*$E23</f>
        <v>84</v>
      </c>
      <c r="J23" s="26">
        <f>Archetypes!$B$30</f>
        <v>2.1999999999999999E-2</v>
      </c>
      <c r="K23" s="21">
        <f t="shared" si="2"/>
        <v>1.8479999999999999</v>
      </c>
      <c r="L23" s="21">
        <f>((I23-K23)*Archetypes!$B$15)+(K23*Archetypes!$B$15*Archetypes!$B$22)</f>
        <v>8.4369600000000009</v>
      </c>
      <c r="M23" s="21">
        <f>I23*Archetypes!$B$16</f>
        <v>63</v>
      </c>
      <c r="N23" s="21">
        <f>(IF(F23&lt;0,Assumptions!$B$8,IF(F23&lt;10,Assumptions!$B$34,IF(F23&lt;25,Assumptions!$B$35,Assumptions!$B$36))))*((((Archetypes!$B$5*Assumptions!$B$4+Archetypes!$B$6*Assumptions!$B$5)*60))+(Assumptions!$B$6*(((Archetypes!$B$11*(IF(F23&lt;0,1+Assumptions!$B$32*MIN(1,ABS(F23)/ABS(Assumptions!$B$21)),MAX(0.1,1-Assumptions!$B$31*(F23/50)))))-((Archetypes!$B$11*(IF(F23&lt;0,1+Assumptions!$B$32*MIN(1,ABS(F23)/ABS(Assumptions!$B$21)),MAX(0.1,1-Assumptions!$B$31*(F23/50)))))*J23)*Archetypes!$B$20)+((Archetypes!$B$11*(IF(F23&lt;0,1+Assumptions!$B$32*MIN(1,ABS(F23)/ABS(Assumptions!$B$21)),MAX(0.1,1-Assumptions!$B$31*(F23/50)))))*J23*Archetypes!$B$20*Archetypes!$B$21)*Assumptions!$B$18)*(IF($D23=1,1,Assumptions!$B$7)))+(((((Archetypes!$B$11*(IF(F23&lt;0,1+Assumptions!$B$32*MIN(1,ABS(F23)/ABS(Assumptions!$B$21)),MAX(0.1,1-Assumptions!$B$31*(F23/50)))))-((Archetypes!$B$11*(IF(F23&lt;0,1+Assumptions!$B$32*MIN(1,ABS(F23)/ABS(Assumptions!$B$21)),MAX(0.1,1-Assumptions!$B$31*(F23/50)))))*J23)*Archetypes!$B$15)*(Archetypes!$B$13*IF(F23&lt;0,1-Assumptions!$B$33*MIN(1,ABS(F23)/ABS(Assumptions!$B$21)),1))*5)+(((Archetypes!$B$11*(IF(F23&lt;0,1+Assumptions!$B$32*MIN(1,ABS(F23)/ABS(Assumptions!$B$21)),MAX(0.1,1-Assumptions!$B$31*(F23/50)))))*J23*Archetypes!$B$15*Archetypes!$B$22)*(Archetypes!$B$13*IF(F23&lt;0,1-Assumptions!$B$33*MIN(1,ABS(F23)/ABS(Assumptions!$B$21)),1))*5*Assumptions!$B$18))*IF(F23&lt;0,Assumptions!$B$9,1)))*$E23</f>
        <v>2906.8712639999999</v>
      </c>
      <c r="O23" s="21">
        <f>(O22)+(N23)-(MAX(0,((O22)+(N23)-(P23)))*(IF(Archetypes!$B$27="",Assumptions!$B$11,Archetypes!$B$27)))</f>
        <v>15056.04997404604</v>
      </c>
      <c r="P23" s="21">
        <f>Archetypes!$B$36 + (Assumptions!$B$67*(IF($E23=0,0,I23/$E23))*Assumptions!$B$71*(1+Assumptions!$B$68*(Archetypes!$B$14-1))) + (Assumptions!$B$69*Archetypes!$B$34*(IF($E23=0,0,I23/$E23))*Assumptions!$B$72*POWER(Assumptions!$B$70,Archetypes!$B$18-1))</f>
        <v>2668.56</v>
      </c>
      <c r="Q23" s="21">
        <f t="shared" si="3"/>
        <v>12387.489974046041</v>
      </c>
      <c r="S23" s="21">
        <f t="shared" si="9"/>
        <v>344.19462808639997</v>
      </c>
      <c r="T23" s="21">
        <f>MAX(Assumptions!$B$21,S23+U23)</f>
        <v>354.91851962239997</v>
      </c>
      <c r="U23" s="21">
        <f>((Y23*(Assumptions!$B$22+((Assumptions!$B$23-Assumptions!$B$22)*IF(V23&gt;0,X23/V23,0)))*(1+Assumptions!$B$60*(Archetypes!$C$13-1)))+IF(Y23&gt;V23,V23*Assumptions!$B$24,0)-IF(IF(V23&gt;0,Z23/V23,1)&lt;Assumptions!$B$61,((Z23*(Assumptions!$B$27*(1+Assumptions!$B$28*(Archetypes!$C$14-1))/(1+Assumptions!$B$29*(Archetypes!$C$12-1))))+(((V23*Archetypes!$C$17*IF(V23&gt;0,Z23/V23,1)*Archetypes!$C$31)/100)*Assumptions!$B$30))*Assumptions!$B$62,((Z23*(Assumptions!$B$27*(1+Assumptions!$B$28*(Archetypes!$C$14-1))/(1+Assumptions!$B$29*(Archetypes!$C$12-1))))+(((V23*Archetypes!$C$17*IF(V23&gt;0,Z23/V23,1)*Archetypes!$C$31)/100)*Assumptions!$B$30)))-(Assumptions!$B$25*Assumptions!$B$26*E23))*E23</f>
        <v>10.723891536000004</v>
      </c>
      <c r="V23" s="21">
        <f>(Archetypes!$C$11*(IF(S23&lt;0,1+Assumptions!$B$32*MIN(1,ABS(S23)/ABS(Assumptions!$B$21)),MAX(0.1,1-Assumptions!$B$31*(S23/50)))))*$E23</f>
        <v>3.6000000000000005</v>
      </c>
      <c r="W23" s="26">
        <f>Archetypes!$C$30</f>
        <v>3.7999999999999999E-2</v>
      </c>
      <c r="X23" s="21">
        <f t="shared" si="4"/>
        <v>0.1368</v>
      </c>
      <c r="Y23" s="21">
        <f>((V23-X23)*Archetypes!$C$15)+(X23*Archetypes!$C$15*Archetypes!$C$22)</f>
        <v>1.8205200000000004</v>
      </c>
      <c r="Z23" s="21">
        <f>V23*Archetypes!$C$16</f>
        <v>1.6200000000000003</v>
      </c>
      <c r="AA23" s="21">
        <f>(IF(S23&lt;0,Assumptions!$B$8,IF(S23&lt;10,Assumptions!$B$34,IF(S23&lt;25,Assumptions!$B$35,Assumptions!$B$36))))*((((Archetypes!$C$5*Assumptions!$B$4+Archetypes!$C$6*Assumptions!$B$5)*60))+(Assumptions!$B$6*(((Archetypes!$C$11*(IF(S23&lt;0,1+Assumptions!$B$32*MIN(1,ABS(S23)/ABS(Assumptions!$B$21)),MAX(0.1,1-Assumptions!$B$31*(S23/50)))))-((Archetypes!$C$11*(IF(S23&lt;0,1+Assumptions!$B$32*MIN(1,ABS(S23)/ABS(Assumptions!$B$21)),MAX(0.1,1-Assumptions!$B$31*(S23/50)))))*W23)*Archetypes!$C$20)+((Archetypes!$C$11*(IF(S23&lt;0,1+Assumptions!$B$32*MIN(1,ABS(S23)/ABS(Assumptions!$B$21)),MAX(0.1,1-Assumptions!$B$31*(S23/50)))))*W23*Archetypes!$C$20*Archetypes!$C$21)*Assumptions!$B$18)*(IF($D23=1,1,Assumptions!$B$7)))+(((((Archetypes!$C$11*(IF(S23&lt;0,1+Assumptions!$B$32*MIN(1,ABS(S23)/ABS(Assumptions!$B$21)),MAX(0.1,1-Assumptions!$B$31*(S23/50)))))-((Archetypes!$C$11*(IF(S23&lt;0,1+Assumptions!$B$32*MIN(1,ABS(S23)/ABS(Assumptions!$B$21)),MAX(0.1,1-Assumptions!$B$31*(S23/50)))))*W23)*Archetypes!$C$15)*(Archetypes!$C$13*IF(S23&lt;0,1-Assumptions!$B$33*MIN(1,ABS(S23)/ABS(Assumptions!$B$21)),1))*5)+(((Archetypes!$C$11*(IF(S23&lt;0,1+Assumptions!$B$32*MIN(1,ABS(S23)/ABS(Assumptions!$B$21)),MAX(0.1,1-Assumptions!$B$31*(S23/50)))))*W23*Archetypes!$C$15*Archetypes!$C$22)*(Archetypes!$C$13*IF(S23&lt;0,1-Assumptions!$B$33*MIN(1,ABS(S23)/ABS(Assumptions!$B$21)),1))*5*Assumptions!$B$18))*IF(S23&lt;0,Assumptions!$B$9,1)))*$E23</f>
        <v>3492.4942799999999</v>
      </c>
      <c r="AB23" s="21">
        <f>(AB22)+(AA23)-(MAX(0,((AB22)+(AA23)-(AC23)))*(IF(Archetypes!$C$27="",Assumptions!$B$11,Archetypes!$C$27)))</f>
        <v>19635.82265014073</v>
      </c>
      <c r="AC23" s="21">
        <f>Archetypes!$C$36 + (Assumptions!$B$67*(IF($E23=0,0,V23/$E23))*Assumptions!$B$71*(1+Assumptions!$B$68*(Archetypes!$C$14-1))) + (Assumptions!$B$69*Archetypes!$C$34*(IF($E23=0,0,V23/$E23))*Assumptions!$B$72*POWER(Assumptions!$B$70,Archetypes!$C$18-1))</f>
        <v>9108.3600000000024</v>
      </c>
      <c r="AD23" s="21">
        <f t="shared" si="5"/>
        <v>10527.462650140727</v>
      </c>
      <c r="AF23" s="21">
        <f t="shared" si="10"/>
        <v>915.32765384777201</v>
      </c>
      <c r="AG23" s="21">
        <f>MAX(Assumptions!$B$21,AF23+AH23)</f>
        <v>948.20733529234349</v>
      </c>
      <c r="AH23" s="21">
        <f>((AL23*(Assumptions!$B$22+((Assumptions!$B$23-Assumptions!$B$22)*IF(AI23&gt;0,AK23/AI23,0)))*(1+Assumptions!$B$60*(Archetypes!$D$13-1)))+IF(AL23&gt;AI23,AI23*Assumptions!$B$24,0)-IF(IF(AI23&gt;0,AM23/AI23,1)&lt;Assumptions!$B$61,((AM23*(Assumptions!$B$27*(1+Assumptions!$B$28*(Archetypes!$D$14-1))/(1+Assumptions!$B$29*(Archetypes!$D$12-1))))+(((AI23*Archetypes!$D$17*IF(AI23&gt;0,AM23/AI23,1)*Archetypes!$D$31)/100)*Assumptions!$B$30))*Assumptions!$B$62,((AM23*(Assumptions!$B$27*(1+Assumptions!$B$28*(Archetypes!$D$14-1))/(1+Assumptions!$B$29*(Archetypes!$D$12-1))))+(((AI23*Archetypes!$D$17*IF(AI23&gt;0,AM23/AI23,1)*Archetypes!$D$31)/100)*Assumptions!$B$30)))-(Assumptions!$B$25*Assumptions!$B$26*E23))*E23</f>
        <v>32.879681444571439</v>
      </c>
      <c r="AI23" s="21">
        <f>(Archetypes!$D$11*(IF(AF23&lt;0,1+Assumptions!$B$32*MIN(1,ABS(AF23)/ABS(Assumptions!$B$21)),MAX(0.1,1-Assumptions!$B$31*(AF23/50)))))*$E23</f>
        <v>1.8000000000000003</v>
      </c>
      <c r="AJ23" s="26">
        <f>Archetypes!$D$30</f>
        <v>0.10400000000000001</v>
      </c>
      <c r="AK23" s="21">
        <f t="shared" si="6"/>
        <v>0.18720000000000003</v>
      </c>
      <c r="AL23" s="21">
        <f>((AI23-AK23)*Archetypes!$D$15)+(AK23*Archetypes!$D$15*Archetypes!$D$22)</f>
        <v>2.8123200000000006</v>
      </c>
      <c r="AM23" s="21">
        <f>AI23*Archetypes!$D$16</f>
        <v>0.3600000000000001</v>
      </c>
      <c r="AN23" s="21">
        <f>(IF(AF23&lt;0,Assumptions!$B$8,IF(AF23&lt;10,Assumptions!$B$34,IF(AF23&lt;25,Assumptions!$B$35,Assumptions!$B$36))))*((((Archetypes!$D$5*Assumptions!$B$4+Archetypes!$D$6*Assumptions!$B$5)*60))+(Assumptions!$B$6*(((Archetypes!$D$11*(IF(AF23&lt;0,1+Assumptions!$B$32*MIN(1,ABS(AF23)/ABS(Assumptions!$B$21)),MAX(0.1,1-Assumptions!$B$31*(AF23/50)))))-((Archetypes!$D$11*(IF(AF23&lt;0,1+Assumptions!$B$32*MIN(1,ABS(AF23)/ABS(Assumptions!$B$21)),MAX(0.1,1-Assumptions!$B$31*(AF23/50)))))*AJ23)*Archetypes!$D$20)+((Archetypes!$D$11*(IF(AF23&lt;0,1+Assumptions!$B$32*MIN(1,ABS(AF23)/ABS(Assumptions!$B$21)),MAX(0.1,1-Assumptions!$B$31*(AF23/50)))))*AJ23*Archetypes!$D$20*Archetypes!$D$21)*Assumptions!$B$18)*(IF($D23=1,1,Assumptions!$B$7)))+(((((Archetypes!$D$11*(IF(AF23&lt;0,1+Assumptions!$B$32*MIN(1,ABS(AF23)/ABS(Assumptions!$B$21)),MAX(0.1,1-Assumptions!$B$31*(AF23/50)))))-((Archetypes!$D$11*(IF(AF23&lt;0,1+Assumptions!$B$32*MIN(1,ABS(AF23)/ABS(Assumptions!$B$21)),MAX(0.1,1-Assumptions!$B$31*(AF23/50)))))*AJ23)*Archetypes!$D$15)*(Archetypes!$D$13*IF(AF23&lt;0,1-Assumptions!$B$33*MIN(1,ABS(AF23)/ABS(Assumptions!$B$21)),1))*5)+(((Archetypes!$D$11*(IF(AF23&lt;0,1+Assumptions!$B$32*MIN(1,ABS(AF23)/ABS(Assumptions!$B$21)),MAX(0.1,1-Assumptions!$B$31*(AF23/50)))))*AJ23*Archetypes!$D$15*Archetypes!$D$22)*(Archetypes!$D$13*IF(AF23&lt;0,1-Assumptions!$B$33*MIN(1,ABS(AF23)/ABS(Assumptions!$B$21)),1))*5*Assumptions!$B$18))*IF(AF23&lt;0,Assumptions!$B$9,1)))*$E23</f>
        <v>5637.8204999999998</v>
      </c>
      <c r="AO23" s="21">
        <f>(AO22)+(AN23)-(MAX(0,((AO22)+(AN23)-(AP23)))*(IF(Archetypes!$D$27="",Assumptions!$B$11,Archetypes!$D$27)))</f>
        <v>34087.724237262788</v>
      </c>
      <c r="AP23" s="21">
        <f>Archetypes!$D$36 + (Assumptions!$B$67*(IF($E23=0,0,AI23/$E23))*Assumptions!$B$71*(1+Assumptions!$B$68*(Archetypes!$D$14-1))) + (Assumptions!$B$69*Archetypes!$D$34*(IF($E23=0,0,AI23/$E23))*Assumptions!$B$72*POWER(Assumptions!$B$70,Archetypes!$D$18-1))</f>
        <v>20774.800648960005</v>
      </c>
      <c r="AQ23" s="21">
        <f t="shared" si="7"/>
        <v>13312.923588302783</v>
      </c>
    </row>
    <row r="24" spans="1:43" x14ac:dyDescent="0.25">
      <c r="A24" s="20">
        <v>120</v>
      </c>
      <c r="B24" s="20">
        <f t="shared" si="0"/>
        <v>6</v>
      </c>
      <c r="C24" s="20">
        <f t="shared" si="1"/>
        <v>0</v>
      </c>
      <c r="D24" s="6">
        <f>IF(C24&lt;Assumptions!$B$10,1,0)</f>
        <v>1</v>
      </c>
      <c r="E24" s="6">
        <v>6</v>
      </c>
      <c r="F24" s="21">
        <f t="shared" si="8"/>
        <v>-15</v>
      </c>
      <c r="G24" s="21">
        <f>MAX(Assumptions!$B$21,F24+H24)</f>
        <v>-15</v>
      </c>
      <c r="H24" s="21">
        <f>((L24*(Assumptions!$B$22+((Assumptions!$B$23-Assumptions!$B$22)*IF(I24&gt;0,K24/I24,0)))*(1+Assumptions!$B$60*(Archetypes!$B$13-1)))+IF(L24&gt;I24,I24*Assumptions!$B$24,0)-IF(IF(I24&gt;0,M24/I24,1)&lt;Assumptions!$B$61,((M24*(Assumptions!$B$27*(1+Assumptions!$B$28*(Archetypes!$B$14-1))/(1+Assumptions!$B$29*(Archetypes!$B$12-1))))+(((I24*Archetypes!$B$17*IF(I24&gt;0,M24/I24,1)*Archetypes!$B$31)/100)*Assumptions!$B$30))*Assumptions!$B$62,((M24*(Assumptions!$B$27*(1+Assumptions!$B$28*(Archetypes!$B$14-1))/(1+Assumptions!$B$29*(Archetypes!$B$12-1))))+(((I24*Archetypes!$B$17*IF(I24&gt;0,M24/I24,1)*Archetypes!$B$31)/100)*Assumptions!$B$30)))-(Assumptions!$B$25*Assumptions!$B$26*E24))*E24</f>
        <v>-102.17413047272723</v>
      </c>
      <c r="I24" s="21">
        <f>(Archetypes!$B$11*(IF(F24&lt;0,1+Assumptions!$B$32*MIN(1,ABS(F24)/ABS(Assumptions!$B$21)),MAX(0.1,1-Assumptions!$B$31*(F24/50)))))*$E24</f>
        <v>84</v>
      </c>
      <c r="J24" s="26">
        <f>Archetypes!$B$30</f>
        <v>2.1999999999999999E-2</v>
      </c>
      <c r="K24" s="21">
        <f t="shared" si="2"/>
        <v>1.8479999999999999</v>
      </c>
      <c r="L24" s="21">
        <f>((I24-K24)*Archetypes!$B$15)+(K24*Archetypes!$B$15*Archetypes!$B$22)</f>
        <v>8.4369600000000009</v>
      </c>
      <c r="M24" s="21">
        <f>I24*Archetypes!$B$16</f>
        <v>63</v>
      </c>
      <c r="N24" s="21">
        <f>(IF(F24&lt;0,Assumptions!$B$8,IF(F24&lt;10,Assumptions!$B$34,IF(F24&lt;25,Assumptions!$B$35,Assumptions!$B$36))))*((((Archetypes!$B$5*Assumptions!$B$4+Archetypes!$B$6*Assumptions!$B$5)*60))+(Assumptions!$B$6*(((Archetypes!$B$11*(IF(F24&lt;0,1+Assumptions!$B$32*MIN(1,ABS(F24)/ABS(Assumptions!$B$21)),MAX(0.1,1-Assumptions!$B$31*(F24/50)))))-((Archetypes!$B$11*(IF(F24&lt;0,1+Assumptions!$B$32*MIN(1,ABS(F24)/ABS(Assumptions!$B$21)),MAX(0.1,1-Assumptions!$B$31*(F24/50)))))*J24)*Archetypes!$B$20)+((Archetypes!$B$11*(IF(F24&lt;0,1+Assumptions!$B$32*MIN(1,ABS(F24)/ABS(Assumptions!$B$21)),MAX(0.1,1-Assumptions!$B$31*(F24/50)))))*J24*Archetypes!$B$20*Archetypes!$B$21)*Assumptions!$B$18)*(IF($D24=1,1,Assumptions!$B$7)))+(((((Archetypes!$B$11*(IF(F24&lt;0,1+Assumptions!$B$32*MIN(1,ABS(F24)/ABS(Assumptions!$B$21)),MAX(0.1,1-Assumptions!$B$31*(F24/50)))))-((Archetypes!$B$11*(IF(F24&lt;0,1+Assumptions!$B$32*MIN(1,ABS(F24)/ABS(Assumptions!$B$21)),MAX(0.1,1-Assumptions!$B$31*(F24/50)))))*J24)*Archetypes!$B$15)*(Archetypes!$B$13*IF(F24&lt;0,1-Assumptions!$B$33*MIN(1,ABS(F24)/ABS(Assumptions!$B$21)),1))*5)+(((Archetypes!$B$11*(IF(F24&lt;0,1+Assumptions!$B$32*MIN(1,ABS(F24)/ABS(Assumptions!$B$21)),MAX(0.1,1-Assumptions!$B$31*(F24/50)))))*J24*Archetypes!$B$15*Archetypes!$B$22)*(Archetypes!$B$13*IF(F24&lt;0,1-Assumptions!$B$33*MIN(1,ABS(F24)/ABS(Assumptions!$B$21)),1))*5*Assumptions!$B$18))*IF(F24&lt;0,Assumptions!$B$9,1)))*$E24</f>
        <v>4261.2704640000011</v>
      </c>
      <c r="O24" s="21">
        <f>(O23)+(N24)-(MAX(0,((O23)+(N24)-(P24)))*(IF(Archetypes!$B$27="",Assumptions!$B$11,Archetypes!$B$27)))</f>
        <v>15987.568350436833</v>
      </c>
      <c r="P24" s="21">
        <f>Archetypes!$B$36 + (Assumptions!$B$67*(IF($E24=0,0,I24/$E24))*Assumptions!$B$71*(1+Assumptions!$B$68*(Archetypes!$B$14-1))) + (Assumptions!$B$69*Archetypes!$B$34*(IF($E24=0,0,I24/$E24))*Assumptions!$B$72*POWER(Assumptions!$B$70,Archetypes!$B$18-1))</f>
        <v>2668.56</v>
      </c>
      <c r="Q24" s="21">
        <f t="shared" si="3"/>
        <v>13319.008350436834</v>
      </c>
      <c r="S24" s="21">
        <f t="shared" si="9"/>
        <v>354.91851962239997</v>
      </c>
      <c r="T24" s="21">
        <f>MAX(Assumptions!$B$21,S24+U24)</f>
        <v>365.64241115839997</v>
      </c>
      <c r="U24" s="21">
        <f>((Y24*(Assumptions!$B$22+((Assumptions!$B$23-Assumptions!$B$22)*IF(V24&gt;0,X24/V24,0)))*(1+Assumptions!$B$60*(Archetypes!$C$13-1)))+IF(Y24&gt;V24,V24*Assumptions!$B$24,0)-IF(IF(V24&gt;0,Z24/V24,1)&lt;Assumptions!$B$61,((Z24*(Assumptions!$B$27*(1+Assumptions!$B$28*(Archetypes!$C$14-1))/(1+Assumptions!$B$29*(Archetypes!$C$12-1))))+(((V24*Archetypes!$C$17*IF(V24&gt;0,Z24/V24,1)*Archetypes!$C$31)/100)*Assumptions!$B$30))*Assumptions!$B$62,((Z24*(Assumptions!$B$27*(1+Assumptions!$B$28*(Archetypes!$C$14-1))/(1+Assumptions!$B$29*(Archetypes!$C$12-1))))+(((V24*Archetypes!$C$17*IF(V24&gt;0,Z24/V24,1)*Archetypes!$C$31)/100)*Assumptions!$B$30)))-(Assumptions!$B$25*Assumptions!$B$26*E24))*E24</f>
        <v>10.723891536000004</v>
      </c>
      <c r="V24" s="21">
        <f>(Archetypes!$C$11*(IF(S24&lt;0,1+Assumptions!$B$32*MIN(1,ABS(S24)/ABS(Assumptions!$B$21)),MAX(0.1,1-Assumptions!$B$31*(S24/50)))))*$E24</f>
        <v>3.6000000000000005</v>
      </c>
      <c r="W24" s="26">
        <f>Archetypes!$C$30</f>
        <v>3.7999999999999999E-2</v>
      </c>
      <c r="X24" s="21">
        <f t="shared" si="4"/>
        <v>0.1368</v>
      </c>
      <c r="Y24" s="21">
        <f>((V24-X24)*Archetypes!$C$15)+(X24*Archetypes!$C$15*Archetypes!$C$22)</f>
        <v>1.8205200000000004</v>
      </c>
      <c r="Z24" s="21">
        <f>V24*Archetypes!$C$16</f>
        <v>1.6200000000000003</v>
      </c>
      <c r="AA24" s="21">
        <f>(IF(S24&lt;0,Assumptions!$B$8,IF(S24&lt;10,Assumptions!$B$34,IF(S24&lt;25,Assumptions!$B$35,Assumptions!$B$36))))*((((Archetypes!$C$5*Assumptions!$B$4+Archetypes!$C$6*Assumptions!$B$5)*60))+(Assumptions!$B$6*(((Archetypes!$C$11*(IF(S24&lt;0,1+Assumptions!$B$32*MIN(1,ABS(S24)/ABS(Assumptions!$B$21)),MAX(0.1,1-Assumptions!$B$31*(S24/50)))))-((Archetypes!$C$11*(IF(S24&lt;0,1+Assumptions!$B$32*MIN(1,ABS(S24)/ABS(Assumptions!$B$21)),MAX(0.1,1-Assumptions!$B$31*(S24/50)))))*W24)*Archetypes!$C$20)+((Archetypes!$C$11*(IF(S24&lt;0,1+Assumptions!$B$32*MIN(1,ABS(S24)/ABS(Assumptions!$B$21)),MAX(0.1,1-Assumptions!$B$31*(S24/50)))))*W24*Archetypes!$C$20*Archetypes!$C$21)*Assumptions!$B$18)*(IF($D24=1,1,Assumptions!$B$7)))+(((((Archetypes!$C$11*(IF(S24&lt;0,1+Assumptions!$B$32*MIN(1,ABS(S24)/ABS(Assumptions!$B$21)),MAX(0.1,1-Assumptions!$B$31*(S24/50)))))-((Archetypes!$C$11*(IF(S24&lt;0,1+Assumptions!$B$32*MIN(1,ABS(S24)/ABS(Assumptions!$B$21)),MAX(0.1,1-Assumptions!$B$31*(S24/50)))))*W24)*Archetypes!$C$15)*(Archetypes!$C$13*IF(S24&lt;0,1-Assumptions!$B$33*MIN(1,ABS(S24)/ABS(Assumptions!$B$21)),1))*5)+(((Archetypes!$C$11*(IF(S24&lt;0,1+Assumptions!$B$32*MIN(1,ABS(S24)/ABS(Assumptions!$B$21)),MAX(0.1,1-Assumptions!$B$31*(S24/50)))))*W24*Archetypes!$C$15*Archetypes!$C$22)*(Archetypes!$C$13*IF(S24&lt;0,1-Assumptions!$B$33*MIN(1,ABS(S24)/ABS(Assumptions!$B$21)),1))*5*Assumptions!$B$18))*IF(S24&lt;0,Assumptions!$B$9,1)))*$E24</f>
        <v>3697.9335000000001</v>
      </c>
      <c r="AB24" s="21">
        <f>(AB23)+(AA24)-(MAX(0,((AB23)+(AA24)-(AC24)))*(IF(Archetypes!$C$27="",Assumptions!$B$11,Archetypes!$C$27)))</f>
        <v>19777.407112605546</v>
      </c>
      <c r="AC24" s="21">
        <f>Archetypes!$C$36 + (Assumptions!$B$67*(IF($E24=0,0,V24/$E24))*Assumptions!$B$71*(1+Assumptions!$B$68*(Archetypes!$C$14-1))) + (Assumptions!$B$69*Archetypes!$C$34*(IF($E24=0,0,V24/$E24))*Assumptions!$B$72*POWER(Assumptions!$B$70,Archetypes!$C$18-1))</f>
        <v>9108.3600000000024</v>
      </c>
      <c r="AD24" s="21">
        <f t="shared" si="5"/>
        <v>10669.047112605544</v>
      </c>
      <c r="AF24" s="21">
        <f t="shared" si="10"/>
        <v>948.20733529234349</v>
      </c>
      <c r="AG24" s="21">
        <f>MAX(Assumptions!$B$21,AF24+AH24)</f>
        <v>981.08701673691496</v>
      </c>
      <c r="AH24" s="21">
        <f>((AL24*(Assumptions!$B$22+((Assumptions!$B$23-Assumptions!$B$22)*IF(AI24&gt;0,AK24/AI24,0)))*(1+Assumptions!$B$60*(Archetypes!$D$13-1)))+IF(AL24&gt;AI24,AI24*Assumptions!$B$24,0)-IF(IF(AI24&gt;0,AM24/AI24,1)&lt;Assumptions!$B$61,((AM24*(Assumptions!$B$27*(1+Assumptions!$B$28*(Archetypes!$D$14-1))/(1+Assumptions!$B$29*(Archetypes!$D$12-1))))+(((AI24*Archetypes!$D$17*IF(AI24&gt;0,AM24/AI24,1)*Archetypes!$D$31)/100)*Assumptions!$B$30))*Assumptions!$B$62,((AM24*(Assumptions!$B$27*(1+Assumptions!$B$28*(Archetypes!$D$14-1))/(1+Assumptions!$B$29*(Archetypes!$D$12-1))))+(((AI24*Archetypes!$D$17*IF(AI24&gt;0,AM24/AI24,1)*Archetypes!$D$31)/100)*Assumptions!$B$30)))-(Assumptions!$B$25*Assumptions!$B$26*E24))*E24</f>
        <v>32.879681444571439</v>
      </c>
      <c r="AI24" s="21">
        <f>(Archetypes!$D$11*(IF(AF24&lt;0,1+Assumptions!$B$32*MIN(1,ABS(AF24)/ABS(Assumptions!$B$21)),MAX(0.1,1-Assumptions!$B$31*(AF24/50)))))*$E24</f>
        <v>1.8000000000000003</v>
      </c>
      <c r="AJ24" s="26">
        <f>Archetypes!$D$30</f>
        <v>0.10400000000000001</v>
      </c>
      <c r="AK24" s="21">
        <f t="shared" si="6"/>
        <v>0.18720000000000003</v>
      </c>
      <c r="AL24" s="21">
        <f>((AI24-AK24)*Archetypes!$D$15)+(AK24*Archetypes!$D$15*Archetypes!$D$22)</f>
        <v>2.8123200000000006</v>
      </c>
      <c r="AM24" s="21">
        <f>AI24*Archetypes!$D$16</f>
        <v>0.3600000000000001</v>
      </c>
      <c r="AN24" s="21">
        <f>(IF(AF24&lt;0,Assumptions!$B$8,IF(AF24&lt;10,Assumptions!$B$34,IF(AF24&lt;25,Assumptions!$B$35,Assumptions!$B$36))))*((((Archetypes!$D$5*Assumptions!$B$4+Archetypes!$D$6*Assumptions!$B$5)*60))+(Assumptions!$B$6*(((Archetypes!$D$11*(IF(AF24&lt;0,1+Assumptions!$B$32*MIN(1,ABS(AF24)/ABS(Assumptions!$B$21)),MAX(0.1,1-Assumptions!$B$31*(AF24/50)))))-((Archetypes!$D$11*(IF(AF24&lt;0,1+Assumptions!$B$32*MIN(1,ABS(AF24)/ABS(Assumptions!$B$21)),MAX(0.1,1-Assumptions!$B$31*(AF24/50)))))*AJ24)*Archetypes!$D$20)+((Archetypes!$D$11*(IF(AF24&lt;0,1+Assumptions!$B$32*MIN(1,ABS(AF24)/ABS(Assumptions!$B$21)),MAX(0.1,1-Assumptions!$B$31*(AF24/50)))))*AJ24*Archetypes!$D$20*Archetypes!$D$21)*Assumptions!$B$18)*(IF($D24=1,1,Assumptions!$B$7)))+(((((Archetypes!$D$11*(IF(AF24&lt;0,1+Assumptions!$B$32*MIN(1,ABS(AF24)/ABS(Assumptions!$B$21)),MAX(0.1,1-Assumptions!$B$31*(AF24/50)))))-((Archetypes!$D$11*(IF(AF24&lt;0,1+Assumptions!$B$32*MIN(1,ABS(AF24)/ABS(Assumptions!$B$21)),MAX(0.1,1-Assumptions!$B$31*(AF24/50)))))*AJ24)*Archetypes!$D$15)*(Archetypes!$D$13*IF(AF24&lt;0,1-Assumptions!$B$33*MIN(1,ABS(AF24)/ABS(Assumptions!$B$21)),1))*5)+(((Archetypes!$D$11*(IF(AF24&lt;0,1+Assumptions!$B$32*MIN(1,ABS(AF24)/ABS(Assumptions!$B$21)),MAX(0.1,1-Assumptions!$B$31*(AF24/50)))))*AJ24*Archetypes!$D$15*Archetypes!$D$22)*(Archetypes!$D$13*IF(AF24&lt;0,1-Assumptions!$B$33*MIN(1,ABS(AF24)/ABS(Assumptions!$B$21)),1))*5*Assumptions!$B$18))*IF(AF24&lt;0,Assumptions!$B$9,1)))*$E24</f>
        <v>6208.1279999999988</v>
      </c>
      <c r="AO24" s="21">
        <f>(AO23)+(AN24)-(MAX(0,((AO23)+(AN24)-(AP24)))*(IF(Archetypes!$D$27="",Assumptions!$B$11,Archetypes!$D$27)))</f>
        <v>34439.536760771953</v>
      </c>
      <c r="AP24" s="21">
        <f>Archetypes!$D$36 + (Assumptions!$B$67*(IF($E24=0,0,AI24/$E24))*Assumptions!$B$71*(1+Assumptions!$B$68*(Archetypes!$D$14-1))) + (Assumptions!$B$69*Archetypes!$D$34*(IF($E24=0,0,AI24/$E24))*Assumptions!$B$72*POWER(Assumptions!$B$70,Archetypes!$D$18-1))</f>
        <v>20774.800648960005</v>
      </c>
      <c r="AQ24" s="21">
        <f t="shared" si="7"/>
        <v>13664.736111811948</v>
      </c>
    </row>
    <row r="25" spans="1:43" x14ac:dyDescent="0.25">
      <c r="A25" s="20">
        <v>126</v>
      </c>
      <c r="B25" s="20">
        <f t="shared" si="0"/>
        <v>6</v>
      </c>
      <c r="C25" s="20">
        <f t="shared" si="1"/>
        <v>6</v>
      </c>
      <c r="D25" s="6">
        <f>IF(C25&lt;Assumptions!$B$10,1,0)</f>
        <v>0</v>
      </c>
      <c r="E25" s="6">
        <v>6</v>
      </c>
      <c r="F25" s="21">
        <f t="shared" si="8"/>
        <v>-15</v>
      </c>
      <c r="G25" s="21">
        <f>MAX(Assumptions!$B$21,F25+H25)</f>
        <v>-15</v>
      </c>
      <c r="H25" s="21">
        <f>((L25*(Assumptions!$B$22+((Assumptions!$B$23-Assumptions!$B$22)*IF(I25&gt;0,K25/I25,0)))*(1+Assumptions!$B$60*(Archetypes!$B$13-1)))+IF(L25&gt;I25,I25*Assumptions!$B$24,0)-IF(IF(I25&gt;0,M25/I25,1)&lt;Assumptions!$B$61,((M25*(Assumptions!$B$27*(1+Assumptions!$B$28*(Archetypes!$B$14-1))/(1+Assumptions!$B$29*(Archetypes!$B$12-1))))+(((I25*Archetypes!$B$17*IF(I25&gt;0,M25/I25,1)*Archetypes!$B$31)/100)*Assumptions!$B$30))*Assumptions!$B$62,((M25*(Assumptions!$B$27*(1+Assumptions!$B$28*(Archetypes!$B$14-1))/(1+Assumptions!$B$29*(Archetypes!$B$12-1))))+(((I25*Archetypes!$B$17*IF(I25&gt;0,M25/I25,1)*Archetypes!$B$31)/100)*Assumptions!$B$30)))-(Assumptions!$B$25*Assumptions!$B$26*E25))*E25</f>
        <v>-102.17413047272723</v>
      </c>
      <c r="I25" s="21">
        <f>(Archetypes!$B$11*(IF(F25&lt;0,1+Assumptions!$B$32*MIN(1,ABS(F25)/ABS(Assumptions!$B$21)),MAX(0.1,1-Assumptions!$B$31*(F25/50)))))*$E25</f>
        <v>84</v>
      </c>
      <c r="J25" s="26">
        <f>Archetypes!$B$30</f>
        <v>2.1999999999999999E-2</v>
      </c>
      <c r="K25" s="21">
        <f t="shared" si="2"/>
        <v>1.8479999999999999</v>
      </c>
      <c r="L25" s="21">
        <f>((I25-K25)*Archetypes!$B$15)+(K25*Archetypes!$B$15*Archetypes!$B$22)</f>
        <v>8.4369600000000009</v>
      </c>
      <c r="M25" s="21">
        <f>I25*Archetypes!$B$16</f>
        <v>63</v>
      </c>
      <c r="N25" s="21">
        <f>(IF(F25&lt;0,Assumptions!$B$8,IF(F25&lt;10,Assumptions!$B$34,IF(F25&lt;25,Assumptions!$B$35,Assumptions!$B$36))))*((((Archetypes!$B$5*Assumptions!$B$4+Archetypes!$B$6*Assumptions!$B$5)*60))+(Assumptions!$B$6*(((Archetypes!$B$11*(IF(F25&lt;0,1+Assumptions!$B$32*MIN(1,ABS(F25)/ABS(Assumptions!$B$21)),MAX(0.1,1-Assumptions!$B$31*(F25/50)))))-((Archetypes!$B$11*(IF(F25&lt;0,1+Assumptions!$B$32*MIN(1,ABS(F25)/ABS(Assumptions!$B$21)),MAX(0.1,1-Assumptions!$B$31*(F25/50)))))*J25)*Archetypes!$B$20)+((Archetypes!$B$11*(IF(F25&lt;0,1+Assumptions!$B$32*MIN(1,ABS(F25)/ABS(Assumptions!$B$21)),MAX(0.1,1-Assumptions!$B$31*(F25/50)))))*J25*Archetypes!$B$20*Archetypes!$B$21)*Assumptions!$B$18)*(IF($D25=1,1,Assumptions!$B$7)))+(((((Archetypes!$B$11*(IF(F25&lt;0,1+Assumptions!$B$32*MIN(1,ABS(F25)/ABS(Assumptions!$B$21)),MAX(0.1,1-Assumptions!$B$31*(F25/50)))))-((Archetypes!$B$11*(IF(F25&lt;0,1+Assumptions!$B$32*MIN(1,ABS(F25)/ABS(Assumptions!$B$21)),MAX(0.1,1-Assumptions!$B$31*(F25/50)))))*J25)*Archetypes!$B$15)*(Archetypes!$B$13*IF(F25&lt;0,1-Assumptions!$B$33*MIN(1,ABS(F25)/ABS(Assumptions!$B$21)),1))*5)+(((Archetypes!$B$11*(IF(F25&lt;0,1+Assumptions!$B$32*MIN(1,ABS(F25)/ABS(Assumptions!$B$21)),MAX(0.1,1-Assumptions!$B$31*(F25/50)))))*J25*Archetypes!$B$15*Archetypes!$B$22)*(Archetypes!$B$13*IF(F25&lt;0,1-Assumptions!$B$33*MIN(1,ABS(F25)/ABS(Assumptions!$B$21)),1))*5*Assumptions!$B$18))*IF(F25&lt;0,Assumptions!$B$9,1)))*$E25</f>
        <v>2906.8712639999999</v>
      </c>
      <c r="O25" s="21">
        <f>(O24)+(N25)-(MAX(0,((O24)+(N25)-(P25)))*(IF(Archetypes!$B$27="",Assumptions!$B$11,Archetypes!$B$27)))</f>
        <v>15649.263691549466</v>
      </c>
      <c r="P25" s="21">
        <f>Archetypes!$B$36 + (Assumptions!$B$67*(IF($E25=0,0,I25/$E25))*Assumptions!$B$71*(1+Assumptions!$B$68*(Archetypes!$B$14-1))) + (Assumptions!$B$69*Archetypes!$B$34*(IF($E25=0,0,I25/$E25))*Assumptions!$B$72*POWER(Assumptions!$B$70,Archetypes!$B$18-1))</f>
        <v>2668.56</v>
      </c>
      <c r="Q25" s="21">
        <f t="shared" si="3"/>
        <v>12980.703691549466</v>
      </c>
      <c r="S25" s="21">
        <f t="shared" si="9"/>
        <v>365.64241115839997</v>
      </c>
      <c r="T25" s="21">
        <f>MAX(Assumptions!$B$21,S25+U25)</f>
        <v>376.36630269439996</v>
      </c>
      <c r="U25" s="21">
        <f>((Y25*(Assumptions!$B$22+((Assumptions!$B$23-Assumptions!$B$22)*IF(V25&gt;0,X25/V25,0)))*(1+Assumptions!$B$60*(Archetypes!$C$13-1)))+IF(Y25&gt;V25,V25*Assumptions!$B$24,0)-IF(IF(V25&gt;0,Z25/V25,1)&lt;Assumptions!$B$61,((Z25*(Assumptions!$B$27*(1+Assumptions!$B$28*(Archetypes!$C$14-1))/(1+Assumptions!$B$29*(Archetypes!$C$12-1))))+(((V25*Archetypes!$C$17*IF(V25&gt;0,Z25/V25,1)*Archetypes!$C$31)/100)*Assumptions!$B$30))*Assumptions!$B$62,((Z25*(Assumptions!$B$27*(1+Assumptions!$B$28*(Archetypes!$C$14-1))/(1+Assumptions!$B$29*(Archetypes!$C$12-1))))+(((V25*Archetypes!$C$17*IF(V25&gt;0,Z25/V25,1)*Archetypes!$C$31)/100)*Assumptions!$B$30)))-(Assumptions!$B$25*Assumptions!$B$26*E25))*E25</f>
        <v>10.723891536000004</v>
      </c>
      <c r="V25" s="21">
        <f>(Archetypes!$C$11*(IF(S25&lt;0,1+Assumptions!$B$32*MIN(1,ABS(S25)/ABS(Assumptions!$B$21)),MAX(0.1,1-Assumptions!$B$31*(S25/50)))))*$E25</f>
        <v>3.6000000000000005</v>
      </c>
      <c r="W25" s="26">
        <f>Archetypes!$C$30</f>
        <v>3.7999999999999999E-2</v>
      </c>
      <c r="X25" s="21">
        <f t="shared" si="4"/>
        <v>0.1368</v>
      </c>
      <c r="Y25" s="21">
        <f>((V25-X25)*Archetypes!$C$15)+(X25*Archetypes!$C$15*Archetypes!$C$22)</f>
        <v>1.8205200000000004</v>
      </c>
      <c r="Z25" s="21">
        <f>V25*Archetypes!$C$16</f>
        <v>1.6200000000000003</v>
      </c>
      <c r="AA25" s="21">
        <f>(IF(S25&lt;0,Assumptions!$B$8,IF(S25&lt;10,Assumptions!$B$34,IF(S25&lt;25,Assumptions!$B$35,Assumptions!$B$36))))*((((Archetypes!$C$5*Assumptions!$B$4+Archetypes!$C$6*Assumptions!$B$5)*60))+(Assumptions!$B$6*(((Archetypes!$C$11*(IF(S25&lt;0,1+Assumptions!$B$32*MIN(1,ABS(S25)/ABS(Assumptions!$B$21)),MAX(0.1,1-Assumptions!$B$31*(S25/50)))))-((Archetypes!$C$11*(IF(S25&lt;0,1+Assumptions!$B$32*MIN(1,ABS(S25)/ABS(Assumptions!$B$21)),MAX(0.1,1-Assumptions!$B$31*(S25/50)))))*W25)*Archetypes!$C$20)+((Archetypes!$C$11*(IF(S25&lt;0,1+Assumptions!$B$32*MIN(1,ABS(S25)/ABS(Assumptions!$B$21)),MAX(0.1,1-Assumptions!$B$31*(S25/50)))))*W25*Archetypes!$C$20*Archetypes!$C$21)*Assumptions!$B$18)*(IF($D25=1,1,Assumptions!$B$7)))+(((((Archetypes!$C$11*(IF(S25&lt;0,1+Assumptions!$B$32*MIN(1,ABS(S25)/ABS(Assumptions!$B$21)),MAX(0.1,1-Assumptions!$B$31*(S25/50)))))-((Archetypes!$C$11*(IF(S25&lt;0,1+Assumptions!$B$32*MIN(1,ABS(S25)/ABS(Assumptions!$B$21)),MAX(0.1,1-Assumptions!$B$31*(S25/50)))))*W25)*Archetypes!$C$15)*(Archetypes!$C$13*IF(S25&lt;0,1-Assumptions!$B$33*MIN(1,ABS(S25)/ABS(Assumptions!$B$21)),1))*5)+(((Archetypes!$C$11*(IF(S25&lt;0,1+Assumptions!$B$32*MIN(1,ABS(S25)/ABS(Assumptions!$B$21)),MAX(0.1,1-Assumptions!$B$31*(S25/50)))))*W25*Archetypes!$C$15*Archetypes!$C$22)*(Archetypes!$C$13*IF(S25&lt;0,1-Assumptions!$B$33*MIN(1,ABS(S25)/ABS(Assumptions!$B$21)),1))*5*Assumptions!$B$18))*IF(S25&lt;0,Assumptions!$B$9,1)))*$E25</f>
        <v>3492.4942799999999</v>
      </c>
      <c r="AB25" s="21">
        <f>(AB24)+(AA25)-(MAX(0,((AB24)+(AA25)-(AC25)))*(IF(Archetypes!$C$27="",Assumptions!$B$11,Archetypes!$C$27)))</f>
        <v>19729.516044454158</v>
      </c>
      <c r="AC25" s="21">
        <f>Archetypes!$C$36 + (Assumptions!$B$67*(IF($E25=0,0,V25/$E25))*Assumptions!$B$71*(1+Assumptions!$B$68*(Archetypes!$C$14-1))) + (Assumptions!$B$69*Archetypes!$C$34*(IF($E25=0,0,V25/$E25))*Assumptions!$B$72*POWER(Assumptions!$B$70,Archetypes!$C$18-1))</f>
        <v>9108.3600000000024</v>
      </c>
      <c r="AD25" s="21">
        <f t="shared" si="5"/>
        <v>10621.156044454156</v>
      </c>
      <c r="AF25" s="21">
        <f t="shared" si="10"/>
        <v>981.08701673691496</v>
      </c>
      <c r="AG25" s="21">
        <f>MAX(Assumptions!$B$21,AF25+AH25)</f>
        <v>1013.9666981814864</v>
      </c>
      <c r="AH25" s="21">
        <f>((AL25*(Assumptions!$B$22+((Assumptions!$B$23-Assumptions!$B$22)*IF(AI25&gt;0,AK25/AI25,0)))*(1+Assumptions!$B$60*(Archetypes!$D$13-1)))+IF(AL25&gt;AI25,AI25*Assumptions!$B$24,0)-IF(IF(AI25&gt;0,AM25/AI25,1)&lt;Assumptions!$B$61,((AM25*(Assumptions!$B$27*(1+Assumptions!$B$28*(Archetypes!$D$14-1))/(1+Assumptions!$B$29*(Archetypes!$D$12-1))))+(((AI25*Archetypes!$D$17*IF(AI25&gt;0,AM25/AI25,1)*Archetypes!$D$31)/100)*Assumptions!$B$30))*Assumptions!$B$62,((AM25*(Assumptions!$B$27*(1+Assumptions!$B$28*(Archetypes!$D$14-1))/(1+Assumptions!$B$29*(Archetypes!$D$12-1))))+(((AI25*Archetypes!$D$17*IF(AI25&gt;0,AM25/AI25,1)*Archetypes!$D$31)/100)*Assumptions!$B$30)))-(Assumptions!$B$25*Assumptions!$B$26*E25))*E25</f>
        <v>32.879681444571439</v>
      </c>
      <c r="AI25" s="21">
        <f>(Archetypes!$D$11*(IF(AF25&lt;0,1+Assumptions!$B$32*MIN(1,ABS(AF25)/ABS(Assumptions!$B$21)),MAX(0.1,1-Assumptions!$B$31*(AF25/50)))))*$E25</f>
        <v>1.8000000000000003</v>
      </c>
      <c r="AJ25" s="26">
        <f>Archetypes!$D$30</f>
        <v>0.10400000000000001</v>
      </c>
      <c r="AK25" s="21">
        <f t="shared" si="6"/>
        <v>0.18720000000000003</v>
      </c>
      <c r="AL25" s="21">
        <f>((AI25-AK25)*Archetypes!$D$15)+(AK25*Archetypes!$D$15*Archetypes!$D$22)</f>
        <v>2.8123200000000006</v>
      </c>
      <c r="AM25" s="21">
        <f>AI25*Archetypes!$D$16</f>
        <v>0.3600000000000001</v>
      </c>
      <c r="AN25" s="21">
        <f>(IF(AF25&lt;0,Assumptions!$B$8,IF(AF25&lt;10,Assumptions!$B$34,IF(AF25&lt;25,Assumptions!$B$35,Assumptions!$B$36))))*((((Archetypes!$D$5*Assumptions!$B$4+Archetypes!$D$6*Assumptions!$B$5)*60))+(Assumptions!$B$6*(((Archetypes!$D$11*(IF(AF25&lt;0,1+Assumptions!$B$32*MIN(1,ABS(AF25)/ABS(Assumptions!$B$21)),MAX(0.1,1-Assumptions!$B$31*(AF25/50)))))-((Archetypes!$D$11*(IF(AF25&lt;0,1+Assumptions!$B$32*MIN(1,ABS(AF25)/ABS(Assumptions!$B$21)),MAX(0.1,1-Assumptions!$B$31*(AF25/50)))))*AJ25)*Archetypes!$D$20)+((Archetypes!$D$11*(IF(AF25&lt;0,1+Assumptions!$B$32*MIN(1,ABS(AF25)/ABS(Assumptions!$B$21)),MAX(0.1,1-Assumptions!$B$31*(AF25/50)))))*AJ25*Archetypes!$D$20*Archetypes!$D$21)*Assumptions!$B$18)*(IF($D25=1,1,Assumptions!$B$7)))+(((((Archetypes!$D$11*(IF(AF25&lt;0,1+Assumptions!$B$32*MIN(1,ABS(AF25)/ABS(Assumptions!$B$21)),MAX(0.1,1-Assumptions!$B$31*(AF25/50)))))-((Archetypes!$D$11*(IF(AF25&lt;0,1+Assumptions!$B$32*MIN(1,ABS(AF25)/ABS(Assumptions!$B$21)),MAX(0.1,1-Assumptions!$B$31*(AF25/50)))))*AJ25)*Archetypes!$D$15)*(Archetypes!$D$13*IF(AF25&lt;0,1-Assumptions!$B$33*MIN(1,ABS(AF25)/ABS(Assumptions!$B$21)),1))*5)+(((Archetypes!$D$11*(IF(AF25&lt;0,1+Assumptions!$B$32*MIN(1,ABS(AF25)/ABS(Assumptions!$B$21)),MAX(0.1,1-Assumptions!$B$31*(AF25/50)))))*AJ25*Archetypes!$D$15*Archetypes!$D$22)*(Archetypes!$D$13*IF(AF25&lt;0,1-Assumptions!$B$33*MIN(1,ABS(AF25)/ABS(Assumptions!$B$21)),1))*5*Assumptions!$B$18))*IF(AF25&lt;0,Assumptions!$B$9,1)))*$E25</f>
        <v>5637.8204999999998</v>
      </c>
      <c r="AO25" s="21">
        <f>(AO24)+(AN25)-(MAX(0,((AO24)+(AN25)-(AP25)))*(IF(Archetypes!$D$27="",Assumptions!$B$11,Archetypes!$D$27)))</f>
        <v>34286.590277228373</v>
      </c>
      <c r="AP25" s="21">
        <f>Archetypes!$D$36 + (Assumptions!$B$67*(IF($E25=0,0,AI25/$E25))*Assumptions!$B$71*(1+Assumptions!$B$68*(Archetypes!$D$14-1))) + (Assumptions!$B$69*Archetypes!$D$34*(IF($E25=0,0,AI25/$E25))*Assumptions!$B$72*POWER(Assumptions!$B$70,Archetypes!$D$18-1))</f>
        <v>20774.800648960005</v>
      </c>
      <c r="AQ25" s="21">
        <f t="shared" si="7"/>
        <v>13511.789628268369</v>
      </c>
    </row>
    <row r="26" spans="1:43" x14ac:dyDescent="0.25">
      <c r="A26" s="20">
        <v>132</v>
      </c>
      <c r="B26" s="20">
        <f t="shared" si="0"/>
        <v>6</v>
      </c>
      <c r="C26" s="20">
        <f t="shared" si="1"/>
        <v>12</v>
      </c>
      <c r="D26" s="6">
        <f>IF(C26&lt;Assumptions!$B$10,1,0)</f>
        <v>0</v>
      </c>
      <c r="E26" s="6">
        <v>6</v>
      </c>
      <c r="F26" s="21">
        <f t="shared" si="8"/>
        <v>-15</v>
      </c>
      <c r="G26" s="21">
        <f>MAX(Assumptions!$B$21,F26+H26)</f>
        <v>-15</v>
      </c>
      <c r="H26" s="21">
        <f>((L26*(Assumptions!$B$22+((Assumptions!$B$23-Assumptions!$B$22)*IF(I26&gt;0,K26/I26,0)))*(1+Assumptions!$B$60*(Archetypes!$B$13-1)))+IF(L26&gt;I26,I26*Assumptions!$B$24,0)-IF(IF(I26&gt;0,M26/I26,1)&lt;Assumptions!$B$61,((M26*(Assumptions!$B$27*(1+Assumptions!$B$28*(Archetypes!$B$14-1))/(1+Assumptions!$B$29*(Archetypes!$B$12-1))))+(((I26*Archetypes!$B$17*IF(I26&gt;0,M26/I26,1)*Archetypes!$B$31)/100)*Assumptions!$B$30))*Assumptions!$B$62,((M26*(Assumptions!$B$27*(1+Assumptions!$B$28*(Archetypes!$B$14-1))/(1+Assumptions!$B$29*(Archetypes!$B$12-1))))+(((I26*Archetypes!$B$17*IF(I26&gt;0,M26/I26,1)*Archetypes!$B$31)/100)*Assumptions!$B$30)))-(Assumptions!$B$25*Assumptions!$B$26*E26))*E26</f>
        <v>-102.17413047272723</v>
      </c>
      <c r="I26" s="21">
        <f>(Archetypes!$B$11*(IF(F26&lt;0,1+Assumptions!$B$32*MIN(1,ABS(F26)/ABS(Assumptions!$B$21)),MAX(0.1,1-Assumptions!$B$31*(F26/50)))))*$E26</f>
        <v>84</v>
      </c>
      <c r="J26" s="26">
        <f>Archetypes!$B$30</f>
        <v>2.1999999999999999E-2</v>
      </c>
      <c r="K26" s="21">
        <f t="shared" si="2"/>
        <v>1.8479999999999999</v>
      </c>
      <c r="L26" s="21">
        <f>((I26-K26)*Archetypes!$B$15)+(K26*Archetypes!$B$15*Archetypes!$B$22)</f>
        <v>8.4369600000000009</v>
      </c>
      <c r="M26" s="21">
        <f>I26*Archetypes!$B$16</f>
        <v>63</v>
      </c>
      <c r="N26" s="21">
        <f>(IF(F26&lt;0,Assumptions!$B$8,IF(F26&lt;10,Assumptions!$B$34,IF(F26&lt;25,Assumptions!$B$35,Assumptions!$B$36))))*((((Archetypes!$B$5*Assumptions!$B$4+Archetypes!$B$6*Assumptions!$B$5)*60))+(Assumptions!$B$6*(((Archetypes!$B$11*(IF(F26&lt;0,1+Assumptions!$B$32*MIN(1,ABS(F26)/ABS(Assumptions!$B$21)),MAX(0.1,1-Assumptions!$B$31*(F26/50)))))-((Archetypes!$B$11*(IF(F26&lt;0,1+Assumptions!$B$32*MIN(1,ABS(F26)/ABS(Assumptions!$B$21)),MAX(0.1,1-Assumptions!$B$31*(F26/50)))))*J26)*Archetypes!$B$20)+((Archetypes!$B$11*(IF(F26&lt;0,1+Assumptions!$B$32*MIN(1,ABS(F26)/ABS(Assumptions!$B$21)),MAX(0.1,1-Assumptions!$B$31*(F26/50)))))*J26*Archetypes!$B$20*Archetypes!$B$21)*Assumptions!$B$18)*(IF($D26=1,1,Assumptions!$B$7)))+(((((Archetypes!$B$11*(IF(F26&lt;0,1+Assumptions!$B$32*MIN(1,ABS(F26)/ABS(Assumptions!$B$21)),MAX(0.1,1-Assumptions!$B$31*(F26/50)))))-((Archetypes!$B$11*(IF(F26&lt;0,1+Assumptions!$B$32*MIN(1,ABS(F26)/ABS(Assumptions!$B$21)),MAX(0.1,1-Assumptions!$B$31*(F26/50)))))*J26)*Archetypes!$B$15)*(Archetypes!$B$13*IF(F26&lt;0,1-Assumptions!$B$33*MIN(1,ABS(F26)/ABS(Assumptions!$B$21)),1))*5)+(((Archetypes!$B$11*(IF(F26&lt;0,1+Assumptions!$B$32*MIN(1,ABS(F26)/ABS(Assumptions!$B$21)),MAX(0.1,1-Assumptions!$B$31*(F26/50)))))*J26*Archetypes!$B$15*Archetypes!$B$22)*(Archetypes!$B$13*IF(F26&lt;0,1-Assumptions!$B$33*MIN(1,ABS(F26)/ABS(Assumptions!$B$21)),1))*5*Assumptions!$B$18))*IF(F26&lt;0,Assumptions!$B$9,1)))*$E26</f>
        <v>2906.8712639999999</v>
      </c>
      <c r="O26" s="21">
        <f>(O25)+(N26)-(MAX(0,((O25)+(N26)-(P26)))*(IF(Archetypes!$B$27="",Assumptions!$B$11,Archetypes!$B$27)))</f>
        <v>15378.619964439573</v>
      </c>
      <c r="P26" s="21">
        <f>Archetypes!$B$36 + (Assumptions!$B$67*(IF($E26=0,0,I26/$E26))*Assumptions!$B$71*(1+Assumptions!$B$68*(Archetypes!$B$14-1))) + (Assumptions!$B$69*Archetypes!$B$34*(IF($E26=0,0,I26/$E26))*Assumptions!$B$72*POWER(Assumptions!$B$70,Archetypes!$B$18-1))</f>
        <v>2668.56</v>
      </c>
      <c r="Q26" s="21">
        <f t="shared" si="3"/>
        <v>12710.059964439573</v>
      </c>
      <c r="S26" s="21">
        <f t="shared" si="9"/>
        <v>376.36630269439996</v>
      </c>
      <c r="T26" s="21">
        <f>MAX(Assumptions!$B$21,S26+U26)</f>
        <v>387.09019423039996</v>
      </c>
      <c r="U26" s="21">
        <f>((Y26*(Assumptions!$B$22+((Assumptions!$B$23-Assumptions!$B$22)*IF(V26&gt;0,X26/V26,0)))*(1+Assumptions!$B$60*(Archetypes!$C$13-1)))+IF(Y26&gt;V26,V26*Assumptions!$B$24,0)-IF(IF(V26&gt;0,Z26/V26,1)&lt;Assumptions!$B$61,((Z26*(Assumptions!$B$27*(1+Assumptions!$B$28*(Archetypes!$C$14-1))/(1+Assumptions!$B$29*(Archetypes!$C$12-1))))+(((V26*Archetypes!$C$17*IF(V26&gt;0,Z26/V26,1)*Archetypes!$C$31)/100)*Assumptions!$B$30))*Assumptions!$B$62,((Z26*(Assumptions!$B$27*(1+Assumptions!$B$28*(Archetypes!$C$14-1))/(1+Assumptions!$B$29*(Archetypes!$C$12-1))))+(((V26*Archetypes!$C$17*IF(V26&gt;0,Z26/V26,1)*Archetypes!$C$31)/100)*Assumptions!$B$30)))-(Assumptions!$B$25*Assumptions!$B$26*E26))*E26</f>
        <v>10.723891536000004</v>
      </c>
      <c r="V26" s="21">
        <f>(Archetypes!$C$11*(IF(S26&lt;0,1+Assumptions!$B$32*MIN(1,ABS(S26)/ABS(Assumptions!$B$21)),MAX(0.1,1-Assumptions!$B$31*(S26/50)))))*$E26</f>
        <v>3.6000000000000005</v>
      </c>
      <c r="W26" s="26">
        <f>Archetypes!$C$30</f>
        <v>3.7999999999999999E-2</v>
      </c>
      <c r="X26" s="21">
        <f t="shared" si="4"/>
        <v>0.1368</v>
      </c>
      <c r="Y26" s="21">
        <f>((V26-X26)*Archetypes!$C$15)+(X26*Archetypes!$C$15*Archetypes!$C$22)</f>
        <v>1.8205200000000004</v>
      </c>
      <c r="Z26" s="21">
        <f>V26*Archetypes!$C$16</f>
        <v>1.6200000000000003</v>
      </c>
      <c r="AA26" s="21">
        <f>(IF(S26&lt;0,Assumptions!$B$8,IF(S26&lt;10,Assumptions!$B$34,IF(S26&lt;25,Assumptions!$B$35,Assumptions!$B$36))))*((((Archetypes!$C$5*Assumptions!$B$4+Archetypes!$C$6*Assumptions!$B$5)*60))+(Assumptions!$B$6*(((Archetypes!$C$11*(IF(S26&lt;0,1+Assumptions!$B$32*MIN(1,ABS(S26)/ABS(Assumptions!$B$21)),MAX(0.1,1-Assumptions!$B$31*(S26/50)))))-((Archetypes!$C$11*(IF(S26&lt;0,1+Assumptions!$B$32*MIN(1,ABS(S26)/ABS(Assumptions!$B$21)),MAX(0.1,1-Assumptions!$B$31*(S26/50)))))*W26)*Archetypes!$C$20)+((Archetypes!$C$11*(IF(S26&lt;0,1+Assumptions!$B$32*MIN(1,ABS(S26)/ABS(Assumptions!$B$21)),MAX(0.1,1-Assumptions!$B$31*(S26/50)))))*W26*Archetypes!$C$20*Archetypes!$C$21)*Assumptions!$B$18)*(IF($D26=1,1,Assumptions!$B$7)))+(((((Archetypes!$C$11*(IF(S26&lt;0,1+Assumptions!$B$32*MIN(1,ABS(S26)/ABS(Assumptions!$B$21)),MAX(0.1,1-Assumptions!$B$31*(S26/50)))))-((Archetypes!$C$11*(IF(S26&lt;0,1+Assumptions!$B$32*MIN(1,ABS(S26)/ABS(Assumptions!$B$21)),MAX(0.1,1-Assumptions!$B$31*(S26/50)))))*W26)*Archetypes!$C$15)*(Archetypes!$C$13*IF(S26&lt;0,1-Assumptions!$B$33*MIN(1,ABS(S26)/ABS(Assumptions!$B$21)),1))*5)+(((Archetypes!$C$11*(IF(S26&lt;0,1+Assumptions!$B$32*MIN(1,ABS(S26)/ABS(Assumptions!$B$21)),MAX(0.1,1-Assumptions!$B$31*(S26/50)))))*W26*Archetypes!$C$15*Archetypes!$C$22)*(Archetypes!$C$13*IF(S26&lt;0,1-Assumptions!$B$33*MIN(1,ABS(S26)/ABS(Assumptions!$B$21)),1))*5*Assumptions!$B$18))*IF(S26&lt;0,Assumptions!$B$9,1)))*$E26</f>
        <v>3492.4942799999999</v>
      </c>
      <c r="AB26" s="21">
        <f>(AB25)+(AA26)-(MAX(0,((AB25)+(AA26)-(AC26)))*(IF(Archetypes!$C$27="",Assumptions!$B$11,Archetypes!$C$27)))</f>
        <v>19693.597743340619</v>
      </c>
      <c r="AC26" s="21">
        <f>Archetypes!$C$36 + (Assumptions!$B$67*(IF($E26=0,0,V26/$E26))*Assumptions!$B$71*(1+Assumptions!$B$68*(Archetypes!$C$14-1))) + (Assumptions!$B$69*Archetypes!$C$34*(IF($E26=0,0,V26/$E26))*Assumptions!$B$72*POWER(Assumptions!$B$70,Archetypes!$C$18-1))</f>
        <v>9108.3600000000024</v>
      </c>
      <c r="AD26" s="21">
        <f t="shared" si="5"/>
        <v>10585.237743340616</v>
      </c>
      <c r="AF26" s="21">
        <f t="shared" si="10"/>
        <v>1013.9666981814864</v>
      </c>
      <c r="AG26" s="21">
        <f>MAX(Assumptions!$B$21,AF26+AH26)</f>
        <v>1046.8463796260578</v>
      </c>
      <c r="AH26" s="21">
        <f>((AL26*(Assumptions!$B$22+((Assumptions!$B$23-Assumptions!$B$22)*IF(AI26&gt;0,AK26/AI26,0)))*(1+Assumptions!$B$60*(Archetypes!$D$13-1)))+IF(AL26&gt;AI26,AI26*Assumptions!$B$24,0)-IF(IF(AI26&gt;0,AM26/AI26,1)&lt;Assumptions!$B$61,((AM26*(Assumptions!$B$27*(1+Assumptions!$B$28*(Archetypes!$D$14-1))/(1+Assumptions!$B$29*(Archetypes!$D$12-1))))+(((AI26*Archetypes!$D$17*IF(AI26&gt;0,AM26/AI26,1)*Archetypes!$D$31)/100)*Assumptions!$B$30))*Assumptions!$B$62,((AM26*(Assumptions!$B$27*(1+Assumptions!$B$28*(Archetypes!$D$14-1))/(1+Assumptions!$B$29*(Archetypes!$D$12-1))))+(((AI26*Archetypes!$D$17*IF(AI26&gt;0,AM26/AI26,1)*Archetypes!$D$31)/100)*Assumptions!$B$30)))-(Assumptions!$B$25*Assumptions!$B$26*E26))*E26</f>
        <v>32.879681444571439</v>
      </c>
      <c r="AI26" s="21">
        <f>(Archetypes!$D$11*(IF(AF26&lt;0,1+Assumptions!$B$32*MIN(1,ABS(AF26)/ABS(Assumptions!$B$21)),MAX(0.1,1-Assumptions!$B$31*(AF26/50)))))*$E26</f>
        <v>1.8000000000000003</v>
      </c>
      <c r="AJ26" s="26">
        <f>Archetypes!$D$30</f>
        <v>0.10400000000000001</v>
      </c>
      <c r="AK26" s="21">
        <f t="shared" si="6"/>
        <v>0.18720000000000003</v>
      </c>
      <c r="AL26" s="21">
        <f>((AI26-AK26)*Archetypes!$D$15)+(AK26*Archetypes!$D$15*Archetypes!$D$22)</f>
        <v>2.8123200000000006</v>
      </c>
      <c r="AM26" s="21">
        <f>AI26*Archetypes!$D$16</f>
        <v>0.3600000000000001</v>
      </c>
      <c r="AN26" s="21">
        <f>(IF(AF26&lt;0,Assumptions!$B$8,IF(AF26&lt;10,Assumptions!$B$34,IF(AF26&lt;25,Assumptions!$B$35,Assumptions!$B$36))))*((((Archetypes!$D$5*Assumptions!$B$4+Archetypes!$D$6*Assumptions!$B$5)*60))+(Assumptions!$B$6*(((Archetypes!$D$11*(IF(AF26&lt;0,1+Assumptions!$B$32*MIN(1,ABS(AF26)/ABS(Assumptions!$B$21)),MAX(0.1,1-Assumptions!$B$31*(AF26/50)))))-((Archetypes!$D$11*(IF(AF26&lt;0,1+Assumptions!$B$32*MIN(1,ABS(AF26)/ABS(Assumptions!$B$21)),MAX(0.1,1-Assumptions!$B$31*(AF26/50)))))*AJ26)*Archetypes!$D$20)+((Archetypes!$D$11*(IF(AF26&lt;0,1+Assumptions!$B$32*MIN(1,ABS(AF26)/ABS(Assumptions!$B$21)),MAX(0.1,1-Assumptions!$B$31*(AF26/50)))))*AJ26*Archetypes!$D$20*Archetypes!$D$21)*Assumptions!$B$18)*(IF($D26=1,1,Assumptions!$B$7)))+(((((Archetypes!$D$11*(IF(AF26&lt;0,1+Assumptions!$B$32*MIN(1,ABS(AF26)/ABS(Assumptions!$B$21)),MAX(0.1,1-Assumptions!$B$31*(AF26/50)))))-((Archetypes!$D$11*(IF(AF26&lt;0,1+Assumptions!$B$32*MIN(1,ABS(AF26)/ABS(Assumptions!$B$21)),MAX(0.1,1-Assumptions!$B$31*(AF26/50)))))*AJ26)*Archetypes!$D$15)*(Archetypes!$D$13*IF(AF26&lt;0,1-Assumptions!$B$33*MIN(1,ABS(AF26)/ABS(Assumptions!$B$21)),1))*5)+(((Archetypes!$D$11*(IF(AF26&lt;0,1+Assumptions!$B$32*MIN(1,ABS(AF26)/ABS(Assumptions!$B$21)),MAX(0.1,1-Assumptions!$B$31*(AF26/50)))))*AJ26*Archetypes!$D$15*Archetypes!$D$22)*(Archetypes!$D$13*IF(AF26&lt;0,1-Assumptions!$B$33*MIN(1,ABS(AF26)/ABS(Assumptions!$B$21)),1))*5*Assumptions!$B$18))*IF(AF26&lt;0,Assumptions!$B$9,1)))*$E26</f>
        <v>5637.8204999999998</v>
      </c>
      <c r="AO26" s="21">
        <f>(AO25)+(AN26)-(MAX(0,((AO25)+(AN26)-(AP26)))*(IF(Archetypes!$D$27="",Assumptions!$B$11,Archetypes!$D$27)))</f>
        <v>34179.527738747864</v>
      </c>
      <c r="AP26" s="21">
        <f>Archetypes!$D$36 + (Assumptions!$B$67*(IF($E26=0,0,AI26/$E26))*Assumptions!$B$71*(1+Assumptions!$B$68*(Archetypes!$D$14-1))) + (Assumptions!$B$69*Archetypes!$D$34*(IF($E26=0,0,AI26/$E26))*Assumptions!$B$72*POWER(Assumptions!$B$70,Archetypes!$D$18-1))</f>
        <v>20774.800648960005</v>
      </c>
      <c r="AQ26" s="21">
        <f t="shared" si="7"/>
        <v>13404.727089787859</v>
      </c>
    </row>
    <row r="27" spans="1:43" x14ac:dyDescent="0.25">
      <c r="A27" s="20">
        <v>138</v>
      </c>
      <c r="B27" s="20">
        <f t="shared" si="0"/>
        <v>6</v>
      </c>
      <c r="C27" s="20">
        <f t="shared" si="1"/>
        <v>18</v>
      </c>
      <c r="D27" s="6">
        <f>IF(C27&lt;Assumptions!$B$10,1,0)</f>
        <v>0</v>
      </c>
      <c r="E27" s="6">
        <v>6</v>
      </c>
      <c r="F27" s="21">
        <f t="shared" si="8"/>
        <v>-15</v>
      </c>
      <c r="G27" s="21">
        <f>MAX(Assumptions!$B$21,F27+H27)</f>
        <v>-15</v>
      </c>
      <c r="H27" s="21">
        <f>((L27*(Assumptions!$B$22+((Assumptions!$B$23-Assumptions!$B$22)*IF(I27&gt;0,K27/I27,0)))*(1+Assumptions!$B$60*(Archetypes!$B$13-1)))+IF(L27&gt;I27,I27*Assumptions!$B$24,0)-IF(IF(I27&gt;0,M27/I27,1)&lt;Assumptions!$B$61,((M27*(Assumptions!$B$27*(1+Assumptions!$B$28*(Archetypes!$B$14-1))/(1+Assumptions!$B$29*(Archetypes!$B$12-1))))+(((I27*Archetypes!$B$17*IF(I27&gt;0,M27/I27,1)*Archetypes!$B$31)/100)*Assumptions!$B$30))*Assumptions!$B$62,((M27*(Assumptions!$B$27*(1+Assumptions!$B$28*(Archetypes!$B$14-1))/(1+Assumptions!$B$29*(Archetypes!$B$12-1))))+(((I27*Archetypes!$B$17*IF(I27&gt;0,M27/I27,1)*Archetypes!$B$31)/100)*Assumptions!$B$30)))-(Assumptions!$B$25*Assumptions!$B$26*E27))*E27</f>
        <v>-102.17413047272723</v>
      </c>
      <c r="I27" s="21">
        <f>(Archetypes!$B$11*(IF(F27&lt;0,1+Assumptions!$B$32*MIN(1,ABS(F27)/ABS(Assumptions!$B$21)),MAX(0.1,1-Assumptions!$B$31*(F27/50)))))*$E27</f>
        <v>84</v>
      </c>
      <c r="J27" s="26">
        <f>Archetypes!$B$30</f>
        <v>2.1999999999999999E-2</v>
      </c>
      <c r="K27" s="21">
        <f t="shared" si="2"/>
        <v>1.8479999999999999</v>
      </c>
      <c r="L27" s="21">
        <f>((I27-K27)*Archetypes!$B$15)+(K27*Archetypes!$B$15*Archetypes!$B$22)</f>
        <v>8.4369600000000009</v>
      </c>
      <c r="M27" s="21">
        <f>I27*Archetypes!$B$16</f>
        <v>63</v>
      </c>
      <c r="N27" s="21">
        <f>(IF(F27&lt;0,Assumptions!$B$8,IF(F27&lt;10,Assumptions!$B$34,IF(F27&lt;25,Assumptions!$B$35,Assumptions!$B$36))))*((((Archetypes!$B$5*Assumptions!$B$4+Archetypes!$B$6*Assumptions!$B$5)*60))+(Assumptions!$B$6*(((Archetypes!$B$11*(IF(F27&lt;0,1+Assumptions!$B$32*MIN(1,ABS(F27)/ABS(Assumptions!$B$21)),MAX(0.1,1-Assumptions!$B$31*(F27/50)))))-((Archetypes!$B$11*(IF(F27&lt;0,1+Assumptions!$B$32*MIN(1,ABS(F27)/ABS(Assumptions!$B$21)),MAX(0.1,1-Assumptions!$B$31*(F27/50)))))*J27)*Archetypes!$B$20)+((Archetypes!$B$11*(IF(F27&lt;0,1+Assumptions!$B$32*MIN(1,ABS(F27)/ABS(Assumptions!$B$21)),MAX(0.1,1-Assumptions!$B$31*(F27/50)))))*J27*Archetypes!$B$20*Archetypes!$B$21)*Assumptions!$B$18)*(IF($D27=1,1,Assumptions!$B$7)))+(((((Archetypes!$B$11*(IF(F27&lt;0,1+Assumptions!$B$32*MIN(1,ABS(F27)/ABS(Assumptions!$B$21)),MAX(0.1,1-Assumptions!$B$31*(F27/50)))))-((Archetypes!$B$11*(IF(F27&lt;0,1+Assumptions!$B$32*MIN(1,ABS(F27)/ABS(Assumptions!$B$21)),MAX(0.1,1-Assumptions!$B$31*(F27/50)))))*J27)*Archetypes!$B$15)*(Archetypes!$B$13*IF(F27&lt;0,1-Assumptions!$B$33*MIN(1,ABS(F27)/ABS(Assumptions!$B$21)),1))*5)+(((Archetypes!$B$11*(IF(F27&lt;0,1+Assumptions!$B$32*MIN(1,ABS(F27)/ABS(Assumptions!$B$21)),MAX(0.1,1-Assumptions!$B$31*(F27/50)))))*J27*Archetypes!$B$15*Archetypes!$B$22)*(Archetypes!$B$13*IF(F27&lt;0,1-Assumptions!$B$33*MIN(1,ABS(F27)/ABS(Assumptions!$B$21)),1))*5*Assumptions!$B$18))*IF(F27&lt;0,Assumptions!$B$9,1)))*$E27</f>
        <v>2906.8712639999999</v>
      </c>
      <c r="O27" s="21">
        <f>(O26)+(N27)-(MAX(0,((O26)+(N27)-(P27)))*(IF(Archetypes!$B$27="",Assumptions!$B$11,Archetypes!$B$27)))</f>
        <v>15162.104982751658</v>
      </c>
      <c r="P27" s="21">
        <f>Archetypes!$B$36 + (Assumptions!$B$67*(IF($E27=0,0,I27/$E27))*Assumptions!$B$71*(1+Assumptions!$B$68*(Archetypes!$B$14-1))) + (Assumptions!$B$69*Archetypes!$B$34*(IF($E27=0,0,I27/$E27))*Assumptions!$B$72*POWER(Assumptions!$B$70,Archetypes!$B$18-1))</f>
        <v>2668.56</v>
      </c>
      <c r="Q27" s="21">
        <f t="shared" si="3"/>
        <v>12493.544982751659</v>
      </c>
      <c r="S27" s="21">
        <f t="shared" si="9"/>
        <v>387.09019423039996</v>
      </c>
      <c r="T27" s="21">
        <f>MAX(Assumptions!$B$21,S27+U27)</f>
        <v>397.81408576639996</v>
      </c>
      <c r="U27" s="21">
        <f>((Y27*(Assumptions!$B$22+((Assumptions!$B$23-Assumptions!$B$22)*IF(V27&gt;0,X27/V27,0)))*(1+Assumptions!$B$60*(Archetypes!$C$13-1)))+IF(Y27&gt;V27,V27*Assumptions!$B$24,0)-IF(IF(V27&gt;0,Z27/V27,1)&lt;Assumptions!$B$61,((Z27*(Assumptions!$B$27*(1+Assumptions!$B$28*(Archetypes!$C$14-1))/(1+Assumptions!$B$29*(Archetypes!$C$12-1))))+(((V27*Archetypes!$C$17*IF(V27&gt;0,Z27/V27,1)*Archetypes!$C$31)/100)*Assumptions!$B$30))*Assumptions!$B$62,((Z27*(Assumptions!$B$27*(1+Assumptions!$B$28*(Archetypes!$C$14-1))/(1+Assumptions!$B$29*(Archetypes!$C$12-1))))+(((V27*Archetypes!$C$17*IF(V27&gt;0,Z27/V27,1)*Archetypes!$C$31)/100)*Assumptions!$B$30)))-(Assumptions!$B$25*Assumptions!$B$26*E27))*E27</f>
        <v>10.723891536000004</v>
      </c>
      <c r="V27" s="21">
        <f>(Archetypes!$C$11*(IF(S27&lt;0,1+Assumptions!$B$32*MIN(1,ABS(S27)/ABS(Assumptions!$B$21)),MAX(0.1,1-Assumptions!$B$31*(S27/50)))))*$E27</f>
        <v>3.6000000000000005</v>
      </c>
      <c r="W27" s="26">
        <f>Archetypes!$C$30</f>
        <v>3.7999999999999999E-2</v>
      </c>
      <c r="X27" s="21">
        <f t="shared" si="4"/>
        <v>0.1368</v>
      </c>
      <c r="Y27" s="21">
        <f>((V27-X27)*Archetypes!$C$15)+(X27*Archetypes!$C$15*Archetypes!$C$22)</f>
        <v>1.8205200000000004</v>
      </c>
      <c r="Z27" s="21">
        <f>V27*Archetypes!$C$16</f>
        <v>1.6200000000000003</v>
      </c>
      <c r="AA27" s="21">
        <f>(IF(S27&lt;0,Assumptions!$B$8,IF(S27&lt;10,Assumptions!$B$34,IF(S27&lt;25,Assumptions!$B$35,Assumptions!$B$36))))*((((Archetypes!$C$5*Assumptions!$B$4+Archetypes!$C$6*Assumptions!$B$5)*60))+(Assumptions!$B$6*(((Archetypes!$C$11*(IF(S27&lt;0,1+Assumptions!$B$32*MIN(1,ABS(S27)/ABS(Assumptions!$B$21)),MAX(0.1,1-Assumptions!$B$31*(S27/50)))))-((Archetypes!$C$11*(IF(S27&lt;0,1+Assumptions!$B$32*MIN(1,ABS(S27)/ABS(Assumptions!$B$21)),MAX(0.1,1-Assumptions!$B$31*(S27/50)))))*W27)*Archetypes!$C$20)+((Archetypes!$C$11*(IF(S27&lt;0,1+Assumptions!$B$32*MIN(1,ABS(S27)/ABS(Assumptions!$B$21)),MAX(0.1,1-Assumptions!$B$31*(S27/50)))))*W27*Archetypes!$C$20*Archetypes!$C$21)*Assumptions!$B$18)*(IF($D27=1,1,Assumptions!$B$7)))+(((((Archetypes!$C$11*(IF(S27&lt;0,1+Assumptions!$B$32*MIN(1,ABS(S27)/ABS(Assumptions!$B$21)),MAX(0.1,1-Assumptions!$B$31*(S27/50)))))-((Archetypes!$C$11*(IF(S27&lt;0,1+Assumptions!$B$32*MIN(1,ABS(S27)/ABS(Assumptions!$B$21)),MAX(0.1,1-Assumptions!$B$31*(S27/50)))))*W27)*Archetypes!$C$15)*(Archetypes!$C$13*IF(S27&lt;0,1-Assumptions!$B$33*MIN(1,ABS(S27)/ABS(Assumptions!$B$21)),1))*5)+(((Archetypes!$C$11*(IF(S27&lt;0,1+Assumptions!$B$32*MIN(1,ABS(S27)/ABS(Assumptions!$B$21)),MAX(0.1,1-Assumptions!$B$31*(S27/50)))))*W27*Archetypes!$C$15*Archetypes!$C$22)*(Archetypes!$C$13*IF(S27&lt;0,1-Assumptions!$B$33*MIN(1,ABS(S27)/ABS(Assumptions!$B$21)),1))*5*Assumptions!$B$18))*IF(S27&lt;0,Assumptions!$B$9,1)))*$E27</f>
        <v>3492.4942799999999</v>
      </c>
      <c r="AB27" s="21">
        <f>(AB26)+(AA27)-(MAX(0,((AB26)+(AA27)-(AC27)))*(IF(Archetypes!$C$27="",Assumptions!$B$11,Archetypes!$C$27)))</f>
        <v>19666.659017505463</v>
      </c>
      <c r="AC27" s="21">
        <f>Archetypes!$C$36 + (Assumptions!$B$67*(IF($E27=0,0,V27/$E27))*Assumptions!$B$71*(1+Assumptions!$B$68*(Archetypes!$C$14-1))) + (Assumptions!$B$69*Archetypes!$C$34*(IF($E27=0,0,V27/$E27))*Assumptions!$B$72*POWER(Assumptions!$B$70,Archetypes!$C$18-1))</f>
        <v>9108.3600000000024</v>
      </c>
      <c r="AD27" s="21">
        <f t="shared" si="5"/>
        <v>10558.29901750546</v>
      </c>
      <c r="AF27" s="21">
        <f t="shared" si="10"/>
        <v>1046.8463796260578</v>
      </c>
      <c r="AG27" s="21">
        <f>MAX(Assumptions!$B$21,AF27+AH27)</f>
        <v>1079.7260610706292</v>
      </c>
      <c r="AH27" s="21">
        <f>((AL27*(Assumptions!$B$22+((Assumptions!$B$23-Assumptions!$B$22)*IF(AI27&gt;0,AK27/AI27,0)))*(1+Assumptions!$B$60*(Archetypes!$D$13-1)))+IF(AL27&gt;AI27,AI27*Assumptions!$B$24,0)-IF(IF(AI27&gt;0,AM27/AI27,1)&lt;Assumptions!$B$61,((AM27*(Assumptions!$B$27*(1+Assumptions!$B$28*(Archetypes!$D$14-1))/(1+Assumptions!$B$29*(Archetypes!$D$12-1))))+(((AI27*Archetypes!$D$17*IF(AI27&gt;0,AM27/AI27,1)*Archetypes!$D$31)/100)*Assumptions!$B$30))*Assumptions!$B$62,((AM27*(Assumptions!$B$27*(1+Assumptions!$B$28*(Archetypes!$D$14-1))/(1+Assumptions!$B$29*(Archetypes!$D$12-1))))+(((AI27*Archetypes!$D$17*IF(AI27&gt;0,AM27/AI27,1)*Archetypes!$D$31)/100)*Assumptions!$B$30)))-(Assumptions!$B$25*Assumptions!$B$26*E27))*E27</f>
        <v>32.879681444571439</v>
      </c>
      <c r="AI27" s="21">
        <f>(Archetypes!$D$11*(IF(AF27&lt;0,1+Assumptions!$B$32*MIN(1,ABS(AF27)/ABS(Assumptions!$B$21)),MAX(0.1,1-Assumptions!$B$31*(AF27/50)))))*$E27</f>
        <v>1.8000000000000003</v>
      </c>
      <c r="AJ27" s="26">
        <f>Archetypes!$D$30</f>
        <v>0.10400000000000001</v>
      </c>
      <c r="AK27" s="21">
        <f t="shared" si="6"/>
        <v>0.18720000000000003</v>
      </c>
      <c r="AL27" s="21">
        <f>((AI27-AK27)*Archetypes!$D$15)+(AK27*Archetypes!$D$15*Archetypes!$D$22)</f>
        <v>2.8123200000000006</v>
      </c>
      <c r="AM27" s="21">
        <f>AI27*Archetypes!$D$16</f>
        <v>0.3600000000000001</v>
      </c>
      <c r="AN27" s="21">
        <f>(IF(AF27&lt;0,Assumptions!$B$8,IF(AF27&lt;10,Assumptions!$B$34,IF(AF27&lt;25,Assumptions!$B$35,Assumptions!$B$36))))*((((Archetypes!$D$5*Assumptions!$B$4+Archetypes!$D$6*Assumptions!$B$5)*60))+(Assumptions!$B$6*(((Archetypes!$D$11*(IF(AF27&lt;0,1+Assumptions!$B$32*MIN(1,ABS(AF27)/ABS(Assumptions!$B$21)),MAX(0.1,1-Assumptions!$B$31*(AF27/50)))))-((Archetypes!$D$11*(IF(AF27&lt;0,1+Assumptions!$B$32*MIN(1,ABS(AF27)/ABS(Assumptions!$B$21)),MAX(0.1,1-Assumptions!$B$31*(AF27/50)))))*AJ27)*Archetypes!$D$20)+((Archetypes!$D$11*(IF(AF27&lt;0,1+Assumptions!$B$32*MIN(1,ABS(AF27)/ABS(Assumptions!$B$21)),MAX(0.1,1-Assumptions!$B$31*(AF27/50)))))*AJ27*Archetypes!$D$20*Archetypes!$D$21)*Assumptions!$B$18)*(IF($D27=1,1,Assumptions!$B$7)))+(((((Archetypes!$D$11*(IF(AF27&lt;0,1+Assumptions!$B$32*MIN(1,ABS(AF27)/ABS(Assumptions!$B$21)),MAX(0.1,1-Assumptions!$B$31*(AF27/50)))))-((Archetypes!$D$11*(IF(AF27&lt;0,1+Assumptions!$B$32*MIN(1,ABS(AF27)/ABS(Assumptions!$B$21)),MAX(0.1,1-Assumptions!$B$31*(AF27/50)))))*AJ27)*Archetypes!$D$15)*(Archetypes!$D$13*IF(AF27&lt;0,1-Assumptions!$B$33*MIN(1,ABS(AF27)/ABS(Assumptions!$B$21)),1))*5)+(((Archetypes!$D$11*(IF(AF27&lt;0,1+Assumptions!$B$32*MIN(1,ABS(AF27)/ABS(Assumptions!$B$21)),MAX(0.1,1-Assumptions!$B$31*(AF27/50)))))*AJ27*Archetypes!$D$15*Archetypes!$D$22)*(Archetypes!$D$13*IF(AF27&lt;0,1-Assumptions!$B$33*MIN(1,ABS(AF27)/ABS(Assumptions!$B$21)),1))*5*Assumptions!$B$18))*IF(AF27&lt;0,Assumptions!$B$9,1)))*$E27</f>
        <v>5637.8204999999998</v>
      </c>
      <c r="AO27" s="21">
        <f>(AO26)+(AN27)-(MAX(0,((AO26)+(AN27)-(AP27)))*(IF(Archetypes!$D$27="",Assumptions!$B$11,Archetypes!$D$27)))</f>
        <v>34104.583961811506</v>
      </c>
      <c r="AP27" s="21">
        <f>Archetypes!$D$36 + (Assumptions!$B$67*(IF($E27=0,0,AI27/$E27))*Assumptions!$B$71*(1+Assumptions!$B$68*(Archetypes!$D$14-1))) + (Assumptions!$B$69*Archetypes!$D$34*(IF($E27=0,0,AI27/$E27))*Assumptions!$B$72*POWER(Assumptions!$B$70,Archetypes!$D$18-1))</f>
        <v>20774.800648960005</v>
      </c>
      <c r="AQ27" s="21">
        <f t="shared" si="7"/>
        <v>13329.783312851501</v>
      </c>
    </row>
    <row r="28" spans="1:43" x14ac:dyDescent="0.25">
      <c r="A28" s="20">
        <v>144</v>
      </c>
      <c r="B28" s="20">
        <f t="shared" si="0"/>
        <v>7</v>
      </c>
      <c r="C28" s="20">
        <f t="shared" si="1"/>
        <v>0</v>
      </c>
      <c r="D28" s="6">
        <f>IF(C28&lt;Assumptions!$B$10,1,0)</f>
        <v>1</v>
      </c>
      <c r="E28" s="6">
        <v>6</v>
      </c>
      <c r="F28" s="21">
        <f t="shared" si="8"/>
        <v>-15</v>
      </c>
      <c r="G28" s="21">
        <f>MAX(Assumptions!$B$21,F28+H28)</f>
        <v>-15</v>
      </c>
      <c r="H28" s="21">
        <f>((L28*(Assumptions!$B$22+((Assumptions!$B$23-Assumptions!$B$22)*IF(I28&gt;0,K28/I28,0)))*(1+Assumptions!$B$60*(Archetypes!$B$13-1)))+IF(L28&gt;I28,I28*Assumptions!$B$24,0)-IF(IF(I28&gt;0,M28/I28,1)&lt;Assumptions!$B$61,((M28*(Assumptions!$B$27*(1+Assumptions!$B$28*(Archetypes!$B$14-1))/(1+Assumptions!$B$29*(Archetypes!$B$12-1))))+(((I28*Archetypes!$B$17*IF(I28&gt;0,M28/I28,1)*Archetypes!$B$31)/100)*Assumptions!$B$30))*Assumptions!$B$62,((M28*(Assumptions!$B$27*(1+Assumptions!$B$28*(Archetypes!$B$14-1))/(1+Assumptions!$B$29*(Archetypes!$B$12-1))))+(((I28*Archetypes!$B$17*IF(I28&gt;0,M28/I28,1)*Archetypes!$B$31)/100)*Assumptions!$B$30)))-(Assumptions!$B$25*Assumptions!$B$26*E28))*E28</f>
        <v>-102.17413047272723</v>
      </c>
      <c r="I28" s="21">
        <f>(Archetypes!$B$11*(IF(F28&lt;0,1+Assumptions!$B$32*MIN(1,ABS(F28)/ABS(Assumptions!$B$21)),MAX(0.1,1-Assumptions!$B$31*(F28/50)))))*$E28</f>
        <v>84</v>
      </c>
      <c r="J28" s="26">
        <f>Archetypes!$B$30</f>
        <v>2.1999999999999999E-2</v>
      </c>
      <c r="K28" s="21">
        <f t="shared" si="2"/>
        <v>1.8479999999999999</v>
      </c>
      <c r="L28" s="21">
        <f>((I28-K28)*Archetypes!$B$15)+(K28*Archetypes!$B$15*Archetypes!$B$22)</f>
        <v>8.4369600000000009</v>
      </c>
      <c r="M28" s="21">
        <f>I28*Archetypes!$B$16</f>
        <v>63</v>
      </c>
      <c r="N28" s="21">
        <f>(IF(F28&lt;0,Assumptions!$B$8,IF(F28&lt;10,Assumptions!$B$34,IF(F28&lt;25,Assumptions!$B$35,Assumptions!$B$36))))*((((Archetypes!$B$5*Assumptions!$B$4+Archetypes!$B$6*Assumptions!$B$5)*60))+(Assumptions!$B$6*(((Archetypes!$B$11*(IF(F28&lt;0,1+Assumptions!$B$32*MIN(1,ABS(F28)/ABS(Assumptions!$B$21)),MAX(0.1,1-Assumptions!$B$31*(F28/50)))))-((Archetypes!$B$11*(IF(F28&lt;0,1+Assumptions!$B$32*MIN(1,ABS(F28)/ABS(Assumptions!$B$21)),MAX(0.1,1-Assumptions!$B$31*(F28/50)))))*J28)*Archetypes!$B$20)+((Archetypes!$B$11*(IF(F28&lt;0,1+Assumptions!$B$32*MIN(1,ABS(F28)/ABS(Assumptions!$B$21)),MAX(0.1,1-Assumptions!$B$31*(F28/50)))))*J28*Archetypes!$B$20*Archetypes!$B$21)*Assumptions!$B$18)*(IF($D28=1,1,Assumptions!$B$7)))+(((((Archetypes!$B$11*(IF(F28&lt;0,1+Assumptions!$B$32*MIN(1,ABS(F28)/ABS(Assumptions!$B$21)),MAX(0.1,1-Assumptions!$B$31*(F28/50)))))-((Archetypes!$B$11*(IF(F28&lt;0,1+Assumptions!$B$32*MIN(1,ABS(F28)/ABS(Assumptions!$B$21)),MAX(0.1,1-Assumptions!$B$31*(F28/50)))))*J28)*Archetypes!$B$15)*(Archetypes!$B$13*IF(F28&lt;0,1-Assumptions!$B$33*MIN(1,ABS(F28)/ABS(Assumptions!$B$21)),1))*5)+(((Archetypes!$B$11*(IF(F28&lt;0,1+Assumptions!$B$32*MIN(1,ABS(F28)/ABS(Assumptions!$B$21)),MAX(0.1,1-Assumptions!$B$31*(F28/50)))))*J28*Archetypes!$B$15*Archetypes!$B$22)*(Archetypes!$B$13*IF(F28&lt;0,1-Assumptions!$B$33*MIN(1,ABS(F28)/ABS(Assumptions!$B$21)),1))*5*Assumptions!$B$18))*IF(F28&lt;0,Assumptions!$B$9,1)))*$E28</f>
        <v>4261.2704640000011</v>
      </c>
      <c r="O28" s="21">
        <f>(O27)+(N28)-(MAX(0,((O27)+(N28)-(P28)))*(IF(Archetypes!$B$27="",Assumptions!$B$11,Archetypes!$B$27)))</f>
        <v>16072.412357401328</v>
      </c>
      <c r="P28" s="21">
        <f>Archetypes!$B$36 + (Assumptions!$B$67*(IF($E28=0,0,I28/$E28))*Assumptions!$B$71*(1+Assumptions!$B$68*(Archetypes!$B$14-1))) + (Assumptions!$B$69*Archetypes!$B$34*(IF($E28=0,0,I28/$E28))*Assumptions!$B$72*POWER(Assumptions!$B$70,Archetypes!$B$18-1))</f>
        <v>2668.56</v>
      </c>
      <c r="Q28" s="21">
        <f t="shared" si="3"/>
        <v>13403.852357401329</v>
      </c>
      <c r="S28" s="21">
        <f t="shared" si="9"/>
        <v>397.81408576639996</v>
      </c>
      <c r="T28" s="21">
        <f>MAX(Assumptions!$B$21,S28+U28)</f>
        <v>408.53797730239995</v>
      </c>
      <c r="U28" s="21">
        <f>((Y28*(Assumptions!$B$22+((Assumptions!$B$23-Assumptions!$B$22)*IF(V28&gt;0,X28/V28,0)))*(1+Assumptions!$B$60*(Archetypes!$C$13-1)))+IF(Y28&gt;V28,V28*Assumptions!$B$24,0)-IF(IF(V28&gt;0,Z28/V28,1)&lt;Assumptions!$B$61,((Z28*(Assumptions!$B$27*(1+Assumptions!$B$28*(Archetypes!$C$14-1))/(1+Assumptions!$B$29*(Archetypes!$C$12-1))))+(((V28*Archetypes!$C$17*IF(V28&gt;0,Z28/V28,1)*Archetypes!$C$31)/100)*Assumptions!$B$30))*Assumptions!$B$62,((Z28*(Assumptions!$B$27*(1+Assumptions!$B$28*(Archetypes!$C$14-1))/(1+Assumptions!$B$29*(Archetypes!$C$12-1))))+(((V28*Archetypes!$C$17*IF(V28&gt;0,Z28/V28,1)*Archetypes!$C$31)/100)*Assumptions!$B$30)))-(Assumptions!$B$25*Assumptions!$B$26*E28))*E28</f>
        <v>10.723891536000004</v>
      </c>
      <c r="V28" s="21">
        <f>(Archetypes!$C$11*(IF(S28&lt;0,1+Assumptions!$B$32*MIN(1,ABS(S28)/ABS(Assumptions!$B$21)),MAX(0.1,1-Assumptions!$B$31*(S28/50)))))*$E28</f>
        <v>3.6000000000000005</v>
      </c>
      <c r="W28" s="26">
        <f>Archetypes!$C$30</f>
        <v>3.7999999999999999E-2</v>
      </c>
      <c r="X28" s="21">
        <f t="shared" si="4"/>
        <v>0.1368</v>
      </c>
      <c r="Y28" s="21">
        <f>((V28-X28)*Archetypes!$C$15)+(X28*Archetypes!$C$15*Archetypes!$C$22)</f>
        <v>1.8205200000000004</v>
      </c>
      <c r="Z28" s="21">
        <f>V28*Archetypes!$C$16</f>
        <v>1.6200000000000003</v>
      </c>
      <c r="AA28" s="21">
        <f>(IF(S28&lt;0,Assumptions!$B$8,IF(S28&lt;10,Assumptions!$B$34,IF(S28&lt;25,Assumptions!$B$35,Assumptions!$B$36))))*((((Archetypes!$C$5*Assumptions!$B$4+Archetypes!$C$6*Assumptions!$B$5)*60))+(Assumptions!$B$6*(((Archetypes!$C$11*(IF(S28&lt;0,1+Assumptions!$B$32*MIN(1,ABS(S28)/ABS(Assumptions!$B$21)),MAX(0.1,1-Assumptions!$B$31*(S28/50)))))-((Archetypes!$C$11*(IF(S28&lt;0,1+Assumptions!$B$32*MIN(1,ABS(S28)/ABS(Assumptions!$B$21)),MAX(0.1,1-Assumptions!$B$31*(S28/50)))))*W28)*Archetypes!$C$20)+((Archetypes!$C$11*(IF(S28&lt;0,1+Assumptions!$B$32*MIN(1,ABS(S28)/ABS(Assumptions!$B$21)),MAX(0.1,1-Assumptions!$B$31*(S28/50)))))*W28*Archetypes!$C$20*Archetypes!$C$21)*Assumptions!$B$18)*(IF($D28=1,1,Assumptions!$B$7)))+(((((Archetypes!$C$11*(IF(S28&lt;0,1+Assumptions!$B$32*MIN(1,ABS(S28)/ABS(Assumptions!$B$21)),MAX(0.1,1-Assumptions!$B$31*(S28/50)))))-((Archetypes!$C$11*(IF(S28&lt;0,1+Assumptions!$B$32*MIN(1,ABS(S28)/ABS(Assumptions!$B$21)),MAX(0.1,1-Assumptions!$B$31*(S28/50)))))*W28)*Archetypes!$C$15)*(Archetypes!$C$13*IF(S28&lt;0,1-Assumptions!$B$33*MIN(1,ABS(S28)/ABS(Assumptions!$B$21)),1))*5)+(((Archetypes!$C$11*(IF(S28&lt;0,1+Assumptions!$B$32*MIN(1,ABS(S28)/ABS(Assumptions!$B$21)),MAX(0.1,1-Assumptions!$B$31*(S28/50)))))*W28*Archetypes!$C$15*Archetypes!$C$22)*(Archetypes!$C$13*IF(S28&lt;0,1-Assumptions!$B$33*MIN(1,ABS(S28)/ABS(Assumptions!$B$21)),1))*5*Assumptions!$B$18))*IF(S28&lt;0,Assumptions!$B$9,1)))*$E28</f>
        <v>3697.9335000000001</v>
      </c>
      <c r="AB28" s="21">
        <f>(AB27)+(AA28)-(MAX(0,((AB27)+(AA28)-(AC28)))*(IF(Archetypes!$C$27="",Assumptions!$B$11,Archetypes!$C$27)))</f>
        <v>19800.534388129097</v>
      </c>
      <c r="AC28" s="21">
        <f>Archetypes!$C$36 + (Assumptions!$B$67*(IF($E28=0,0,V28/$E28))*Assumptions!$B$71*(1+Assumptions!$B$68*(Archetypes!$C$14-1))) + (Assumptions!$B$69*Archetypes!$C$34*(IF($E28=0,0,V28/$E28))*Assumptions!$B$72*POWER(Assumptions!$B$70,Archetypes!$C$18-1))</f>
        <v>9108.3600000000024</v>
      </c>
      <c r="AD28" s="21">
        <f t="shared" si="5"/>
        <v>10692.174388129095</v>
      </c>
      <c r="AF28" s="21">
        <f t="shared" si="10"/>
        <v>1079.7260610706292</v>
      </c>
      <c r="AG28" s="21">
        <f>MAX(Assumptions!$B$21,AF28+AH28)</f>
        <v>1112.6057425152005</v>
      </c>
      <c r="AH28" s="21">
        <f>((AL28*(Assumptions!$B$22+((Assumptions!$B$23-Assumptions!$B$22)*IF(AI28&gt;0,AK28/AI28,0)))*(1+Assumptions!$B$60*(Archetypes!$D$13-1)))+IF(AL28&gt;AI28,AI28*Assumptions!$B$24,0)-IF(IF(AI28&gt;0,AM28/AI28,1)&lt;Assumptions!$B$61,((AM28*(Assumptions!$B$27*(1+Assumptions!$B$28*(Archetypes!$D$14-1))/(1+Assumptions!$B$29*(Archetypes!$D$12-1))))+(((AI28*Archetypes!$D$17*IF(AI28&gt;0,AM28/AI28,1)*Archetypes!$D$31)/100)*Assumptions!$B$30))*Assumptions!$B$62,((AM28*(Assumptions!$B$27*(1+Assumptions!$B$28*(Archetypes!$D$14-1))/(1+Assumptions!$B$29*(Archetypes!$D$12-1))))+(((AI28*Archetypes!$D$17*IF(AI28&gt;0,AM28/AI28,1)*Archetypes!$D$31)/100)*Assumptions!$B$30)))-(Assumptions!$B$25*Assumptions!$B$26*E28))*E28</f>
        <v>32.879681444571439</v>
      </c>
      <c r="AI28" s="21">
        <f>(Archetypes!$D$11*(IF(AF28&lt;0,1+Assumptions!$B$32*MIN(1,ABS(AF28)/ABS(Assumptions!$B$21)),MAX(0.1,1-Assumptions!$B$31*(AF28/50)))))*$E28</f>
        <v>1.8000000000000003</v>
      </c>
      <c r="AJ28" s="26">
        <f>Archetypes!$D$30</f>
        <v>0.10400000000000001</v>
      </c>
      <c r="AK28" s="21">
        <f t="shared" si="6"/>
        <v>0.18720000000000003</v>
      </c>
      <c r="AL28" s="21">
        <f>((AI28-AK28)*Archetypes!$D$15)+(AK28*Archetypes!$D$15*Archetypes!$D$22)</f>
        <v>2.8123200000000006</v>
      </c>
      <c r="AM28" s="21">
        <f>AI28*Archetypes!$D$16</f>
        <v>0.3600000000000001</v>
      </c>
      <c r="AN28" s="21">
        <f>(IF(AF28&lt;0,Assumptions!$B$8,IF(AF28&lt;10,Assumptions!$B$34,IF(AF28&lt;25,Assumptions!$B$35,Assumptions!$B$36))))*((((Archetypes!$D$5*Assumptions!$B$4+Archetypes!$D$6*Assumptions!$B$5)*60))+(Assumptions!$B$6*(((Archetypes!$D$11*(IF(AF28&lt;0,1+Assumptions!$B$32*MIN(1,ABS(AF28)/ABS(Assumptions!$B$21)),MAX(0.1,1-Assumptions!$B$31*(AF28/50)))))-((Archetypes!$D$11*(IF(AF28&lt;0,1+Assumptions!$B$32*MIN(1,ABS(AF28)/ABS(Assumptions!$B$21)),MAX(0.1,1-Assumptions!$B$31*(AF28/50)))))*AJ28)*Archetypes!$D$20)+((Archetypes!$D$11*(IF(AF28&lt;0,1+Assumptions!$B$32*MIN(1,ABS(AF28)/ABS(Assumptions!$B$21)),MAX(0.1,1-Assumptions!$B$31*(AF28/50)))))*AJ28*Archetypes!$D$20*Archetypes!$D$21)*Assumptions!$B$18)*(IF($D28=1,1,Assumptions!$B$7)))+(((((Archetypes!$D$11*(IF(AF28&lt;0,1+Assumptions!$B$32*MIN(1,ABS(AF28)/ABS(Assumptions!$B$21)),MAX(0.1,1-Assumptions!$B$31*(AF28/50)))))-((Archetypes!$D$11*(IF(AF28&lt;0,1+Assumptions!$B$32*MIN(1,ABS(AF28)/ABS(Assumptions!$B$21)),MAX(0.1,1-Assumptions!$B$31*(AF28/50)))))*AJ28)*Archetypes!$D$15)*(Archetypes!$D$13*IF(AF28&lt;0,1-Assumptions!$B$33*MIN(1,ABS(AF28)/ABS(Assumptions!$B$21)),1))*5)+(((Archetypes!$D$11*(IF(AF28&lt;0,1+Assumptions!$B$32*MIN(1,ABS(AF28)/ABS(Assumptions!$B$21)),MAX(0.1,1-Assumptions!$B$31*(AF28/50)))))*AJ28*Archetypes!$D$15*Archetypes!$D$22)*(Archetypes!$D$13*IF(AF28&lt;0,1-Assumptions!$B$33*MIN(1,ABS(AF28)/ABS(Assumptions!$B$21)),1))*5*Assumptions!$B$18))*IF(AF28&lt;0,Assumptions!$B$9,1)))*$E28</f>
        <v>6208.1279999999988</v>
      </c>
      <c r="AO28" s="21">
        <f>(AO27)+(AN28)-(MAX(0,((AO27)+(AN28)-(AP28)))*(IF(Archetypes!$D$27="",Assumptions!$B$11,Archetypes!$D$27)))</f>
        <v>34451.338567956052</v>
      </c>
      <c r="AP28" s="21">
        <f>Archetypes!$D$36 + (Assumptions!$B$67*(IF($E28=0,0,AI28/$E28))*Assumptions!$B$71*(1+Assumptions!$B$68*(Archetypes!$D$14-1))) + (Assumptions!$B$69*Archetypes!$D$34*(IF($E28=0,0,AI28/$E28))*Assumptions!$B$72*POWER(Assumptions!$B$70,Archetypes!$D$18-1))</f>
        <v>20774.800648960005</v>
      </c>
      <c r="AQ28" s="21">
        <f t="shared" si="7"/>
        <v>13676.537918996048</v>
      </c>
    </row>
    <row r="29" spans="1:43" x14ac:dyDescent="0.25">
      <c r="A29" s="20">
        <v>150</v>
      </c>
      <c r="B29" s="20">
        <f t="shared" si="0"/>
        <v>7</v>
      </c>
      <c r="C29" s="20">
        <f t="shared" si="1"/>
        <v>6</v>
      </c>
      <c r="D29" s="6">
        <f>IF(C29&lt;Assumptions!$B$10,1,0)</f>
        <v>0</v>
      </c>
      <c r="E29" s="6">
        <v>6</v>
      </c>
      <c r="F29" s="21">
        <f t="shared" si="8"/>
        <v>-15</v>
      </c>
      <c r="G29" s="21">
        <f>MAX(Assumptions!$B$21,F29+H29)</f>
        <v>-15</v>
      </c>
      <c r="H29" s="21">
        <f>((L29*(Assumptions!$B$22+((Assumptions!$B$23-Assumptions!$B$22)*IF(I29&gt;0,K29/I29,0)))*(1+Assumptions!$B$60*(Archetypes!$B$13-1)))+IF(L29&gt;I29,I29*Assumptions!$B$24,0)-IF(IF(I29&gt;0,M29/I29,1)&lt;Assumptions!$B$61,((M29*(Assumptions!$B$27*(1+Assumptions!$B$28*(Archetypes!$B$14-1))/(1+Assumptions!$B$29*(Archetypes!$B$12-1))))+(((I29*Archetypes!$B$17*IF(I29&gt;0,M29/I29,1)*Archetypes!$B$31)/100)*Assumptions!$B$30))*Assumptions!$B$62,((M29*(Assumptions!$B$27*(1+Assumptions!$B$28*(Archetypes!$B$14-1))/(1+Assumptions!$B$29*(Archetypes!$B$12-1))))+(((I29*Archetypes!$B$17*IF(I29&gt;0,M29/I29,1)*Archetypes!$B$31)/100)*Assumptions!$B$30)))-(Assumptions!$B$25*Assumptions!$B$26*E29))*E29</f>
        <v>-102.17413047272723</v>
      </c>
      <c r="I29" s="21">
        <f>(Archetypes!$B$11*(IF(F29&lt;0,1+Assumptions!$B$32*MIN(1,ABS(F29)/ABS(Assumptions!$B$21)),MAX(0.1,1-Assumptions!$B$31*(F29/50)))))*$E29</f>
        <v>84</v>
      </c>
      <c r="J29" s="26">
        <f>Archetypes!$B$30</f>
        <v>2.1999999999999999E-2</v>
      </c>
      <c r="K29" s="21">
        <f t="shared" si="2"/>
        <v>1.8479999999999999</v>
      </c>
      <c r="L29" s="21">
        <f>((I29-K29)*Archetypes!$B$15)+(K29*Archetypes!$B$15*Archetypes!$B$22)</f>
        <v>8.4369600000000009</v>
      </c>
      <c r="M29" s="21">
        <f>I29*Archetypes!$B$16</f>
        <v>63</v>
      </c>
      <c r="N29" s="21">
        <f>(IF(F29&lt;0,Assumptions!$B$8,IF(F29&lt;10,Assumptions!$B$34,IF(F29&lt;25,Assumptions!$B$35,Assumptions!$B$36))))*((((Archetypes!$B$5*Assumptions!$B$4+Archetypes!$B$6*Assumptions!$B$5)*60))+(Assumptions!$B$6*(((Archetypes!$B$11*(IF(F29&lt;0,1+Assumptions!$B$32*MIN(1,ABS(F29)/ABS(Assumptions!$B$21)),MAX(0.1,1-Assumptions!$B$31*(F29/50)))))-((Archetypes!$B$11*(IF(F29&lt;0,1+Assumptions!$B$32*MIN(1,ABS(F29)/ABS(Assumptions!$B$21)),MAX(0.1,1-Assumptions!$B$31*(F29/50)))))*J29)*Archetypes!$B$20)+((Archetypes!$B$11*(IF(F29&lt;0,1+Assumptions!$B$32*MIN(1,ABS(F29)/ABS(Assumptions!$B$21)),MAX(0.1,1-Assumptions!$B$31*(F29/50)))))*J29*Archetypes!$B$20*Archetypes!$B$21)*Assumptions!$B$18)*(IF($D29=1,1,Assumptions!$B$7)))+(((((Archetypes!$B$11*(IF(F29&lt;0,1+Assumptions!$B$32*MIN(1,ABS(F29)/ABS(Assumptions!$B$21)),MAX(0.1,1-Assumptions!$B$31*(F29/50)))))-((Archetypes!$B$11*(IF(F29&lt;0,1+Assumptions!$B$32*MIN(1,ABS(F29)/ABS(Assumptions!$B$21)),MAX(0.1,1-Assumptions!$B$31*(F29/50)))))*J29)*Archetypes!$B$15)*(Archetypes!$B$13*IF(F29&lt;0,1-Assumptions!$B$33*MIN(1,ABS(F29)/ABS(Assumptions!$B$21)),1))*5)+(((Archetypes!$B$11*(IF(F29&lt;0,1+Assumptions!$B$32*MIN(1,ABS(F29)/ABS(Assumptions!$B$21)),MAX(0.1,1-Assumptions!$B$31*(F29/50)))))*J29*Archetypes!$B$15*Archetypes!$B$22)*(Archetypes!$B$13*IF(F29&lt;0,1-Assumptions!$B$33*MIN(1,ABS(F29)/ABS(Assumptions!$B$21)),1))*5*Assumptions!$B$18))*IF(F29&lt;0,Assumptions!$B$9,1)))*$E29</f>
        <v>2906.8712639999999</v>
      </c>
      <c r="O29" s="21">
        <f>(O28)+(N29)-(MAX(0,((O28)+(N29)-(P29)))*(IF(Archetypes!$B$27="",Assumptions!$B$11,Archetypes!$B$27)))</f>
        <v>15717.138897121064</v>
      </c>
      <c r="P29" s="21">
        <f>Archetypes!$B$36 + (Assumptions!$B$67*(IF($E29=0,0,I29/$E29))*Assumptions!$B$71*(1+Assumptions!$B$68*(Archetypes!$B$14-1))) + (Assumptions!$B$69*Archetypes!$B$34*(IF($E29=0,0,I29/$E29))*Assumptions!$B$72*POWER(Assumptions!$B$70,Archetypes!$B$18-1))</f>
        <v>2668.56</v>
      </c>
      <c r="Q29" s="21">
        <f t="shared" si="3"/>
        <v>13048.578897121064</v>
      </c>
      <c r="S29" s="21">
        <f t="shared" si="9"/>
        <v>408.53797730239995</v>
      </c>
      <c r="T29" s="21">
        <f>MAX(Assumptions!$B$21,S29+U29)</f>
        <v>419.26186883839995</v>
      </c>
      <c r="U29" s="21">
        <f>((Y29*(Assumptions!$B$22+((Assumptions!$B$23-Assumptions!$B$22)*IF(V29&gt;0,X29/V29,0)))*(1+Assumptions!$B$60*(Archetypes!$C$13-1)))+IF(Y29&gt;V29,V29*Assumptions!$B$24,0)-IF(IF(V29&gt;0,Z29/V29,1)&lt;Assumptions!$B$61,((Z29*(Assumptions!$B$27*(1+Assumptions!$B$28*(Archetypes!$C$14-1))/(1+Assumptions!$B$29*(Archetypes!$C$12-1))))+(((V29*Archetypes!$C$17*IF(V29&gt;0,Z29/V29,1)*Archetypes!$C$31)/100)*Assumptions!$B$30))*Assumptions!$B$62,((Z29*(Assumptions!$B$27*(1+Assumptions!$B$28*(Archetypes!$C$14-1))/(1+Assumptions!$B$29*(Archetypes!$C$12-1))))+(((V29*Archetypes!$C$17*IF(V29&gt;0,Z29/V29,1)*Archetypes!$C$31)/100)*Assumptions!$B$30)))-(Assumptions!$B$25*Assumptions!$B$26*E29))*E29</f>
        <v>10.723891536000004</v>
      </c>
      <c r="V29" s="21">
        <f>(Archetypes!$C$11*(IF(S29&lt;0,1+Assumptions!$B$32*MIN(1,ABS(S29)/ABS(Assumptions!$B$21)),MAX(0.1,1-Assumptions!$B$31*(S29/50)))))*$E29</f>
        <v>3.6000000000000005</v>
      </c>
      <c r="W29" s="26">
        <f>Archetypes!$C$30</f>
        <v>3.7999999999999999E-2</v>
      </c>
      <c r="X29" s="21">
        <f t="shared" si="4"/>
        <v>0.1368</v>
      </c>
      <c r="Y29" s="21">
        <f>((V29-X29)*Archetypes!$C$15)+(X29*Archetypes!$C$15*Archetypes!$C$22)</f>
        <v>1.8205200000000004</v>
      </c>
      <c r="Z29" s="21">
        <f>V29*Archetypes!$C$16</f>
        <v>1.6200000000000003</v>
      </c>
      <c r="AA29" s="21">
        <f>(IF(S29&lt;0,Assumptions!$B$8,IF(S29&lt;10,Assumptions!$B$34,IF(S29&lt;25,Assumptions!$B$35,Assumptions!$B$36))))*((((Archetypes!$C$5*Assumptions!$B$4+Archetypes!$C$6*Assumptions!$B$5)*60))+(Assumptions!$B$6*(((Archetypes!$C$11*(IF(S29&lt;0,1+Assumptions!$B$32*MIN(1,ABS(S29)/ABS(Assumptions!$B$21)),MAX(0.1,1-Assumptions!$B$31*(S29/50)))))-((Archetypes!$C$11*(IF(S29&lt;0,1+Assumptions!$B$32*MIN(1,ABS(S29)/ABS(Assumptions!$B$21)),MAX(0.1,1-Assumptions!$B$31*(S29/50)))))*W29)*Archetypes!$C$20)+((Archetypes!$C$11*(IF(S29&lt;0,1+Assumptions!$B$32*MIN(1,ABS(S29)/ABS(Assumptions!$B$21)),MAX(0.1,1-Assumptions!$B$31*(S29/50)))))*W29*Archetypes!$C$20*Archetypes!$C$21)*Assumptions!$B$18)*(IF($D29=1,1,Assumptions!$B$7)))+(((((Archetypes!$C$11*(IF(S29&lt;0,1+Assumptions!$B$32*MIN(1,ABS(S29)/ABS(Assumptions!$B$21)),MAX(0.1,1-Assumptions!$B$31*(S29/50)))))-((Archetypes!$C$11*(IF(S29&lt;0,1+Assumptions!$B$32*MIN(1,ABS(S29)/ABS(Assumptions!$B$21)),MAX(0.1,1-Assumptions!$B$31*(S29/50)))))*W29)*Archetypes!$C$15)*(Archetypes!$C$13*IF(S29&lt;0,1-Assumptions!$B$33*MIN(1,ABS(S29)/ABS(Assumptions!$B$21)),1))*5)+(((Archetypes!$C$11*(IF(S29&lt;0,1+Assumptions!$B$32*MIN(1,ABS(S29)/ABS(Assumptions!$B$21)),MAX(0.1,1-Assumptions!$B$31*(S29/50)))))*W29*Archetypes!$C$15*Archetypes!$C$22)*(Archetypes!$C$13*IF(S29&lt;0,1-Assumptions!$B$33*MIN(1,ABS(S29)/ABS(Assumptions!$B$21)),1))*5*Assumptions!$B$18))*IF(S29&lt;0,Assumptions!$B$9,1)))*$E29</f>
        <v>3492.4942799999999</v>
      </c>
      <c r="AB29" s="21">
        <f>(AB28)+(AA29)-(MAX(0,((AB28)+(AA29)-(AC29)))*(IF(Archetypes!$C$27="",Assumptions!$B$11,Archetypes!$C$27)))</f>
        <v>19746.861501096824</v>
      </c>
      <c r="AC29" s="21">
        <f>Archetypes!$C$36 + (Assumptions!$B$67*(IF($E29=0,0,V29/$E29))*Assumptions!$B$71*(1+Assumptions!$B$68*(Archetypes!$C$14-1))) + (Assumptions!$B$69*Archetypes!$C$34*(IF($E29=0,0,V29/$E29))*Assumptions!$B$72*POWER(Assumptions!$B$70,Archetypes!$C$18-1))</f>
        <v>9108.3600000000024</v>
      </c>
      <c r="AD29" s="21">
        <f t="shared" si="5"/>
        <v>10638.501501096822</v>
      </c>
      <c r="AF29" s="21">
        <f t="shared" si="10"/>
        <v>1112.6057425152005</v>
      </c>
      <c r="AG29" s="21">
        <f>MAX(Assumptions!$B$21,AF29+AH29)</f>
        <v>1145.4854239597719</v>
      </c>
      <c r="AH29" s="21">
        <f>((AL29*(Assumptions!$B$22+((Assumptions!$B$23-Assumptions!$B$22)*IF(AI29&gt;0,AK29/AI29,0)))*(1+Assumptions!$B$60*(Archetypes!$D$13-1)))+IF(AL29&gt;AI29,AI29*Assumptions!$B$24,0)-IF(IF(AI29&gt;0,AM29/AI29,1)&lt;Assumptions!$B$61,((AM29*(Assumptions!$B$27*(1+Assumptions!$B$28*(Archetypes!$D$14-1))/(1+Assumptions!$B$29*(Archetypes!$D$12-1))))+(((AI29*Archetypes!$D$17*IF(AI29&gt;0,AM29/AI29,1)*Archetypes!$D$31)/100)*Assumptions!$B$30))*Assumptions!$B$62,((AM29*(Assumptions!$B$27*(1+Assumptions!$B$28*(Archetypes!$D$14-1))/(1+Assumptions!$B$29*(Archetypes!$D$12-1))))+(((AI29*Archetypes!$D$17*IF(AI29&gt;0,AM29/AI29,1)*Archetypes!$D$31)/100)*Assumptions!$B$30)))-(Assumptions!$B$25*Assumptions!$B$26*E29))*E29</f>
        <v>32.879681444571439</v>
      </c>
      <c r="AI29" s="21">
        <f>(Archetypes!$D$11*(IF(AF29&lt;0,1+Assumptions!$B$32*MIN(1,ABS(AF29)/ABS(Assumptions!$B$21)),MAX(0.1,1-Assumptions!$B$31*(AF29/50)))))*$E29</f>
        <v>1.8000000000000003</v>
      </c>
      <c r="AJ29" s="26">
        <f>Archetypes!$D$30</f>
        <v>0.10400000000000001</v>
      </c>
      <c r="AK29" s="21">
        <f t="shared" si="6"/>
        <v>0.18720000000000003</v>
      </c>
      <c r="AL29" s="21">
        <f>((AI29-AK29)*Archetypes!$D$15)+(AK29*Archetypes!$D$15*Archetypes!$D$22)</f>
        <v>2.8123200000000006</v>
      </c>
      <c r="AM29" s="21">
        <f>AI29*Archetypes!$D$16</f>
        <v>0.3600000000000001</v>
      </c>
      <c r="AN29" s="21">
        <f>(IF(AF29&lt;0,Assumptions!$B$8,IF(AF29&lt;10,Assumptions!$B$34,IF(AF29&lt;25,Assumptions!$B$35,Assumptions!$B$36))))*((((Archetypes!$D$5*Assumptions!$B$4+Archetypes!$D$6*Assumptions!$B$5)*60))+(Assumptions!$B$6*(((Archetypes!$D$11*(IF(AF29&lt;0,1+Assumptions!$B$32*MIN(1,ABS(AF29)/ABS(Assumptions!$B$21)),MAX(0.1,1-Assumptions!$B$31*(AF29/50)))))-((Archetypes!$D$11*(IF(AF29&lt;0,1+Assumptions!$B$32*MIN(1,ABS(AF29)/ABS(Assumptions!$B$21)),MAX(0.1,1-Assumptions!$B$31*(AF29/50)))))*AJ29)*Archetypes!$D$20)+((Archetypes!$D$11*(IF(AF29&lt;0,1+Assumptions!$B$32*MIN(1,ABS(AF29)/ABS(Assumptions!$B$21)),MAX(0.1,1-Assumptions!$B$31*(AF29/50)))))*AJ29*Archetypes!$D$20*Archetypes!$D$21)*Assumptions!$B$18)*(IF($D29=1,1,Assumptions!$B$7)))+(((((Archetypes!$D$11*(IF(AF29&lt;0,1+Assumptions!$B$32*MIN(1,ABS(AF29)/ABS(Assumptions!$B$21)),MAX(0.1,1-Assumptions!$B$31*(AF29/50)))))-((Archetypes!$D$11*(IF(AF29&lt;0,1+Assumptions!$B$32*MIN(1,ABS(AF29)/ABS(Assumptions!$B$21)),MAX(0.1,1-Assumptions!$B$31*(AF29/50)))))*AJ29)*Archetypes!$D$15)*(Archetypes!$D$13*IF(AF29&lt;0,1-Assumptions!$B$33*MIN(1,ABS(AF29)/ABS(Assumptions!$B$21)),1))*5)+(((Archetypes!$D$11*(IF(AF29&lt;0,1+Assumptions!$B$32*MIN(1,ABS(AF29)/ABS(Assumptions!$B$21)),MAX(0.1,1-Assumptions!$B$31*(AF29/50)))))*AJ29*Archetypes!$D$15*Archetypes!$D$22)*(Archetypes!$D$13*IF(AF29&lt;0,1-Assumptions!$B$33*MIN(1,ABS(AF29)/ABS(Assumptions!$B$21)),1))*5*Assumptions!$B$18))*IF(AF29&lt;0,Assumptions!$B$9,1)))*$E29</f>
        <v>5637.8204999999998</v>
      </c>
      <c r="AO29" s="21">
        <f>(AO28)+(AN29)-(MAX(0,((AO28)+(AN29)-(AP29)))*(IF(Archetypes!$D$27="",Assumptions!$B$11,Archetypes!$D$27)))</f>
        <v>34294.851542257238</v>
      </c>
      <c r="AP29" s="21">
        <f>Archetypes!$D$36 + (Assumptions!$B$67*(IF($E29=0,0,AI29/$E29))*Assumptions!$B$71*(1+Assumptions!$B$68*(Archetypes!$D$14-1))) + (Assumptions!$B$69*Archetypes!$D$34*(IF($E29=0,0,AI29/$E29))*Assumptions!$B$72*POWER(Assumptions!$B$70,Archetypes!$D$18-1))</f>
        <v>20774.800648960005</v>
      </c>
      <c r="AQ29" s="21">
        <f t="shared" si="7"/>
        <v>13520.050893297233</v>
      </c>
    </row>
    <row r="30" spans="1:43" x14ac:dyDescent="0.25">
      <c r="A30" s="20">
        <v>156</v>
      </c>
      <c r="B30" s="20">
        <f t="shared" si="0"/>
        <v>7</v>
      </c>
      <c r="C30" s="20">
        <f t="shared" si="1"/>
        <v>12</v>
      </c>
      <c r="D30" s="6">
        <f>IF(C30&lt;Assumptions!$B$10,1,0)</f>
        <v>0</v>
      </c>
      <c r="E30" s="6">
        <v>6</v>
      </c>
      <c r="F30" s="21">
        <f t="shared" si="8"/>
        <v>-15</v>
      </c>
      <c r="G30" s="21">
        <f>MAX(Assumptions!$B$21,F30+H30)</f>
        <v>-15</v>
      </c>
      <c r="H30" s="21">
        <f>((L30*(Assumptions!$B$22+((Assumptions!$B$23-Assumptions!$B$22)*IF(I30&gt;0,K30/I30,0)))*(1+Assumptions!$B$60*(Archetypes!$B$13-1)))+IF(L30&gt;I30,I30*Assumptions!$B$24,0)-IF(IF(I30&gt;0,M30/I30,1)&lt;Assumptions!$B$61,((M30*(Assumptions!$B$27*(1+Assumptions!$B$28*(Archetypes!$B$14-1))/(1+Assumptions!$B$29*(Archetypes!$B$12-1))))+(((I30*Archetypes!$B$17*IF(I30&gt;0,M30/I30,1)*Archetypes!$B$31)/100)*Assumptions!$B$30))*Assumptions!$B$62,((M30*(Assumptions!$B$27*(1+Assumptions!$B$28*(Archetypes!$B$14-1))/(1+Assumptions!$B$29*(Archetypes!$B$12-1))))+(((I30*Archetypes!$B$17*IF(I30&gt;0,M30/I30,1)*Archetypes!$B$31)/100)*Assumptions!$B$30)))-(Assumptions!$B$25*Assumptions!$B$26*E30))*E30</f>
        <v>-102.17413047272723</v>
      </c>
      <c r="I30" s="21">
        <f>(Archetypes!$B$11*(IF(F30&lt;0,1+Assumptions!$B$32*MIN(1,ABS(F30)/ABS(Assumptions!$B$21)),MAX(0.1,1-Assumptions!$B$31*(F30/50)))))*$E30</f>
        <v>84</v>
      </c>
      <c r="J30" s="26">
        <f>Archetypes!$B$30</f>
        <v>2.1999999999999999E-2</v>
      </c>
      <c r="K30" s="21">
        <f t="shared" si="2"/>
        <v>1.8479999999999999</v>
      </c>
      <c r="L30" s="21">
        <f>((I30-K30)*Archetypes!$B$15)+(K30*Archetypes!$B$15*Archetypes!$B$22)</f>
        <v>8.4369600000000009</v>
      </c>
      <c r="M30" s="21">
        <f>I30*Archetypes!$B$16</f>
        <v>63</v>
      </c>
      <c r="N30" s="21">
        <f>(IF(F30&lt;0,Assumptions!$B$8,IF(F30&lt;10,Assumptions!$B$34,IF(F30&lt;25,Assumptions!$B$35,Assumptions!$B$36))))*((((Archetypes!$B$5*Assumptions!$B$4+Archetypes!$B$6*Assumptions!$B$5)*60))+(Assumptions!$B$6*(((Archetypes!$B$11*(IF(F30&lt;0,1+Assumptions!$B$32*MIN(1,ABS(F30)/ABS(Assumptions!$B$21)),MAX(0.1,1-Assumptions!$B$31*(F30/50)))))-((Archetypes!$B$11*(IF(F30&lt;0,1+Assumptions!$B$32*MIN(1,ABS(F30)/ABS(Assumptions!$B$21)),MAX(0.1,1-Assumptions!$B$31*(F30/50)))))*J30)*Archetypes!$B$20)+((Archetypes!$B$11*(IF(F30&lt;0,1+Assumptions!$B$32*MIN(1,ABS(F30)/ABS(Assumptions!$B$21)),MAX(0.1,1-Assumptions!$B$31*(F30/50)))))*J30*Archetypes!$B$20*Archetypes!$B$21)*Assumptions!$B$18)*(IF($D30=1,1,Assumptions!$B$7)))+(((((Archetypes!$B$11*(IF(F30&lt;0,1+Assumptions!$B$32*MIN(1,ABS(F30)/ABS(Assumptions!$B$21)),MAX(0.1,1-Assumptions!$B$31*(F30/50)))))-((Archetypes!$B$11*(IF(F30&lt;0,1+Assumptions!$B$32*MIN(1,ABS(F30)/ABS(Assumptions!$B$21)),MAX(0.1,1-Assumptions!$B$31*(F30/50)))))*J30)*Archetypes!$B$15)*(Archetypes!$B$13*IF(F30&lt;0,1-Assumptions!$B$33*MIN(1,ABS(F30)/ABS(Assumptions!$B$21)),1))*5)+(((Archetypes!$B$11*(IF(F30&lt;0,1+Assumptions!$B$32*MIN(1,ABS(F30)/ABS(Assumptions!$B$21)),MAX(0.1,1-Assumptions!$B$31*(F30/50)))))*J30*Archetypes!$B$15*Archetypes!$B$22)*(Archetypes!$B$13*IF(F30&lt;0,1-Assumptions!$B$33*MIN(1,ABS(F30)/ABS(Assumptions!$B$21)),1))*5*Assumptions!$B$18))*IF(F30&lt;0,Assumptions!$B$9,1)))*$E30</f>
        <v>2906.8712639999999</v>
      </c>
      <c r="O30" s="21">
        <f>(O29)+(N30)-(MAX(0,((O29)+(N30)-(P30)))*(IF(Archetypes!$B$27="",Assumptions!$B$11,Archetypes!$B$27)))</f>
        <v>15432.920128896851</v>
      </c>
      <c r="P30" s="21">
        <f>Archetypes!$B$36 + (Assumptions!$B$67*(IF($E30=0,0,I30/$E30))*Assumptions!$B$71*(1+Assumptions!$B$68*(Archetypes!$B$14-1))) + (Assumptions!$B$69*Archetypes!$B$34*(IF($E30=0,0,I30/$E30))*Assumptions!$B$72*POWER(Assumptions!$B$70,Archetypes!$B$18-1))</f>
        <v>2668.56</v>
      </c>
      <c r="Q30" s="21">
        <f t="shared" si="3"/>
        <v>12764.360128896851</v>
      </c>
      <c r="S30" s="21">
        <f t="shared" si="9"/>
        <v>419.26186883839995</v>
      </c>
      <c r="T30" s="21">
        <f>MAX(Assumptions!$B$21,S30+U30)</f>
        <v>429.98576037439994</v>
      </c>
      <c r="U30" s="21">
        <f>((Y30*(Assumptions!$B$22+((Assumptions!$B$23-Assumptions!$B$22)*IF(V30&gt;0,X30/V30,0)))*(1+Assumptions!$B$60*(Archetypes!$C$13-1)))+IF(Y30&gt;V30,V30*Assumptions!$B$24,0)-IF(IF(V30&gt;0,Z30/V30,1)&lt;Assumptions!$B$61,((Z30*(Assumptions!$B$27*(1+Assumptions!$B$28*(Archetypes!$C$14-1))/(1+Assumptions!$B$29*(Archetypes!$C$12-1))))+(((V30*Archetypes!$C$17*IF(V30&gt;0,Z30/V30,1)*Archetypes!$C$31)/100)*Assumptions!$B$30))*Assumptions!$B$62,((Z30*(Assumptions!$B$27*(1+Assumptions!$B$28*(Archetypes!$C$14-1))/(1+Assumptions!$B$29*(Archetypes!$C$12-1))))+(((V30*Archetypes!$C$17*IF(V30&gt;0,Z30/V30,1)*Archetypes!$C$31)/100)*Assumptions!$B$30)))-(Assumptions!$B$25*Assumptions!$B$26*E30))*E30</f>
        <v>10.723891536000004</v>
      </c>
      <c r="V30" s="21">
        <f>(Archetypes!$C$11*(IF(S30&lt;0,1+Assumptions!$B$32*MIN(1,ABS(S30)/ABS(Assumptions!$B$21)),MAX(0.1,1-Assumptions!$B$31*(S30/50)))))*$E30</f>
        <v>3.6000000000000005</v>
      </c>
      <c r="W30" s="26">
        <f>Archetypes!$C$30</f>
        <v>3.7999999999999999E-2</v>
      </c>
      <c r="X30" s="21">
        <f t="shared" si="4"/>
        <v>0.1368</v>
      </c>
      <c r="Y30" s="21">
        <f>((V30-X30)*Archetypes!$C$15)+(X30*Archetypes!$C$15*Archetypes!$C$22)</f>
        <v>1.8205200000000004</v>
      </c>
      <c r="Z30" s="21">
        <f>V30*Archetypes!$C$16</f>
        <v>1.6200000000000003</v>
      </c>
      <c r="AA30" s="21">
        <f>(IF(S30&lt;0,Assumptions!$B$8,IF(S30&lt;10,Assumptions!$B$34,IF(S30&lt;25,Assumptions!$B$35,Assumptions!$B$36))))*((((Archetypes!$C$5*Assumptions!$B$4+Archetypes!$C$6*Assumptions!$B$5)*60))+(Assumptions!$B$6*(((Archetypes!$C$11*(IF(S30&lt;0,1+Assumptions!$B$32*MIN(1,ABS(S30)/ABS(Assumptions!$B$21)),MAX(0.1,1-Assumptions!$B$31*(S30/50)))))-((Archetypes!$C$11*(IF(S30&lt;0,1+Assumptions!$B$32*MIN(1,ABS(S30)/ABS(Assumptions!$B$21)),MAX(0.1,1-Assumptions!$B$31*(S30/50)))))*W30)*Archetypes!$C$20)+((Archetypes!$C$11*(IF(S30&lt;0,1+Assumptions!$B$32*MIN(1,ABS(S30)/ABS(Assumptions!$B$21)),MAX(0.1,1-Assumptions!$B$31*(S30/50)))))*W30*Archetypes!$C$20*Archetypes!$C$21)*Assumptions!$B$18)*(IF($D30=1,1,Assumptions!$B$7)))+(((((Archetypes!$C$11*(IF(S30&lt;0,1+Assumptions!$B$32*MIN(1,ABS(S30)/ABS(Assumptions!$B$21)),MAX(0.1,1-Assumptions!$B$31*(S30/50)))))-((Archetypes!$C$11*(IF(S30&lt;0,1+Assumptions!$B$32*MIN(1,ABS(S30)/ABS(Assumptions!$B$21)),MAX(0.1,1-Assumptions!$B$31*(S30/50)))))*W30)*Archetypes!$C$15)*(Archetypes!$C$13*IF(S30&lt;0,1-Assumptions!$B$33*MIN(1,ABS(S30)/ABS(Assumptions!$B$21)),1))*5)+(((Archetypes!$C$11*(IF(S30&lt;0,1+Assumptions!$B$32*MIN(1,ABS(S30)/ABS(Assumptions!$B$21)),MAX(0.1,1-Assumptions!$B$31*(S30/50)))))*W30*Archetypes!$C$15*Archetypes!$C$22)*(Archetypes!$C$13*IF(S30&lt;0,1-Assumptions!$B$33*MIN(1,ABS(S30)/ABS(Assumptions!$B$21)),1))*5*Assumptions!$B$18))*IF(S30&lt;0,Assumptions!$B$9,1)))*$E30</f>
        <v>3492.4942799999999</v>
      </c>
      <c r="AB30" s="21">
        <f>(AB29)+(AA30)-(MAX(0,((AB29)+(AA30)-(AC30)))*(IF(Archetypes!$C$27="",Assumptions!$B$11,Archetypes!$C$27)))</f>
        <v>19706.606835822618</v>
      </c>
      <c r="AC30" s="21">
        <f>Archetypes!$C$36 + (Assumptions!$B$67*(IF($E30=0,0,V30/$E30))*Assumptions!$B$71*(1+Assumptions!$B$68*(Archetypes!$C$14-1))) + (Assumptions!$B$69*Archetypes!$C$34*(IF($E30=0,0,V30/$E30))*Assumptions!$B$72*POWER(Assumptions!$B$70,Archetypes!$C$18-1))</f>
        <v>9108.3600000000024</v>
      </c>
      <c r="AD30" s="21">
        <f t="shared" si="5"/>
        <v>10598.246835822616</v>
      </c>
      <c r="AF30" s="21">
        <f t="shared" si="10"/>
        <v>1145.4854239597719</v>
      </c>
      <c r="AG30" s="21">
        <f>MAX(Assumptions!$B$21,AF30+AH30)</f>
        <v>1178.3651054043432</v>
      </c>
      <c r="AH30" s="21">
        <f>((AL30*(Assumptions!$B$22+((Assumptions!$B$23-Assumptions!$B$22)*IF(AI30&gt;0,AK30/AI30,0)))*(1+Assumptions!$B$60*(Archetypes!$D$13-1)))+IF(AL30&gt;AI30,AI30*Assumptions!$B$24,0)-IF(IF(AI30&gt;0,AM30/AI30,1)&lt;Assumptions!$B$61,((AM30*(Assumptions!$B$27*(1+Assumptions!$B$28*(Archetypes!$D$14-1))/(1+Assumptions!$B$29*(Archetypes!$D$12-1))))+(((AI30*Archetypes!$D$17*IF(AI30&gt;0,AM30/AI30,1)*Archetypes!$D$31)/100)*Assumptions!$B$30))*Assumptions!$B$62,((AM30*(Assumptions!$B$27*(1+Assumptions!$B$28*(Archetypes!$D$14-1))/(1+Assumptions!$B$29*(Archetypes!$D$12-1))))+(((AI30*Archetypes!$D$17*IF(AI30&gt;0,AM30/AI30,1)*Archetypes!$D$31)/100)*Assumptions!$B$30)))-(Assumptions!$B$25*Assumptions!$B$26*E30))*E30</f>
        <v>32.879681444571439</v>
      </c>
      <c r="AI30" s="21">
        <f>(Archetypes!$D$11*(IF(AF30&lt;0,1+Assumptions!$B$32*MIN(1,ABS(AF30)/ABS(Assumptions!$B$21)),MAX(0.1,1-Assumptions!$B$31*(AF30/50)))))*$E30</f>
        <v>1.8000000000000003</v>
      </c>
      <c r="AJ30" s="26">
        <f>Archetypes!$D$30</f>
        <v>0.10400000000000001</v>
      </c>
      <c r="AK30" s="21">
        <f t="shared" si="6"/>
        <v>0.18720000000000003</v>
      </c>
      <c r="AL30" s="21">
        <f>((AI30-AK30)*Archetypes!$D$15)+(AK30*Archetypes!$D$15*Archetypes!$D$22)</f>
        <v>2.8123200000000006</v>
      </c>
      <c r="AM30" s="21">
        <f>AI30*Archetypes!$D$16</f>
        <v>0.3600000000000001</v>
      </c>
      <c r="AN30" s="21">
        <f>(IF(AF30&lt;0,Assumptions!$B$8,IF(AF30&lt;10,Assumptions!$B$34,IF(AF30&lt;25,Assumptions!$B$35,Assumptions!$B$36))))*((((Archetypes!$D$5*Assumptions!$B$4+Archetypes!$D$6*Assumptions!$B$5)*60))+(Assumptions!$B$6*(((Archetypes!$D$11*(IF(AF30&lt;0,1+Assumptions!$B$32*MIN(1,ABS(AF30)/ABS(Assumptions!$B$21)),MAX(0.1,1-Assumptions!$B$31*(AF30/50)))))-((Archetypes!$D$11*(IF(AF30&lt;0,1+Assumptions!$B$32*MIN(1,ABS(AF30)/ABS(Assumptions!$B$21)),MAX(0.1,1-Assumptions!$B$31*(AF30/50)))))*AJ30)*Archetypes!$D$20)+((Archetypes!$D$11*(IF(AF30&lt;0,1+Assumptions!$B$32*MIN(1,ABS(AF30)/ABS(Assumptions!$B$21)),MAX(0.1,1-Assumptions!$B$31*(AF30/50)))))*AJ30*Archetypes!$D$20*Archetypes!$D$21)*Assumptions!$B$18)*(IF($D30=1,1,Assumptions!$B$7)))+(((((Archetypes!$D$11*(IF(AF30&lt;0,1+Assumptions!$B$32*MIN(1,ABS(AF30)/ABS(Assumptions!$B$21)),MAX(0.1,1-Assumptions!$B$31*(AF30/50)))))-((Archetypes!$D$11*(IF(AF30&lt;0,1+Assumptions!$B$32*MIN(1,ABS(AF30)/ABS(Assumptions!$B$21)),MAX(0.1,1-Assumptions!$B$31*(AF30/50)))))*AJ30)*Archetypes!$D$15)*(Archetypes!$D$13*IF(AF30&lt;0,1-Assumptions!$B$33*MIN(1,ABS(AF30)/ABS(Assumptions!$B$21)),1))*5)+(((Archetypes!$D$11*(IF(AF30&lt;0,1+Assumptions!$B$32*MIN(1,ABS(AF30)/ABS(Assumptions!$B$21)),MAX(0.1,1-Assumptions!$B$31*(AF30/50)))))*AJ30*Archetypes!$D$15*Archetypes!$D$22)*(Archetypes!$D$13*IF(AF30&lt;0,1-Assumptions!$B$33*MIN(1,ABS(AF30)/ABS(Assumptions!$B$21)),1))*5*Assumptions!$B$18))*IF(AF30&lt;0,Assumptions!$B$9,1)))*$E30</f>
        <v>5637.8204999999998</v>
      </c>
      <c r="AO30" s="21">
        <f>(AO29)+(AN30)-(MAX(0,((AO29)+(AN30)-(AP30)))*(IF(Archetypes!$D$27="",Assumptions!$B$11,Archetypes!$D$27)))</f>
        <v>34185.310624268066</v>
      </c>
      <c r="AP30" s="21">
        <f>Archetypes!$D$36 + (Assumptions!$B$67*(IF($E30=0,0,AI30/$E30))*Assumptions!$B$71*(1+Assumptions!$B$68*(Archetypes!$D$14-1))) + (Assumptions!$B$69*Archetypes!$D$34*(IF($E30=0,0,AI30/$E30))*Assumptions!$B$72*POWER(Assumptions!$B$70,Archetypes!$D$18-1))</f>
        <v>20774.800648960005</v>
      </c>
      <c r="AQ30" s="21">
        <f t="shared" si="7"/>
        <v>13410.509975308061</v>
      </c>
    </row>
    <row r="31" spans="1:43" x14ac:dyDescent="0.25">
      <c r="A31" s="20">
        <v>162</v>
      </c>
      <c r="B31" s="20">
        <f t="shared" si="0"/>
        <v>7</v>
      </c>
      <c r="C31" s="20">
        <f t="shared" si="1"/>
        <v>18</v>
      </c>
      <c r="D31" s="6">
        <f>IF(C31&lt;Assumptions!$B$10,1,0)</f>
        <v>0</v>
      </c>
      <c r="E31" s="6">
        <v>6</v>
      </c>
      <c r="F31" s="21">
        <f t="shared" si="8"/>
        <v>-15</v>
      </c>
      <c r="G31" s="21">
        <f>MAX(Assumptions!$B$21,F31+H31)</f>
        <v>-15</v>
      </c>
      <c r="H31" s="21">
        <f>((L31*(Assumptions!$B$22+((Assumptions!$B$23-Assumptions!$B$22)*IF(I31&gt;0,K31/I31,0)))*(1+Assumptions!$B$60*(Archetypes!$B$13-1)))+IF(L31&gt;I31,I31*Assumptions!$B$24,0)-IF(IF(I31&gt;0,M31/I31,1)&lt;Assumptions!$B$61,((M31*(Assumptions!$B$27*(1+Assumptions!$B$28*(Archetypes!$B$14-1))/(1+Assumptions!$B$29*(Archetypes!$B$12-1))))+(((I31*Archetypes!$B$17*IF(I31&gt;0,M31/I31,1)*Archetypes!$B$31)/100)*Assumptions!$B$30))*Assumptions!$B$62,((M31*(Assumptions!$B$27*(1+Assumptions!$B$28*(Archetypes!$B$14-1))/(1+Assumptions!$B$29*(Archetypes!$B$12-1))))+(((I31*Archetypes!$B$17*IF(I31&gt;0,M31/I31,1)*Archetypes!$B$31)/100)*Assumptions!$B$30)))-(Assumptions!$B$25*Assumptions!$B$26*E31))*E31</f>
        <v>-102.17413047272723</v>
      </c>
      <c r="I31" s="21">
        <f>(Archetypes!$B$11*(IF(F31&lt;0,1+Assumptions!$B$32*MIN(1,ABS(F31)/ABS(Assumptions!$B$21)),MAX(0.1,1-Assumptions!$B$31*(F31/50)))))*$E31</f>
        <v>84</v>
      </c>
      <c r="J31" s="26">
        <f>Archetypes!$B$30</f>
        <v>2.1999999999999999E-2</v>
      </c>
      <c r="K31" s="21">
        <f t="shared" si="2"/>
        <v>1.8479999999999999</v>
      </c>
      <c r="L31" s="21">
        <f>((I31-K31)*Archetypes!$B$15)+(K31*Archetypes!$B$15*Archetypes!$B$22)</f>
        <v>8.4369600000000009</v>
      </c>
      <c r="M31" s="21">
        <f>I31*Archetypes!$B$16</f>
        <v>63</v>
      </c>
      <c r="N31" s="21">
        <f>(IF(F31&lt;0,Assumptions!$B$8,IF(F31&lt;10,Assumptions!$B$34,IF(F31&lt;25,Assumptions!$B$35,Assumptions!$B$36))))*((((Archetypes!$B$5*Assumptions!$B$4+Archetypes!$B$6*Assumptions!$B$5)*60))+(Assumptions!$B$6*(((Archetypes!$B$11*(IF(F31&lt;0,1+Assumptions!$B$32*MIN(1,ABS(F31)/ABS(Assumptions!$B$21)),MAX(0.1,1-Assumptions!$B$31*(F31/50)))))-((Archetypes!$B$11*(IF(F31&lt;0,1+Assumptions!$B$32*MIN(1,ABS(F31)/ABS(Assumptions!$B$21)),MAX(0.1,1-Assumptions!$B$31*(F31/50)))))*J31)*Archetypes!$B$20)+((Archetypes!$B$11*(IF(F31&lt;0,1+Assumptions!$B$32*MIN(1,ABS(F31)/ABS(Assumptions!$B$21)),MAX(0.1,1-Assumptions!$B$31*(F31/50)))))*J31*Archetypes!$B$20*Archetypes!$B$21)*Assumptions!$B$18)*(IF($D31=1,1,Assumptions!$B$7)))+(((((Archetypes!$B$11*(IF(F31&lt;0,1+Assumptions!$B$32*MIN(1,ABS(F31)/ABS(Assumptions!$B$21)),MAX(0.1,1-Assumptions!$B$31*(F31/50)))))-((Archetypes!$B$11*(IF(F31&lt;0,1+Assumptions!$B$32*MIN(1,ABS(F31)/ABS(Assumptions!$B$21)),MAX(0.1,1-Assumptions!$B$31*(F31/50)))))*J31)*Archetypes!$B$15)*(Archetypes!$B$13*IF(F31&lt;0,1-Assumptions!$B$33*MIN(1,ABS(F31)/ABS(Assumptions!$B$21)),1))*5)+(((Archetypes!$B$11*(IF(F31&lt;0,1+Assumptions!$B$32*MIN(1,ABS(F31)/ABS(Assumptions!$B$21)),MAX(0.1,1-Assumptions!$B$31*(F31/50)))))*J31*Archetypes!$B$15*Archetypes!$B$22)*(Archetypes!$B$13*IF(F31&lt;0,1-Assumptions!$B$33*MIN(1,ABS(F31)/ABS(Assumptions!$B$21)),1))*5*Assumptions!$B$18))*IF(F31&lt;0,Assumptions!$B$9,1)))*$E31</f>
        <v>2906.8712639999999</v>
      </c>
      <c r="O31" s="21">
        <f>(O30)+(N31)-(MAX(0,((O30)+(N31)-(P31)))*(IF(Archetypes!$B$27="",Assumptions!$B$11,Archetypes!$B$27)))</f>
        <v>15205.545114317481</v>
      </c>
      <c r="P31" s="21">
        <f>Archetypes!$B$36 + (Assumptions!$B$67*(IF($E31=0,0,I31/$E31))*Assumptions!$B$71*(1+Assumptions!$B$68*(Archetypes!$B$14-1))) + (Assumptions!$B$69*Archetypes!$B$34*(IF($E31=0,0,I31/$E31))*Assumptions!$B$72*POWER(Assumptions!$B$70,Archetypes!$B$18-1))</f>
        <v>2668.56</v>
      </c>
      <c r="Q31" s="21">
        <f t="shared" si="3"/>
        <v>12536.985114317482</v>
      </c>
      <c r="S31" s="21">
        <f t="shared" si="9"/>
        <v>429.98576037439994</v>
      </c>
      <c r="T31" s="21">
        <f>MAX(Assumptions!$B$21,S31+U31)</f>
        <v>440.70965191039994</v>
      </c>
      <c r="U31" s="21">
        <f>((Y31*(Assumptions!$B$22+((Assumptions!$B$23-Assumptions!$B$22)*IF(V31&gt;0,X31/V31,0)))*(1+Assumptions!$B$60*(Archetypes!$C$13-1)))+IF(Y31&gt;V31,V31*Assumptions!$B$24,0)-IF(IF(V31&gt;0,Z31/V31,1)&lt;Assumptions!$B$61,((Z31*(Assumptions!$B$27*(1+Assumptions!$B$28*(Archetypes!$C$14-1))/(1+Assumptions!$B$29*(Archetypes!$C$12-1))))+(((V31*Archetypes!$C$17*IF(V31&gt;0,Z31/V31,1)*Archetypes!$C$31)/100)*Assumptions!$B$30))*Assumptions!$B$62,((Z31*(Assumptions!$B$27*(1+Assumptions!$B$28*(Archetypes!$C$14-1))/(1+Assumptions!$B$29*(Archetypes!$C$12-1))))+(((V31*Archetypes!$C$17*IF(V31&gt;0,Z31/V31,1)*Archetypes!$C$31)/100)*Assumptions!$B$30)))-(Assumptions!$B$25*Assumptions!$B$26*E31))*E31</f>
        <v>10.723891536000004</v>
      </c>
      <c r="V31" s="21">
        <f>(Archetypes!$C$11*(IF(S31&lt;0,1+Assumptions!$B$32*MIN(1,ABS(S31)/ABS(Assumptions!$B$21)),MAX(0.1,1-Assumptions!$B$31*(S31/50)))))*$E31</f>
        <v>3.6000000000000005</v>
      </c>
      <c r="W31" s="26">
        <f>Archetypes!$C$30</f>
        <v>3.7999999999999999E-2</v>
      </c>
      <c r="X31" s="21">
        <f t="shared" si="4"/>
        <v>0.1368</v>
      </c>
      <c r="Y31" s="21">
        <f>((V31-X31)*Archetypes!$C$15)+(X31*Archetypes!$C$15*Archetypes!$C$22)</f>
        <v>1.8205200000000004</v>
      </c>
      <c r="Z31" s="21">
        <f>V31*Archetypes!$C$16</f>
        <v>1.6200000000000003</v>
      </c>
      <c r="AA31" s="21">
        <f>(IF(S31&lt;0,Assumptions!$B$8,IF(S31&lt;10,Assumptions!$B$34,IF(S31&lt;25,Assumptions!$B$35,Assumptions!$B$36))))*((((Archetypes!$C$5*Assumptions!$B$4+Archetypes!$C$6*Assumptions!$B$5)*60))+(Assumptions!$B$6*(((Archetypes!$C$11*(IF(S31&lt;0,1+Assumptions!$B$32*MIN(1,ABS(S31)/ABS(Assumptions!$B$21)),MAX(0.1,1-Assumptions!$B$31*(S31/50)))))-((Archetypes!$C$11*(IF(S31&lt;0,1+Assumptions!$B$32*MIN(1,ABS(S31)/ABS(Assumptions!$B$21)),MAX(0.1,1-Assumptions!$B$31*(S31/50)))))*W31)*Archetypes!$C$20)+((Archetypes!$C$11*(IF(S31&lt;0,1+Assumptions!$B$32*MIN(1,ABS(S31)/ABS(Assumptions!$B$21)),MAX(0.1,1-Assumptions!$B$31*(S31/50)))))*W31*Archetypes!$C$20*Archetypes!$C$21)*Assumptions!$B$18)*(IF($D31=1,1,Assumptions!$B$7)))+(((((Archetypes!$C$11*(IF(S31&lt;0,1+Assumptions!$B$32*MIN(1,ABS(S31)/ABS(Assumptions!$B$21)),MAX(0.1,1-Assumptions!$B$31*(S31/50)))))-((Archetypes!$C$11*(IF(S31&lt;0,1+Assumptions!$B$32*MIN(1,ABS(S31)/ABS(Assumptions!$B$21)),MAX(0.1,1-Assumptions!$B$31*(S31/50)))))*W31)*Archetypes!$C$15)*(Archetypes!$C$13*IF(S31&lt;0,1-Assumptions!$B$33*MIN(1,ABS(S31)/ABS(Assumptions!$B$21)),1))*5)+(((Archetypes!$C$11*(IF(S31&lt;0,1+Assumptions!$B$32*MIN(1,ABS(S31)/ABS(Assumptions!$B$21)),MAX(0.1,1-Assumptions!$B$31*(S31/50)))))*W31*Archetypes!$C$15*Archetypes!$C$22)*(Archetypes!$C$13*IF(S31&lt;0,1-Assumptions!$B$33*MIN(1,ABS(S31)/ABS(Assumptions!$B$21)),1))*5*Assumptions!$B$18))*IF(S31&lt;0,Assumptions!$B$9,1)))*$E31</f>
        <v>3492.4942799999999</v>
      </c>
      <c r="AB31" s="21">
        <f>(AB30)+(AA31)-(MAX(0,((AB30)+(AA31)-(AC31)))*(IF(Archetypes!$C$27="",Assumptions!$B$11,Archetypes!$C$27)))</f>
        <v>19676.415836866963</v>
      </c>
      <c r="AC31" s="21">
        <f>Archetypes!$C$36 + (Assumptions!$B$67*(IF($E31=0,0,V31/$E31))*Assumptions!$B$71*(1+Assumptions!$B$68*(Archetypes!$C$14-1))) + (Assumptions!$B$69*Archetypes!$C$34*(IF($E31=0,0,V31/$E31))*Assumptions!$B$72*POWER(Assumptions!$B$70,Archetypes!$C$18-1))</f>
        <v>9108.3600000000024</v>
      </c>
      <c r="AD31" s="21">
        <f t="shared" si="5"/>
        <v>10568.055836866961</v>
      </c>
      <c r="AF31" s="21">
        <f t="shared" si="10"/>
        <v>1178.3651054043432</v>
      </c>
      <c r="AG31" s="21">
        <f>MAX(Assumptions!$B$21,AF31+AH31)</f>
        <v>1211.2447868489146</v>
      </c>
      <c r="AH31" s="21">
        <f>((AL31*(Assumptions!$B$22+((Assumptions!$B$23-Assumptions!$B$22)*IF(AI31&gt;0,AK31/AI31,0)))*(1+Assumptions!$B$60*(Archetypes!$D$13-1)))+IF(AL31&gt;AI31,AI31*Assumptions!$B$24,0)-IF(IF(AI31&gt;0,AM31/AI31,1)&lt;Assumptions!$B$61,((AM31*(Assumptions!$B$27*(1+Assumptions!$B$28*(Archetypes!$D$14-1))/(1+Assumptions!$B$29*(Archetypes!$D$12-1))))+(((AI31*Archetypes!$D$17*IF(AI31&gt;0,AM31/AI31,1)*Archetypes!$D$31)/100)*Assumptions!$B$30))*Assumptions!$B$62,((AM31*(Assumptions!$B$27*(1+Assumptions!$B$28*(Archetypes!$D$14-1))/(1+Assumptions!$B$29*(Archetypes!$D$12-1))))+(((AI31*Archetypes!$D$17*IF(AI31&gt;0,AM31/AI31,1)*Archetypes!$D$31)/100)*Assumptions!$B$30)))-(Assumptions!$B$25*Assumptions!$B$26*E31))*E31</f>
        <v>32.879681444571439</v>
      </c>
      <c r="AI31" s="21">
        <f>(Archetypes!$D$11*(IF(AF31&lt;0,1+Assumptions!$B$32*MIN(1,ABS(AF31)/ABS(Assumptions!$B$21)),MAX(0.1,1-Assumptions!$B$31*(AF31/50)))))*$E31</f>
        <v>1.8000000000000003</v>
      </c>
      <c r="AJ31" s="26">
        <f>Archetypes!$D$30</f>
        <v>0.10400000000000001</v>
      </c>
      <c r="AK31" s="21">
        <f t="shared" si="6"/>
        <v>0.18720000000000003</v>
      </c>
      <c r="AL31" s="21">
        <f>((AI31-AK31)*Archetypes!$D$15)+(AK31*Archetypes!$D$15*Archetypes!$D$22)</f>
        <v>2.8123200000000006</v>
      </c>
      <c r="AM31" s="21">
        <f>AI31*Archetypes!$D$16</f>
        <v>0.3600000000000001</v>
      </c>
      <c r="AN31" s="21">
        <f>(IF(AF31&lt;0,Assumptions!$B$8,IF(AF31&lt;10,Assumptions!$B$34,IF(AF31&lt;25,Assumptions!$B$35,Assumptions!$B$36))))*((((Archetypes!$D$5*Assumptions!$B$4+Archetypes!$D$6*Assumptions!$B$5)*60))+(Assumptions!$B$6*(((Archetypes!$D$11*(IF(AF31&lt;0,1+Assumptions!$B$32*MIN(1,ABS(AF31)/ABS(Assumptions!$B$21)),MAX(0.1,1-Assumptions!$B$31*(AF31/50)))))-((Archetypes!$D$11*(IF(AF31&lt;0,1+Assumptions!$B$32*MIN(1,ABS(AF31)/ABS(Assumptions!$B$21)),MAX(0.1,1-Assumptions!$B$31*(AF31/50)))))*AJ31)*Archetypes!$D$20)+((Archetypes!$D$11*(IF(AF31&lt;0,1+Assumptions!$B$32*MIN(1,ABS(AF31)/ABS(Assumptions!$B$21)),MAX(0.1,1-Assumptions!$B$31*(AF31/50)))))*AJ31*Archetypes!$D$20*Archetypes!$D$21)*Assumptions!$B$18)*(IF($D31=1,1,Assumptions!$B$7)))+(((((Archetypes!$D$11*(IF(AF31&lt;0,1+Assumptions!$B$32*MIN(1,ABS(AF31)/ABS(Assumptions!$B$21)),MAX(0.1,1-Assumptions!$B$31*(AF31/50)))))-((Archetypes!$D$11*(IF(AF31&lt;0,1+Assumptions!$B$32*MIN(1,ABS(AF31)/ABS(Assumptions!$B$21)),MAX(0.1,1-Assumptions!$B$31*(AF31/50)))))*AJ31)*Archetypes!$D$15)*(Archetypes!$D$13*IF(AF31&lt;0,1-Assumptions!$B$33*MIN(1,ABS(AF31)/ABS(Assumptions!$B$21)),1))*5)+(((Archetypes!$D$11*(IF(AF31&lt;0,1+Assumptions!$B$32*MIN(1,ABS(AF31)/ABS(Assumptions!$B$21)),MAX(0.1,1-Assumptions!$B$31*(AF31/50)))))*AJ31*Archetypes!$D$15*Archetypes!$D$22)*(Archetypes!$D$13*IF(AF31&lt;0,1-Assumptions!$B$33*MIN(1,ABS(AF31)/ABS(Assumptions!$B$21)),1))*5*Assumptions!$B$18))*IF(AF31&lt;0,Assumptions!$B$9,1)))*$E31</f>
        <v>5637.8204999999998</v>
      </c>
      <c r="AO31" s="21">
        <f>(AO30)+(AN31)-(MAX(0,((AO30)+(AN31)-(AP31)))*(IF(Archetypes!$D$27="",Assumptions!$B$11,Archetypes!$D$27)))</f>
        <v>34108.631981675651</v>
      </c>
      <c r="AP31" s="21">
        <f>Archetypes!$D$36 + (Assumptions!$B$67*(IF($E31=0,0,AI31/$E31))*Assumptions!$B$71*(1+Assumptions!$B$68*(Archetypes!$D$14-1))) + (Assumptions!$B$69*Archetypes!$D$34*(IF($E31=0,0,AI31/$E31))*Assumptions!$B$72*POWER(Assumptions!$B$70,Archetypes!$D$18-1))</f>
        <v>20774.800648960005</v>
      </c>
      <c r="AQ31" s="21">
        <f t="shared" si="7"/>
        <v>13333.831332715647</v>
      </c>
    </row>
    <row r="32" spans="1:43" x14ac:dyDescent="0.25">
      <c r="A32" s="20">
        <v>168</v>
      </c>
      <c r="B32" s="20">
        <f t="shared" si="0"/>
        <v>8</v>
      </c>
      <c r="C32" s="20">
        <f t="shared" si="1"/>
        <v>0</v>
      </c>
      <c r="D32" s="6">
        <f>IF(C32&lt;Assumptions!$B$10,1,0)</f>
        <v>1</v>
      </c>
      <c r="E32" s="6">
        <v>6</v>
      </c>
      <c r="F32" s="21">
        <f t="shared" si="8"/>
        <v>-15</v>
      </c>
      <c r="G32" s="21">
        <f>MAX(Assumptions!$B$21,F32+H32)</f>
        <v>-15</v>
      </c>
      <c r="H32" s="21">
        <f>((L32*(Assumptions!$B$22+((Assumptions!$B$23-Assumptions!$B$22)*IF(I32&gt;0,K32/I32,0)))*(1+Assumptions!$B$60*(Archetypes!$B$13-1)))+IF(L32&gt;I32,I32*Assumptions!$B$24,0)-IF(IF(I32&gt;0,M32/I32,1)&lt;Assumptions!$B$61,((M32*(Assumptions!$B$27*(1+Assumptions!$B$28*(Archetypes!$B$14-1))/(1+Assumptions!$B$29*(Archetypes!$B$12-1))))+(((I32*Archetypes!$B$17*IF(I32&gt;0,M32/I32,1)*Archetypes!$B$31)/100)*Assumptions!$B$30))*Assumptions!$B$62,((M32*(Assumptions!$B$27*(1+Assumptions!$B$28*(Archetypes!$B$14-1))/(1+Assumptions!$B$29*(Archetypes!$B$12-1))))+(((I32*Archetypes!$B$17*IF(I32&gt;0,M32/I32,1)*Archetypes!$B$31)/100)*Assumptions!$B$30)))-(Assumptions!$B$25*Assumptions!$B$26*E32))*E32</f>
        <v>-102.17413047272723</v>
      </c>
      <c r="I32" s="21">
        <f>(Archetypes!$B$11*(IF(F32&lt;0,1+Assumptions!$B$32*MIN(1,ABS(F32)/ABS(Assumptions!$B$21)),MAX(0.1,1-Assumptions!$B$31*(F32/50)))))*$E32</f>
        <v>84</v>
      </c>
      <c r="J32" s="26">
        <f>Archetypes!$B$30</f>
        <v>2.1999999999999999E-2</v>
      </c>
      <c r="K32" s="21">
        <f t="shared" si="2"/>
        <v>1.8479999999999999</v>
      </c>
      <c r="L32" s="21">
        <f>((I32-K32)*Archetypes!$B$15)+(K32*Archetypes!$B$15*Archetypes!$B$22)</f>
        <v>8.4369600000000009</v>
      </c>
      <c r="M32" s="21">
        <f>I32*Archetypes!$B$16</f>
        <v>63</v>
      </c>
      <c r="N32" s="21">
        <f>(IF(F32&lt;0,Assumptions!$B$8,IF(F32&lt;10,Assumptions!$B$34,IF(F32&lt;25,Assumptions!$B$35,Assumptions!$B$36))))*((((Archetypes!$B$5*Assumptions!$B$4+Archetypes!$B$6*Assumptions!$B$5)*60))+(Assumptions!$B$6*(((Archetypes!$B$11*(IF(F32&lt;0,1+Assumptions!$B$32*MIN(1,ABS(F32)/ABS(Assumptions!$B$21)),MAX(0.1,1-Assumptions!$B$31*(F32/50)))))-((Archetypes!$B$11*(IF(F32&lt;0,1+Assumptions!$B$32*MIN(1,ABS(F32)/ABS(Assumptions!$B$21)),MAX(0.1,1-Assumptions!$B$31*(F32/50)))))*J32)*Archetypes!$B$20)+((Archetypes!$B$11*(IF(F32&lt;0,1+Assumptions!$B$32*MIN(1,ABS(F32)/ABS(Assumptions!$B$21)),MAX(0.1,1-Assumptions!$B$31*(F32/50)))))*J32*Archetypes!$B$20*Archetypes!$B$21)*Assumptions!$B$18)*(IF($D32=1,1,Assumptions!$B$7)))+(((((Archetypes!$B$11*(IF(F32&lt;0,1+Assumptions!$B$32*MIN(1,ABS(F32)/ABS(Assumptions!$B$21)),MAX(0.1,1-Assumptions!$B$31*(F32/50)))))-((Archetypes!$B$11*(IF(F32&lt;0,1+Assumptions!$B$32*MIN(1,ABS(F32)/ABS(Assumptions!$B$21)),MAX(0.1,1-Assumptions!$B$31*(F32/50)))))*J32)*Archetypes!$B$15)*(Archetypes!$B$13*IF(F32&lt;0,1-Assumptions!$B$33*MIN(1,ABS(F32)/ABS(Assumptions!$B$21)),1))*5)+(((Archetypes!$B$11*(IF(F32&lt;0,1+Assumptions!$B$32*MIN(1,ABS(F32)/ABS(Assumptions!$B$21)),MAX(0.1,1-Assumptions!$B$31*(F32/50)))))*J32*Archetypes!$B$15*Archetypes!$B$22)*(Archetypes!$B$13*IF(F32&lt;0,1-Assumptions!$B$33*MIN(1,ABS(F32)/ABS(Assumptions!$B$21)),1))*5*Assumptions!$B$18))*IF(F32&lt;0,Assumptions!$B$9,1)))*$E32</f>
        <v>4261.2704640000011</v>
      </c>
      <c r="O32" s="21">
        <f>(O31)+(N32)-(MAX(0,((O31)+(N32)-(P32)))*(IF(Archetypes!$B$27="",Assumptions!$B$11,Archetypes!$B$27)))</f>
        <v>16107.164462653986</v>
      </c>
      <c r="P32" s="21">
        <f>Archetypes!$B$36 + (Assumptions!$B$67*(IF($E32=0,0,I32/$E32))*Assumptions!$B$71*(1+Assumptions!$B$68*(Archetypes!$B$14-1))) + (Assumptions!$B$69*Archetypes!$B$34*(IF($E32=0,0,I32/$E32))*Assumptions!$B$72*POWER(Assumptions!$B$70,Archetypes!$B$18-1))</f>
        <v>2668.56</v>
      </c>
      <c r="Q32" s="21">
        <f t="shared" si="3"/>
        <v>13438.604462653986</v>
      </c>
      <c r="S32" s="21">
        <f t="shared" si="9"/>
        <v>440.70965191039994</v>
      </c>
      <c r="T32" s="21">
        <f>MAX(Assumptions!$B$21,S32+U32)</f>
        <v>451.43354344639994</v>
      </c>
      <c r="U32" s="21">
        <f>((Y32*(Assumptions!$B$22+((Assumptions!$B$23-Assumptions!$B$22)*IF(V32&gt;0,X32/V32,0)))*(1+Assumptions!$B$60*(Archetypes!$C$13-1)))+IF(Y32&gt;V32,V32*Assumptions!$B$24,0)-IF(IF(V32&gt;0,Z32/V32,1)&lt;Assumptions!$B$61,((Z32*(Assumptions!$B$27*(1+Assumptions!$B$28*(Archetypes!$C$14-1))/(1+Assumptions!$B$29*(Archetypes!$C$12-1))))+(((V32*Archetypes!$C$17*IF(V32&gt;0,Z32/V32,1)*Archetypes!$C$31)/100)*Assumptions!$B$30))*Assumptions!$B$62,((Z32*(Assumptions!$B$27*(1+Assumptions!$B$28*(Archetypes!$C$14-1))/(1+Assumptions!$B$29*(Archetypes!$C$12-1))))+(((V32*Archetypes!$C$17*IF(V32&gt;0,Z32/V32,1)*Archetypes!$C$31)/100)*Assumptions!$B$30)))-(Assumptions!$B$25*Assumptions!$B$26*E32))*E32</f>
        <v>10.723891536000004</v>
      </c>
      <c r="V32" s="21">
        <f>(Archetypes!$C$11*(IF(S32&lt;0,1+Assumptions!$B$32*MIN(1,ABS(S32)/ABS(Assumptions!$B$21)),MAX(0.1,1-Assumptions!$B$31*(S32/50)))))*$E32</f>
        <v>3.6000000000000005</v>
      </c>
      <c r="W32" s="26">
        <f>Archetypes!$C$30</f>
        <v>3.7999999999999999E-2</v>
      </c>
      <c r="X32" s="21">
        <f t="shared" si="4"/>
        <v>0.1368</v>
      </c>
      <c r="Y32" s="21">
        <f>((V32-X32)*Archetypes!$C$15)+(X32*Archetypes!$C$15*Archetypes!$C$22)</f>
        <v>1.8205200000000004</v>
      </c>
      <c r="Z32" s="21">
        <f>V32*Archetypes!$C$16</f>
        <v>1.6200000000000003</v>
      </c>
      <c r="AA32" s="21">
        <f>(IF(S32&lt;0,Assumptions!$B$8,IF(S32&lt;10,Assumptions!$B$34,IF(S32&lt;25,Assumptions!$B$35,Assumptions!$B$36))))*((((Archetypes!$C$5*Assumptions!$B$4+Archetypes!$C$6*Assumptions!$B$5)*60))+(Assumptions!$B$6*(((Archetypes!$C$11*(IF(S32&lt;0,1+Assumptions!$B$32*MIN(1,ABS(S32)/ABS(Assumptions!$B$21)),MAX(0.1,1-Assumptions!$B$31*(S32/50)))))-((Archetypes!$C$11*(IF(S32&lt;0,1+Assumptions!$B$32*MIN(1,ABS(S32)/ABS(Assumptions!$B$21)),MAX(0.1,1-Assumptions!$B$31*(S32/50)))))*W32)*Archetypes!$C$20)+((Archetypes!$C$11*(IF(S32&lt;0,1+Assumptions!$B$32*MIN(1,ABS(S32)/ABS(Assumptions!$B$21)),MAX(0.1,1-Assumptions!$B$31*(S32/50)))))*W32*Archetypes!$C$20*Archetypes!$C$21)*Assumptions!$B$18)*(IF($D32=1,1,Assumptions!$B$7)))+(((((Archetypes!$C$11*(IF(S32&lt;0,1+Assumptions!$B$32*MIN(1,ABS(S32)/ABS(Assumptions!$B$21)),MAX(0.1,1-Assumptions!$B$31*(S32/50)))))-((Archetypes!$C$11*(IF(S32&lt;0,1+Assumptions!$B$32*MIN(1,ABS(S32)/ABS(Assumptions!$B$21)),MAX(0.1,1-Assumptions!$B$31*(S32/50)))))*W32)*Archetypes!$C$15)*(Archetypes!$C$13*IF(S32&lt;0,1-Assumptions!$B$33*MIN(1,ABS(S32)/ABS(Assumptions!$B$21)),1))*5)+(((Archetypes!$C$11*(IF(S32&lt;0,1+Assumptions!$B$32*MIN(1,ABS(S32)/ABS(Assumptions!$B$21)),MAX(0.1,1-Assumptions!$B$31*(S32/50)))))*W32*Archetypes!$C$15*Archetypes!$C$22)*(Archetypes!$C$13*IF(S32&lt;0,1-Assumptions!$B$33*MIN(1,ABS(S32)/ABS(Assumptions!$B$21)),1))*5*Assumptions!$B$18))*IF(S32&lt;0,Assumptions!$B$9,1)))*$E32</f>
        <v>3697.9335000000001</v>
      </c>
      <c r="AB32" s="21">
        <f>(AB31)+(AA32)-(MAX(0,((AB31)+(AA32)-(AC32)))*(IF(Archetypes!$C$27="",Assumptions!$B$11,Archetypes!$C$27)))</f>
        <v>19807.852002650223</v>
      </c>
      <c r="AC32" s="21">
        <f>Archetypes!$C$36 + (Assumptions!$B$67*(IF($E32=0,0,V32/$E32))*Assumptions!$B$71*(1+Assumptions!$B$68*(Archetypes!$C$14-1))) + (Assumptions!$B$69*Archetypes!$C$34*(IF($E32=0,0,V32/$E32))*Assumptions!$B$72*POWER(Assumptions!$B$70,Archetypes!$C$18-1))</f>
        <v>9108.3600000000024</v>
      </c>
      <c r="AD32" s="21">
        <f t="shared" si="5"/>
        <v>10699.49200265022</v>
      </c>
      <c r="AF32" s="21">
        <f t="shared" si="10"/>
        <v>1211.2447868489146</v>
      </c>
      <c r="AG32" s="21">
        <f>MAX(Assumptions!$B$21,AF32+AH32)</f>
        <v>1244.124468293486</v>
      </c>
      <c r="AH32" s="21">
        <f>((AL32*(Assumptions!$B$22+((Assumptions!$B$23-Assumptions!$B$22)*IF(AI32&gt;0,AK32/AI32,0)))*(1+Assumptions!$B$60*(Archetypes!$D$13-1)))+IF(AL32&gt;AI32,AI32*Assumptions!$B$24,0)-IF(IF(AI32&gt;0,AM32/AI32,1)&lt;Assumptions!$B$61,((AM32*(Assumptions!$B$27*(1+Assumptions!$B$28*(Archetypes!$D$14-1))/(1+Assumptions!$B$29*(Archetypes!$D$12-1))))+(((AI32*Archetypes!$D$17*IF(AI32&gt;0,AM32/AI32,1)*Archetypes!$D$31)/100)*Assumptions!$B$30))*Assumptions!$B$62,((AM32*(Assumptions!$B$27*(1+Assumptions!$B$28*(Archetypes!$D$14-1))/(1+Assumptions!$B$29*(Archetypes!$D$12-1))))+(((AI32*Archetypes!$D$17*IF(AI32&gt;0,AM32/AI32,1)*Archetypes!$D$31)/100)*Assumptions!$B$30)))-(Assumptions!$B$25*Assumptions!$B$26*E32))*E32</f>
        <v>32.879681444571439</v>
      </c>
      <c r="AI32" s="21">
        <f>(Archetypes!$D$11*(IF(AF32&lt;0,1+Assumptions!$B$32*MIN(1,ABS(AF32)/ABS(Assumptions!$B$21)),MAX(0.1,1-Assumptions!$B$31*(AF32/50)))))*$E32</f>
        <v>1.8000000000000003</v>
      </c>
      <c r="AJ32" s="26">
        <f>Archetypes!$D$30</f>
        <v>0.10400000000000001</v>
      </c>
      <c r="AK32" s="21">
        <f t="shared" si="6"/>
        <v>0.18720000000000003</v>
      </c>
      <c r="AL32" s="21">
        <f>((AI32-AK32)*Archetypes!$D$15)+(AK32*Archetypes!$D$15*Archetypes!$D$22)</f>
        <v>2.8123200000000006</v>
      </c>
      <c r="AM32" s="21">
        <f>AI32*Archetypes!$D$16</f>
        <v>0.3600000000000001</v>
      </c>
      <c r="AN32" s="21">
        <f>(IF(AF32&lt;0,Assumptions!$B$8,IF(AF32&lt;10,Assumptions!$B$34,IF(AF32&lt;25,Assumptions!$B$35,Assumptions!$B$36))))*((((Archetypes!$D$5*Assumptions!$B$4+Archetypes!$D$6*Assumptions!$B$5)*60))+(Assumptions!$B$6*(((Archetypes!$D$11*(IF(AF32&lt;0,1+Assumptions!$B$32*MIN(1,ABS(AF32)/ABS(Assumptions!$B$21)),MAX(0.1,1-Assumptions!$B$31*(AF32/50)))))-((Archetypes!$D$11*(IF(AF32&lt;0,1+Assumptions!$B$32*MIN(1,ABS(AF32)/ABS(Assumptions!$B$21)),MAX(0.1,1-Assumptions!$B$31*(AF32/50)))))*AJ32)*Archetypes!$D$20)+((Archetypes!$D$11*(IF(AF32&lt;0,1+Assumptions!$B$32*MIN(1,ABS(AF32)/ABS(Assumptions!$B$21)),MAX(0.1,1-Assumptions!$B$31*(AF32/50)))))*AJ32*Archetypes!$D$20*Archetypes!$D$21)*Assumptions!$B$18)*(IF($D32=1,1,Assumptions!$B$7)))+(((((Archetypes!$D$11*(IF(AF32&lt;0,1+Assumptions!$B$32*MIN(1,ABS(AF32)/ABS(Assumptions!$B$21)),MAX(0.1,1-Assumptions!$B$31*(AF32/50)))))-((Archetypes!$D$11*(IF(AF32&lt;0,1+Assumptions!$B$32*MIN(1,ABS(AF32)/ABS(Assumptions!$B$21)),MAX(0.1,1-Assumptions!$B$31*(AF32/50)))))*AJ32)*Archetypes!$D$15)*(Archetypes!$D$13*IF(AF32&lt;0,1-Assumptions!$B$33*MIN(1,ABS(AF32)/ABS(Assumptions!$B$21)),1))*5)+(((Archetypes!$D$11*(IF(AF32&lt;0,1+Assumptions!$B$32*MIN(1,ABS(AF32)/ABS(Assumptions!$B$21)),MAX(0.1,1-Assumptions!$B$31*(AF32/50)))))*AJ32*Archetypes!$D$15*Archetypes!$D$22)*(Archetypes!$D$13*IF(AF32&lt;0,1-Assumptions!$B$33*MIN(1,ABS(AF32)/ABS(Assumptions!$B$21)),1))*5*Assumptions!$B$18))*IF(AF32&lt;0,Assumptions!$B$9,1)))*$E32</f>
        <v>6208.1279999999988</v>
      </c>
      <c r="AO32" s="21">
        <f>(AO31)+(AN32)-(MAX(0,((AO31)+(AN32)-(AP32)))*(IF(Archetypes!$D$27="",Assumptions!$B$11,Archetypes!$D$27)))</f>
        <v>34454.172181860959</v>
      </c>
      <c r="AP32" s="21">
        <f>Archetypes!$D$36 + (Assumptions!$B$67*(IF($E32=0,0,AI32/$E32))*Assumptions!$B$71*(1+Assumptions!$B$68*(Archetypes!$D$14-1))) + (Assumptions!$B$69*Archetypes!$D$34*(IF($E32=0,0,AI32/$E32))*Assumptions!$B$72*POWER(Assumptions!$B$70,Archetypes!$D$18-1))</f>
        <v>20774.800648960005</v>
      </c>
      <c r="AQ32" s="21">
        <f t="shared" si="7"/>
        <v>13679.371532900954</v>
      </c>
    </row>
  </sheetData>
  <mergeCells count="4">
    <mergeCell ref="F2:Q2"/>
    <mergeCell ref="S2:AD2"/>
    <mergeCell ref="A1:AZ1"/>
    <mergeCell ref="AF2:AQ2"/>
  </mergeCells>
  <conditionalFormatting sqref="G4:G32">
    <cfRule type="cellIs" dxfId="22" priority="16" operator="greaterThanOrEqual">
      <formula>25</formula>
    </cfRule>
  </conditionalFormatting>
  <conditionalFormatting sqref="P4:P32">
    <cfRule type="expression" dxfId="21" priority="13">
      <formula>$P4&gt;$O4</formula>
    </cfRule>
  </conditionalFormatting>
  <conditionalFormatting sqref="Q4:Q32">
    <cfRule type="cellIs" dxfId="20" priority="14" operator="lessThan">
      <formula>0</formula>
    </cfRule>
  </conditionalFormatting>
  <conditionalFormatting sqref="T4:T32">
    <cfRule type="cellIs" dxfId="19" priority="20" operator="greaterThanOrEqual">
      <formula>25</formula>
    </cfRule>
  </conditionalFormatting>
  <conditionalFormatting sqref="AC4:AC32">
    <cfRule type="expression" dxfId="18" priority="17">
      <formula>$AC4&gt;$AB4</formula>
    </cfRule>
  </conditionalFormatting>
  <conditionalFormatting sqref="AD4:AD32">
    <cfRule type="cellIs" dxfId="17" priority="18" operator="lessThan">
      <formula>0</formula>
    </cfRule>
  </conditionalFormatting>
  <conditionalFormatting sqref="AG4:AG32">
    <cfRule type="cellIs" dxfId="16" priority="24" operator="greaterThanOrEqual">
      <formula>25</formula>
    </cfRule>
  </conditionalFormatting>
  <conditionalFormatting sqref="AP4:AP32">
    <cfRule type="expression" dxfId="15" priority="21">
      <formula>$AP4&gt;$AO4</formula>
    </cfRule>
  </conditionalFormatting>
  <conditionalFormatting sqref="AQ4:AQ32">
    <cfRule type="cellIs" dxfId="14" priority="22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6"/>
  <sheetViews>
    <sheetView topLeftCell="A24" workbookViewId="0">
      <selection activeCell="E40" sqref="E40"/>
    </sheetView>
  </sheetViews>
  <sheetFormatPr defaultRowHeight="15" x14ac:dyDescent="0.25"/>
  <cols>
    <col min="1" max="1" width="22" style="22" customWidth="1"/>
    <col min="2" max="2" width="14" style="22" customWidth="1"/>
    <col min="3" max="5" width="12" style="22" customWidth="1"/>
    <col min="6" max="6" width="28" style="22" customWidth="1"/>
    <col min="7" max="8" width="18" style="22" customWidth="1"/>
  </cols>
  <sheetData>
    <row r="1" spans="1:8" x14ac:dyDescent="0.25">
      <c r="A1" s="38" t="s">
        <v>180</v>
      </c>
      <c r="B1" s="32"/>
      <c r="C1" s="32"/>
      <c r="D1" s="32"/>
      <c r="E1" s="32"/>
      <c r="F1" s="32"/>
      <c r="G1" s="32"/>
      <c r="H1" s="32"/>
    </row>
    <row r="3" spans="1:8" ht="30" customHeight="1" x14ac:dyDescent="0.25">
      <c r="A3" s="14" t="s">
        <v>181</v>
      </c>
      <c r="B3" s="14" t="s">
        <v>182</v>
      </c>
      <c r="C3" s="14" t="s">
        <v>183</v>
      </c>
      <c r="D3" s="14" t="s">
        <v>184</v>
      </c>
      <c r="E3" s="14" t="s">
        <v>177</v>
      </c>
      <c r="F3" s="14" t="s">
        <v>185</v>
      </c>
      <c r="G3" s="14" t="s">
        <v>186</v>
      </c>
      <c r="H3" s="14" t="s">
        <v>187</v>
      </c>
    </row>
    <row r="4" spans="1:8" x14ac:dyDescent="0.25">
      <c r="A4" s="20">
        <v>24</v>
      </c>
      <c r="B4" s="22" t="s">
        <v>122</v>
      </c>
      <c r="C4" s="21">
        <f>Simulation_48h!O28</f>
        <v>4766.1308296273928</v>
      </c>
      <c r="D4" s="21">
        <f>Simulation_48h!Q28</f>
        <v>2097.5708296273929</v>
      </c>
      <c r="E4" s="21">
        <f>Simulation_48h!P28</f>
        <v>2668.56</v>
      </c>
      <c r="F4" s="21">
        <f>Simulation_48h!G28</f>
        <v>-15</v>
      </c>
      <c r="G4" s="21">
        <f>Simulation_48h!I28</f>
        <v>14</v>
      </c>
      <c r="H4" s="21">
        <f>Simulation_48h!N28</f>
        <v>710.21174400000018</v>
      </c>
    </row>
    <row r="5" spans="1:8" x14ac:dyDescent="0.25">
      <c r="A5" s="20">
        <v>24</v>
      </c>
      <c r="B5" s="22" t="s">
        <v>123</v>
      </c>
      <c r="C5" s="21">
        <f>Simulation_48h!AB28</f>
        <v>11332.49059823174</v>
      </c>
      <c r="D5" s="21">
        <f>Simulation_48h!AD28</f>
        <v>2130.0441962469376</v>
      </c>
      <c r="E5" s="21">
        <f>Simulation_48h!AC28</f>
        <v>9202.4464019848019</v>
      </c>
      <c r="F5" s="21">
        <f>Simulation_48h!T28</f>
        <v>61.558749222283851</v>
      </c>
      <c r="G5" s="21">
        <f>Simulation_48h!V28</f>
        <v>1.645404466497763</v>
      </c>
      <c r="H5" s="21">
        <f>Simulation_48h!AA28</f>
        <v>757.14215190399807</v>
      </c>
    </row>
    <row r="6" spans="1:8" x14ac:dyDescent="0.25">
      <c r="A6" s="20">
        <v>24</v>
      </c>
      <c r="B6" s="22" t="s">
        <v>124</v>
      </c>
      <c r="C6" s="21">
        <f>Simulation_48h!AO28</f>
        <v>22917.315698734648</v>
      </c>
      <c r="D6" s="21">
        <f>Simulation_48h!AQ28</f>
        <v>2142.5150497746436</v>
      </c>
      <c r="E6" s="21">
        <f>Simulation_48h!AP28</f>
        <v>20774.800648960005</v>
      </c>
      <c r="F6" s="21">
        <f>Simulation_48h!AG28</f>
        <v>82.86851047936679</v>
      </c>
      <c r="G6" s="21">
        <f>Simulation_48h!AI28</f>
        <v>0.30000000000000004</v>
      </c>
      <c r="H6" s="21">
        <f>Simulation_48h!AN28</f>
        <v>1034.6879999999999</v>
      </c>
    </row>
    <row r="8" spans="1:8" x14ac:dyDescent="0.25">
      <c r="A8" s="20">
        <v>72</v>
      </c>
      <c r="B8" s="22" t="s">
        <v>122</v>
      </c>
      <c r="C8" s="21">
        <f>Simulation_7d_6h!O16</f>
        <v>15274.719971914727</v>
      </c>
      <c r="D8" s="21">
        <f>Simulation_7d_6h!Q16</f>
        <v>12606.159971914727</v>
      </c>
      <c r="E8" s="21">
        <f>Simulation_7d_6h!P16</f>
        <v>2668.56</v>
      </c>
      <c r="F8" s="21">
        <f>Simulation_7d_6h!G16</f>
        <v>-15</v>
      </c>
      <c r="G8" s="21">
        <f>Simulation_7d_6h!I16</f>
        <v>84</v>
      </c>
      <c r="H8" s="21">
        <f>Simulation_7d_6h!N16</f>
        <v>4261.2704640000011</v>
      </c>
    </row>
    <row r="9" spans="1:8" x14ac:dyDescent="0.25">
      <c r="A9" s="20">
        <v>72</v>
      </c>
      <c r="B9" s="22" t="s">
        <v>123</v>
      </c>
      <c r="C9" s="21">
        <f>Simulation_7d_6h!AB16</f>
        <v>19473.301593025026</v>
      </c>
      <c r="D9" s="21">
        <f>Simulation_7d_6h!AD16</f>
        <v>10364.941593025023</v>
      </c>
      <c r="E9" s="21">
        <f>Simulation_7d_6h!AC16</f>
        <v>9108.3600000000024</v>
      </c>
      <c r="F9" s="21">
        <f>Simulation_7d_6h!T16</f>
        <v>279.85127887039999</v>
      </c>
      <c r="G9" s="21">
        <f>Simulation_7d_6h!V16</f>
        <v>3.6000000000000005</v>
      </c>
      <c r="H9" s="21">
        <f>Simulation_7d_6h!AA16</f>
        <v>3697.9335000000001</v>
      </c>
    </row>
    <row r="10" spans="1:8" x14ac:dyDescent="0.25">
      <c r="A10" s="20">
        <v>72</v>
      </c>
      <c r="B10" s="22" t="s">
        <v>124</v>
      </c>
      <c r="C10" s="21">
        <f>Simulation_7d_6h!AO16</f>
        <v>34185.661196134024</v>
      </c>
      <c r="D10" s="21">
        <f>Simulation_7d_6h!AQ16</f>
        <v>13410.860547174019</v>
      </c>
      <c r="E10" s="21">
        <f>Simulation_7d_6h!AP16</f>
        <v>20774.800648960005</v>
      </c>
      <c r="F10" s="21">
        <f>Simulation_7d_6h!AG16</f>
        <v>718.04956518034317</v>
      </c>
      <c r="G10" s="21">
        <f>Simulation_7d_6h!AI16</f>
        <v>1.8000000000000003</v>
      </c>
      <c r="H10" s="21">
        <f>Simulation_7d_6h!AN16</f>
        <v>6208.1279999999988</v>
      </c>
    </row>
    <row r="12" spans="1:8" x14ac:dyDescent="0.25">
      <c r="A12" s="20">
        <v>168</v>
      </c>
      <c r="B12" s="22" t="s">
        <v>122</v>
      </c>
      <c r="C12" s="21">
        <f>Simulation_7d_6h!O32</f>
        <v>16107.164462653986</v>
      </c>
      <c r="D12" s="21">
        <f>Simulation_7d_6h!Q32</f>
        <v>13438.604462653986</v>
      </c>
      <c r="E12" s="21">
        <f>Simulation_7d_6h!P32</f>
        <v>2668.56</v>
      </c>
      <c r="F12" s="21">
        <f>Simulation_7d_6h!G32</f>
        <v>-15</v>
      </c>
      <c r="G12" s="21">
        <f>Simulation_7d_6h!I32</f>
        <v>84</v>
      </c>
      <c r="H12" s="21">
        <f>Simulation_7d_6h!N32</f>
        <v>4261.2704640000011</v>
      </c>
    </row>
    <row r="13" spans="1:8" x14ac:dyDescent="0.25">
      <c r="A13" s="20">
        <v>168</v>
      </c>
      <c r="B13" s="22" t="s">
        <v>123</v>
      </c>
      <c r="C13" s="21">
        <f>Simulation_7d_6h!AB32</f>
        <v>19807.852002650223</v>
      </c>
      <c r="D13" s="21">
        <f>Simulation_7d_6h!AD32</f>
        <v>10699.49200265022</v>
      </c>
      <c r="E13" s="21">
        <f>Simulation_7d_6h!AC32</f>
        <v>9108.3600000000024</v>
      </c>
      <c r="F13" s="21">
        <f>Simulation_7d_6h!T32</f>
        <v>451.43354344639994</v>
      </c>
      <c r="G13" s="21">
        <f>Simulation_7d_6h!V32</f>
        <v>3.6000000000000005</v>
      </c>
      <c r="H13" s="21">
        <f>Simulation_7d_6h!AA32</f>
        <v>3697.9335000000001</v>
      </c>
    </row>
    <row r="14" spans="1:8" x14ac:dyDescent="0.25">
      <c r="A14" s="20">
        <v>168</v>
      </c>
      <c r="B14" s="22" t="s">
        <v>124</v>
      </c>
      <c r="C14" s="21">
        <f>Simulation_7d_6h!AO32</f>
        <v>34454.172181860959</v>
      </c>
      <c r="D14" s="21">
        <f>Simulation_7d_6h!AQ32</f>
        <v>13679.371532900954</v>
      </c>
      <c r="E14" s="21">
        <f>Simulation_7d_6h!AP32</f>
        <v>20774.800648960005</v>
      </c>
      <c r="F14" s="21">
        <f>Simulation_7d_6h!AG32</f>
        <v>1244.124468293486</v>
      </c>
      <c r="G14" s="21">
        <f>Simulation_7d_6h!AI32</f>
        <v>1.8000000000000003</v>
      </c>
      <c r="H14" s="21">
        <f>Simulation_7d_6h!AN32</f>
        <v>6208.1279999999988</v>
      </c>
    </row>
    <row r="17" spans="1:8" x14ac:dyDescent="0.25">
      <c r="A17" s="41" t="s">
        <v>188</v>
      </c>
      <c r="B17" s="32"/>
      <c r="C17" s="32"/>
      <c r="D17" s="32"/>
      <c r="E17" s="32"/>
      <c r="F17" s="32"/>
      <c r="G17" s="32"/>
      <c r="H17" s="32"/>
    </row>
    <row r="19" spans="1:8" ht="45" customHeight="1" x14ac:dyDescent="0.25">
      <c r="A19" s="14" t="s">
        <v>182</v>
      </c>
      <c r="B19" s="14" t="s">
        <v>189</v>
      </c>
      <c r="C19" s="14" t="s">
        <v>190</v>
      </c>
      <c r="D19" s="14" t="s">
        <v>191</v>
      </c>
      <c r="E19" s="14" t="s">
        <v>192</v>
      </c>
    </row>
    <row r="20" spans="1:8" x14ac:dyDescent="0.25">
      <c r="A20" s="22" t="s">
        <v>122</v>
      </c>
      <c r="B20" s="24" t="str">
        <f>IF(MIN(Simulation_7d_6h!O4:'Simulation_7d_6h'!O32)&lt;Archetypes!B33,"Yes","No")</f>
        <v>No</v>
      </c>
      <c r="C20" s="24" t="str">
        <f>IF(MIN(Simulation_7d_6h!G4:'Simulation_7d_6h'!G32)&lt;=Assumptions!$B$21,"Yes","No")</f>
        <v>Yes</v>
      </c>
      <c r="D20" s="24" t="str">
        <f>IF(MAX(Simulation_7d_6h!G4:'Simulation_7d_6h'!G32)&gt;=25,"Yes","No")</f>
        <v>No</v>
      </c>
      <c r="E20" s="24" t="str">
        <f>IF(MAX(Simulation_7d_6h!J4:'Simulation_7d_6h'!J32)&gt;0.1,"Yes","No")</f>
        <v>No</v>
      </c>
    </row>
    <row r="21" spans="1:8" x14ac:dyDescent="0.25">
      <c r="A21" s="22" t="s">
        <v>123</v>
      </c>
      <c r="B21" s="24" t="str">
        <f>IF(MIN(Simulation_7d_6h!AB4:'Simulation_7d_6h'!AB32)&lt;Archetypes!C33,"Yes","No")</f>
        <v>No</v>
      </c>
      <c r="C21" s="24" t="str">
        <f>IF(MIN(Simulation_7d_6h!T4:'Simulation_7d_6h'!T32)&lt;=Assumptions!$B$21,"Yes","No")</f>
        <v>No</v>
      </c>
      <c r="D21" s="24" t="str">
        <f>IF(MAX(Simulation_7d_6h!T4:'Simulation_7d_6h'!T32)&gt;=25,"Yes","No")</f>
        <v>Yes</v>
      </c>
      <c r="E21" s="24" t="str">
        <f>IF(MAX(Simulation_7d_6h!W4:'Simulation_7d_6h'!W32)&gt;0.1,"Yes","No")</f>
        <v>No</v>
      </c>
    </row>
    <row r="22" spans="1:8" x14ac:dyDescent="0.25">
      <c r="A22" s="22" t="s">
        <v>124</v>
      </c>
      <c r="B22" s="24" t="str">
        <f>IF(MIN(Simulation_7d_6h!AO4:'Simulation_7d_6h'!AO32)&lt;Archetypes!D33,"Yes","No")</f>
        <v>Yes</v>
      </c>
      <c r="C22" s="24" t="str">
        <f>IF(MIN(Simulation_7d_6h!AG4:'Simulation_7d_6h'!AG32)&lt;=Assumptions!$B$21,"Yes","No")</f>
        <v>No</v>
      </c>
      <c r="D22" s="24" t="str">
        <f>IF(MAX(Simulation_7d_6h!AG4:'Simulation_7d_6h'!AG32)&gt;=25,"Yes","No")</f>
        <v>Yes</v>
      </c>
      <c r="E22" s="24" t="str">
        <f>IF(MAX(Simulation_7d_6h!AJ4:'Simulation_7d_6h'!AJ32)&gt;0.1,"Yes","No")</f>
        <v>Yes</v>
      </c>
    </row>
    <row r="24" spans="1:8" ht="24" customHeight="1" x14ac:dyDescent="0.25">
      <c r="A24" s="38" t="s">
        <v>193</v>
      </c>
      <c r="B24" s="32"/>
      <c r="C24" s="32"/>
      <c r="D24" s="32"/>
      <c r="E24" s="32"/>
      <c r="F24" s="32"/>
      <c r="G24" s="32"/>
      <c r="H24" s="32"/>
    </row>
    <row r="26" spans="1:8" ht="15.75" customHeight="1" x14ac:dyDescent="0.25">
      <c r="A26" s="23" t="s">
        <v>194</v>
      </c>
    </row>
    <row r="27" spans="1:8" ht="20.100000000000001" customHeight="1" x14ac:dyDescent="0.25">
      <c r="A27" s="7" t="s">
        <v>195</v>
      </c>
      <c r="B27" s="7" t="s">
        <v>196</v>
      </c>
      <c r="C27" s="7" t="s">
        <v>197</v>
      </c>
      <c r="D27" s="7" t="s">
        <v>198</v>
      </c>
      <c r="E27" s="7" t="s">
        <v>199</v>
      </c>
    </row>
    <row r="28" spans="1:8" ht="30" customHeight="1" x14ac:dyDescent="0.25">
      <c r="A28" s="8">
        <v>24</v>
      </c>
      <c r="B28" s="8" t="s">
        <v>200</v>
      </c>
      <c r="C28" s="27">
        <f>IF(MIN($C$4:$C$6)=0,"",MAX($C$4:$C$6)/MIN($C$4:$C$6))</f>
        <v>4.8083689932041338</v>
      </c>
      <c r="D28" s="27">
        <v>1.4</v>
      </c>
      <c r="E28" s="8" t="str">
        <f>IF(C28="","",IF(C28&gt;D28,"FLAG","OK"))</f>
        <v>FLAG</v>
      </c>
    </row>
    <row r="29" spans="1:8" ht="30" customHeight="1" x14ac:dyDescent="0.25">
      <c r="A29" s="8">
        <v>72</v>
      </c>
      <c r="B29" s="8" t="s">
        <v>200</v>
      </c>
      <c r="C29" s="27">
        <f>IF(MIN($C$8:$C$10)=0,"",MAX($C$8:$C$10)/MIN($C$8:$C$10))</f>
        <v>2.2380548552765882</v>
      </c>
      <c r="D29" s="27">
        <v>1.6</v>
      </c>
      <c r="E29" s="8" t="str">
        <f>IF(C29="","",IF(C29&gt;D29,"FLAG","OK"))</f>
        <v>FLAG</v>
      </c>
    </row>
    <row r="30" spans="1:8" ht="30" customHeight="1" x14ac:dyDescent="0.25">
      <c r="A30" s="8">
        <v>168</v>
      </c>
      <c r="B30" s="8" t="s">
        <v>200</v>
      </c>
      <c r="C30" s="27">
        <f>IF(MIN($C$12:$C$14)=0,"",MAX($C$12:$C$14)/MIN($C$12:$C$14))</f>
        <v>2.1390588183131971</v>
      </c>
      <c r="D30" s="27">
        <v>1.8</v>
      </c>
      <c r="E30" s="8" t="str">
        <f>IF(C30="","",IF(C30&gt;D30,"FLAG","OK"))</f>
        <v>FLAG</v>
      </c>
    </row>
    <row r="32" spans="1:8" ht="63" customHeight="1" x14ac:dyDescent="0.25">
      <c r="A32" s="23" t="s">
        <v>201</v>
      </c>
    </row>
    <row r="33" spans="1:8" ht="31.5" customHeight="1" x14ac:dyDescent="0.25">
      <c r="A33" s="7" t="s">
        <v>202</v>
      </c>
      <c r="B33" s="7" t="s">
        <v>182</v>
      </c>
      <c r="C33" s="7" t="s">
        <v>203</v>
      </c>
      <c r="D33" s="7" t="s">
        <v>183</v>
      </c>
      <c r="E33" s="7" t="s">
        <v>177</v>
      </c>
      <c r="F33" s="7" t="s">
        <v>184</v>
      </c>
      <c r="G33" s="7" t="s">
        <v>204</v>
      </c>
    </row>
    <row r="34" spans="1:8" x14ac:dyDescent="0.25">
      <c r="A34" s="8">
        <v>24</v>
      </c>
      <c r="B34" s="8" t="str">
        <f>B4</f>
        <v>Safe</v>
      </c>
      <c r="C34" s="28">
        <f t="shared" ref="C34:C42" si="0">IF(D34=0,"",E34/D34)</f>
        <v>0.55990070255973712</v>
      </c>
      <c r="D34" s="8">
        <f>$C$4</f>
        <v>4766.1308296273928</v>
      </c>
      <c r="E34" s="8">
        <f>$E$4</f>
        <v>2668.56</v>
      </c>
      <c r="F34" s="8">
        <f>$D$4</f>
        <v>2097.5708296273929</v>
      </c>
      <c r="G34" s="28" t="str">
        <f t="shared" ref="G34:G42" si="1">IF(C34="","",IF(C34&gt;0.8,"Too high",IF(AND(A34&gt;=72,C34&lt;0.15),"Too low","OK")))</f>
        <v>OK</v>
      </c>
    </row>
    <row r="35" spans="1:8" x14ac:dyDescent="0.25">
      <c r="A35" s="8">
        <v>24</v>
      </c>
      <c r="B35" s="8" t="str">
        <f>B5</f>
        <v>Balanced</v>
      </c>
      <c r="C35" s="28">
        <f t="shared" si="0"/>
        <v>0.81204094741721666</v>
      </c>
      <c r="D35" s="8">
        <f>$C$5</f>
        <v>11332.49059823174</v>
      </c>
      <c r="E35" s="8">
        <f>$E$5</f>
        <v>9202.4464019848019</v>
      </c>
      <c r="F35" s="8">
        <f>$D$5</f>
        <v>2130.0441962469376</v>
      </c>
      <c r="G35" s="28" t="str">
        <f t="shared" si="1"/>
        <v>Too high</v>
      </c>
    </row>
    <row r="36" spans="1:8" x14ac:dyDescent="0.25">
      <c r="A36" s="8">
        <v>24</v>
      </c>
      <c r="B36" s="8" t="str">
        <f>B6</f>
        <v>Lethal</v>
      </c>
      <c r="C36" s="28">
        <f t="shared" si="0"/>
        <v>0.90651108192863361</v>
      </c>
      <c r="D36" s="8">
        <f>$C$6</f>
        <v>22917.315698734648</v>
      </c>
      <c r="E36" s="8">
        <f>$E$6</f>
        <v>20774.800648960005</v>
      </c>
      <c r="F36" s="8">
        <f>$D$6</f>
        <v>2142.5150497746436</v>
      </c>
      <c r="G36" s="28" t="str">
        <f t="shared" si="1"/>
        <v>Too high</v>
      </c>
    </row>
    <row r="37" spans="1:8" x14ac:dyDescent="0.25">
      <c r="A37" s="8">
        <v>72</v>
      </c>
      <c r="B37" s="8" t="str">
        <f>B8</f>
        <v>Safe</v>
      </c>
      <c r="C37" s="28">
        <f t="shared" si="0"/>
        <v>0.17470434842056806</v>
      </c>
      <c r="D37" s="8">
        <f>$C$8</f>
        <v>15274.719971914727</v>
      </c>
      <c r="E37" s="8">
        <f>$E$8</f>
        <v>2668.56</v>
      </c>
      <c r="F37" s="8">
        <f>$D$8</f>
        <v>12606.159971914727</v>
      </c>
      <c r="G37" s="28" t="str">
        <f t="shared" si="1"/>
        <v>OK</v>
      </c>
    </row>
    <row r="38" spans="1:8" x14ac:dyDescent="0.25">
      <c r="A38" s="8">
        <v>72</v>
      </c>
      <c r="B38" s="8" t="str">
        <f>B9</f>
        <v>Balanced</v>
      </c>
      <c r="C38" s="28">
        <f t="shared" si="0"/>
        <v>0.46773578463255799</v>
      </c>
      <c r="D38" s="8">
        <f>$C$9</f>
        <v>19473.301593025026</v>
      </c>
      <c r="E38" s="8">
        <f>$E$9</f>
        <v>9108.3600000000024</v>
      </c>
      <c r="F38" s="8">
        <f>$D$9</f>
        <v>10364.941593025023</v>
      </c>
      <c r="G38" s="28" t="str">
        <f t="shared" si="1"/>
        <v>OK</v>
      </c>
    </row>
    <row r="39" spans="1:8" x14ac:dyDescent="0.25">
      <c r="A39" s="8">
        <v>72</v>
      </c>
      <c r="B39" s="8" t="str">
        <f>B10</f>
        <v>Lethal</v>
      </c>
      <c r="C39" s="28">
        <f t="shared" si="0"/>
        <v>0.60770509980100595</v>
      </c>
      <c r="D39" s="8">
        <f>$C$10</f>
        <v>34185.661196134024</v>
      </c>
      <c r="E39" s="8">
        <f>$E$10</f>
        <v>20774.800648960005</v>
      </c>
      <c r="F39" s="8">
        <f>$D$10</f>
        <v>13410.860547174019</v>
      </c>
      <c r="G39" s="28" t="str">
        <f t="shared" si="1"/>
        <v>OK</v>
      </c>
    </row>
    <row r="40" spans="1:8" x14ac:dyDescent="0.25">
      <c r="A40" s="8">
        <v>168</v>
      </c>
      <c r="B40" s="8" t="str">
        <f>B12</f>
        <v>Safe</v>
      </c>
      <c r="C40" s="28">
        <f t="shared" si="0"/>
        <v>0.16567534317957167</v>
      </c>
      <c r="D40" s="8">
        <f>$C$12</f>
        <v>16107.164462653986</v>
      </c>
      <c r="E40" s="8">
        <f>$E$12</f>
        <v>2668.56</v>
      </c>
      <c r="F40" s="8">
        <f>$D$12</f>
        <v>13438.604462653986</v>
      </c>
      <c r="G40" s="28" t="str">
        <f t="shared" si="1"/>
        <v>OK</v>
      </c>
    </row>
    <row r="41" spans="1:8" x14ac:dyDescent="0.25">
      <c r="A41" s="8">
        <v>168</v>
      </c>
      <c r="B41" s="8" t="str">
        <f>B13</f>
        <v>Balanced</v>
      </c>
      <c r="C41" s="28">
        <f t="shared" si="0"/>
        <v>0.45983582666012118</v>
      </c>
      <c r="D41" s="8">
        <f>$C$13</f>
        <v>19807.852002650223</v>
      </c>
      <c r="E41" s="8">
        <f>$E$13</f>
        <v>9108.3600000000024</v>
      </c>
      <c r="F41" s="8">
        <f>$D$13</f>
        <v>10699.49200265022</v>
      </c>
      <c r="G41" s="28" t="str">
        <f t="shared" si="1"/>
        <v>OK</v>
      </c>
    </row>
    <row r="42" spans="1:8" x14ac:dyDescent="0.25">
      <c r="A42" s="8">
        <v>168</v>
      </c>
      <c r="B42" s="8" t="str">
        <f>B14</f>
        <v>Lethal</v>
      </c>
      <c r="C42" s="28">
        <f t="shared" si="0"/>
        <v>0.60296908424626983</v>
      </c>
      <c r="D42" s="8">
        <f>$C$14</f>
        <v>34454.172181860959</v>
      </c>
      <c r="E42" s="8">
        <f>$E$14</f>
        <v>20774.800648960005</v>
      </c>
      <c r="F42" s="8">
        <f>$D$14</f>
        <v>13679.371532900954</v>
      </c>
      <c r="G42" s="28" t="str">
        <f t="shared" si="1"/>
        <v>OK</v>
      </c>
    </row>
    <row r="44" spans="1:8" ht="21.95" customHeight="1" x14ac:dyDescent="0.25">
      <c r="A44" s="39" t="s">
        <v>205</v>
      </c>
      <c r="B44" s="32"/>
      <c r="C44" s="32"/>
      <c r="D44" s="32"/>
      <c r="E44" s="32"/>
      <c r="F44" s="32"/>
      <c r="G44" s="32"/>
      <c r="H44" s="32"/>
    </row>
    <row r="45" spans="1:8" x14ac:dyDescent="0.25">
      <c r="A45" s="40" t="s">
        <v>206</v>
      </c>
      <c r="B45" s="32"/>
      <c r="C45" s="32"/>
      <c r="D45" s="32"/>
      <c r="E45" s="32"/>
      <c r="F45" s="32"/>
      <c r="G45" s="32"/>
      <c r="H45" s="32"/>
    </row>
    <row r="47" spans="1:8" ht="30" customHeight="1" x14ac:dyDescent="0.25">
      <c r="A47" s="7" t="s">
        <v>182</v>
      </c>
      <c r="B47" s="7" t="s">
        <v>207</v>
      </c>
      <c r="C47" s="7" t="s">
        <v>208</v>
      </c>
      <c r="D47" s="7" t="s">
        <v>209</v>
      </c>
      <c r="E47" s="7" t="s">
        <v>210</v>
      </c>
      <c r="F47" s="7" t="s">
        <v>211</v>
      </c>
    </row>
    <row r="48" spans="1:8" x14ac:dyDescent="0.25">
      <c r="A48" s="8" t="s">
        <v>122</v>
      </c>
      <c r="B48" s="28">
        <f>IF((((Archetypes!$B$5*Assumptions!$B$4)+(Archetypes!$B$6*Assumptions!$B$5))*60+(((Archetypes!$B$11*(1-Archetypes!$B$30)*Archetypes!$B$15)*Archetypes!$B$13*5)+((Archetypes!$B$11*Archetypes!$B$30*Archetypes!$B$15*Archetypes!$B$22)*Archetypes!$B$13*5*2.5))+(Archetypes!$B$11*Archetypes!$B$20*Assumptions!$B$6*(Assumptions!$B$10 + (24-Assumptions!$B$10)*Assumptions!$B$7)/24*((1-Archetypes!$B$30)+(Archetypes!$B$30*Archetypes!$B$21*2.5))))=0,"",((Archetypes!$B$5*Assumptions!$B$4)+(Archetypes!$B$6*Assumptions!$B$5))*60/(((Archetypes!$B$5*Assumptions!$B$4)+(Archetypes!$B$6*Assumptions!$B$5))*60+(((Archetypes!$B$11*(1-Archetypes!$B$30)*Archetypes!$B$15)*Archetypes!$B$13*5)+((Archetypes!$B$11*Archetypes!$B$30*Archetypes!$B$15*Archetypes!$B$22)*Archetypes!$B$13*5*2.5))+(Archetypes!$B$11*Archetypes!$B$20*Assumptions!$B$6*(Assumptions!$B$10 + (24-Assumptions!$B$10)*Assumptions!$B$7)/24*((1-Archetypes!$B$30)+(Archetypes!$B$30*Archetypes!$B$21*2.5)))))</f>
        <v>0.16651541516455889</v>
      </c>
      <c r="C48" s="28">
        <f>IF((((Archetypes!$B$5*Assumptions!$B$4)+(Archetypes!$B$6*Assumptions!$B$5))*60+(((Archetypes!$B$11*(1-Archetypes!$B$30)*Archetypes!$B$15)*Archetypes!$B$13*5)+((Archetypes!$B$11*Archetypes!$B$30*Archetypes!$B$15*Archetypes!$B$22)*Archetypes!$B$13*5*2.5))+(Archetypes!$B$11*Archetypes!$B$20*Assumptions!$B$6*(Assumptions!$B$10 + (24-Assumptions!$B$10)*Assumptions!$B$7)/24*((1-Archetypes!$B$30)+(Archetypes!$B$30*Archetypes!$B$21*2.5))))=0,"",(((Archetypes!$B$11*(1-Archetypes!$B$30)*Archetypes!$B$15)*Archetypes!$B$13*5)+((Archetypes!$B$11*Archetypes!$B$30*Archetypes!$B$15*Archetypes!$B$22)*Archetypes!$B$13*5*2.5))/(((Archetypes!$B$5*Assumptions!$B$4)+(Archetypes!$B$6*Assumptions!$B$5))*60+(((Archetypes!$B$11*(1-Archetypes!$B$30)*Archetypes!$B$15)*Archetypes!$B$13*5)+((Archetypes!$B$11*Archetypes!$B$30*Archetypes!$B$15*Archetypes!$B$22)*Archetypes!$B$13*5*2.5))+(Archetypes!$B$11*Archetypes!$B$20*Assumptions!$B$6*(Assumptions!$B$10 + (24-Assumptions!$B$10)*Assumptions!$B$7)/24*((1-Archetypes!$B$30)+(Archetypes!$B$30*Archetypes!$B$21*2.5)))))</f>
        <v>3.4768418686359902E-2</v>
      </c>
      <c r="D48" s="28">
        <f>IF((((Archetypes!$B$5*Assumptions!$B$4)+(Archetypes!$B$6*Assumptions!$B$5))*60+(((Archetypes!$B$11*(1-Archetypes!$B$30)*Archetypes!$B$15)*Archetypes!$B$13*5)+((Archetypes!$B$11*Archetypes!$B$30*Archetypes!$B$15*Archetypes!$B$22)*Archetypes!$B$13*5*2.5))+(Archetypes!$B$11*Archetypes!$B$20*Assumptions!$B$6*(Assumptions!$B$10 + (24-Assumptions!$B$10)*Assumptions!$B$7)/24*((1-Archetypes!$B$30)+(Archetypes!$B$30*Archetypes!$B$21*2.5))))=0,"",(Archetypes!$B$11*Archetypes!$B$20*Assumptions!$B$6*(Assumptions!$B$10 + (24-Assumptions!$B$10)*Assumptions!$B$7)/24*((1-Archetypes!$B$30)+(Archetypes!$B$30*Archetypes!$B$21*2.5)))/(((Archetypes!$B$5*Assumptions!$B$4)+(Archetypes!$B$6*Assumptions!$B$5))*60+(((Archetypes!$B$11*(1-Archetypes!$B$30)*Archetypes!$B$15)*Archetypes!$B$13*5)+((Archetypes!$B$11*Archetypes!$B$30*Archetypes!$B$15*Archetypes!$B$22)*Archetypes!$B$13*5*2.5))+(Archetypes!$B$11*Archetypes!$B$20*Assumptions!$B$6*(Assumptions!$B$10 + (24-Assumptions!$B$10)*Assumptions!$B$7)/24*((1-Archetypes!$B$30)+(Archetypes!$B$30*Archetypes!$B$21*2.5)))))</f>
        <v>0.79871616614908125</v>
      </c>
      <c r="E48" s="28">
        <f>IF((((Archetypes!$B$5*Assumptions!$B$4)+(Archetypes!$B$6*Assumptions!$B$5))*60+(((Archetypes!$B$11*(1-Archetypes!$B$30)*Archetypes!$B$15)*Archetypes!$B$13*5)+((Archetypes!$B$11*Archetypes!$B$30*Archetypes!$B$15*Archetypes!$B$22)*Archetypes!$B$13*5*2.5))+(Archetypes!$B$11*Archetypes!$B$20*Assumptions!$B$6*(Assumptions!$B$10 + (24-Assumptions!$B$10)*Assumptions!$B$7)/24*((1-Archetypes!$B$30)+(Archetypes!$B$30*Archetypes!$B$21*2.5))))=0,"",(((Archetypes!$B$11*Archetypes!$B$30*Archetypes!$B$15*Archetypes!$B$22)*Archetypes!$B$13*5*2.5)+(Archetypes!$B$11*Archetypes!$B$20*Assumptions!$B$6*(Assumptions!$B$10 + (24-Assumptions!$B$10)*Assumptions!$B$7)/24*(Archetypes!$B$30*Archetypes!$B$21*2.5)))/(((Archetypes!$B$5*Assumptions!$B$4)+(Archetypes!$B$6*Assumptions!$B$5))*60+(((Archetypes!$B$11*(1-Archetypes!$B$30)*Archetypes!$B$15)*Archetypes!$B$13*5)+((Archetypes!$B$11*Archetypes!$B$30*Archetypes!$B$15*Archetypes!$B$22)*Archetypes!$B$13*5*2.5))+(Archetypes!$B$11*Archetypes!$B$20*Assumptions!$B$6*(Assumptions!$B$10 + (24-Assumptions!$B$10)*Assumptions!$B$7)/24*((1-Archetypes!$B$30)+(Archetypes!$B$30*Archetypes!$B$21*2.5)))))</f>
        <v>0.1006502426962176</v>
      </c>
      <c r="F48" s="8" t="str">
        <f>TRIM(_xlfn.SINGLE(_xlfn.CONCAT(IF(MAX(B48:D48)&gt;0.65,"Single source dominates; ",""),IF(E48&gt;0.5,"Elite over 50%; ",""),IF(AND($A48="Lethal",E48&lt;0.15),"Elite under 15%; ",""))))</f>
        <v>Single source dominates;</v>
      </c>
    </row>
    <row r="49" spans="1:6" x14ac:dyDescent="0.25">
      <c r="A49" s="8" t="s">
        <v>123</v>
      </c>
      <c r="B49" s="28">
        <f>IF((((Archetypes!$C$5*Assumptions!$B$4)+(Archetypes!$C$6*Assumptions!$B$5))*60+(((Archetypes!$C$11*(1-Archetypes!$C$30)*Archetypes!$C$15)*Archetypes!$C$13*5)+((Archetypes!$C$11*Archetypes!$C$30*Archetypes!$C$15*Archetypes!$C$22)*Archetypes!$C$13*5*2.5))+(Archetypes!$C$11*Archetypes!$C$20*Assumptions!$B$6*(Assumptions!$B$10 + (24-Assumptions!$B$10)*Assumptions!$B$7)/24*((1-Archetypes!$C$30)+(Archetypes!$C$30*Archetypes!$C$21*2.5))))=0,"",((Archetypes!$C$5*Assumptions!$B$4)+(Archetypes!$C$6*Assumptions!$B$5))*60/(((Archetypes!$C$5*Assumptions!$B$4)+(Archetypes!$C$6*Assumptions!$B$5))*60+(((Archetypes!$C$11*(1-Archetypes!$C$30)*Archetypes!$C$15)*Archetypes!$C$13*5)+((Archetypes!$C$11*Archetypes!$C$30*Archetypes!$C$15*Archetypes!$C$22)*Archetypes!$C$13*5*2.5))+(Archetypes!$C$11*Archetypes!$C$20*Assumptions!$B$6*(Assumptions!$B$10 + (24-Assumptions!$B$10)*Assumptions!$B$7)/24*((1-Archetypes!$C$30)+(Archetypes!$C$30*Archetypes!$C$21*2.5)))))</f>
        <v>0.30533995969512534</v>
      </c>
      <c r="C49" s="28">
        <f>IF((((Archetypes!$C$5*Assumptions!$B$4)+(Archetypes!$C$6*Assumptions!$B$5))*60+(((Archetypes!$C$11*(1-Archetypes!$C$30)*Archetypes!$C$15)*Archetypes!$C$13*5)+((Archetypes!$C$11*Archetypes!$C$30*Archetypes!$C$15*Archetypes!$C$22)*Archetypes!$C$13*5*2.5))+(Archetypes!$C$11*Archetypes!$C$20*Assumptions!$B$6*(Assumptions!$B$10 + (24-Assumptions!$B$10)*Assumptions!$B$7)/24*((1-Archetypes!$C$30)+(Archetypes!$C$30*Archetypes!$C$21*2.5))))=0,"",(((Archetypes!$C$11*(1-Archetypes!$C$30)*Archetypes!$C$15)*Archetypes!$C$13*5)+((Archetypes!$C$11*Archetypes!$C$30*Archetypes!$C$15*Archetypes!$C$22)*Archetypes!$C$13*5*2.5))/(((Archetypes!$C$5*Assumptions!$B$4)+(Archetypes!$C$6*Assumptions!$B$5))*60+(((Archetypes!$C$11*(1-Archetypes!$C$30)*Archetypes!$C$15)*Archetypes!$C$13*5)+((Archetypes!$C$11*Archetypes!$C$30*Archetypes!$C$15*Archetypes!$C$22)*Archetypes!$C$13*5*2.5))+(Archetypes!$C$11*Archetypes!$C$20*Assumptions!$B$6*(Assumptions!$B$10 + (24-Assumptions!$B$10)*Assumptions!$B$7)/24*((1-Archetypes!$C$30)+(Archetypes!$C$30*Archetypes!$C$21*2.5)))))</f>
        <v>9.4699007499731022E-2</v>
      </c>
      <c r="D49" s="28">
        <f>IF((((Archetypes!$C$5*Assumptions!$B$4)+(Archetypes!$C$6*Assumptions!$B$5))*60+(((Archetypes!$C$11*(1-Archetypes!$C$30)*Archetypes!$C$15)*Archetypes!$C$13*5)+((Archetypes!$C$11*Archetypes!$C$30*Archetypes!$C$15*Archetypes!$C$22)*Archetypes!$C$13*5*2.5))+(Archetypes!$C$11*Archetypes!$C$20*Assumptions!$B$6*(Assumptions!$B$10 + (24-Assumptions!$B$10)*Assumptions!$B$7)/24*((1-Archetypes!$C$30)+(Archetypes!$C$30*Archetypes!$C$21*2.5))))=0,"",(Archetypes!$C$11*Archetypes!$C$20*Assumptions!$B$6*(Assumptions!$B$10 + (24-Assumptions!$B$10)*Assumptions!$B$7)/24*((1-Archetypes!$C$30)+(Archetypes!$C$30*Archetypes!$C$21*2.5)))/(((Archetypes!$C$5*Assumptions!$B$4)+(Archetypes!$C$6*Assumptions!$B$5))*60+(((Archetypes!$C$11*(1-Archetypes!$C$30)*Archetypes!$C$15)*Archetypes!$C$13*5)+((Archetypes!$C$11*Archetypes!$C$30*Archetypes!$C$15*Archetypes!$C$22)*Archetypes!$C$13*5*2.5))+(Archetypes!$C$11*Archetypes!$C$20*Assumptions!$B$6*(Assumptions!$B$10 + (24-Assumptions!$B$10)*Assumptions!$B$7)/24*((1-Archetypes!$C$30)+(Archetypes!$C$30*Archetypes!$C$21*2.5)))))</f>
        <v>0.59996103280514368</v>
      </c>
      <c r="E49" s="28">
        <f>IF((((Archetypes!$C$5*Assumptions!$B$4)+(Archetypes!$C$6*Assumptions!$B$5))*60+(((Archetypes!$C$11*(1-Archetypes!$C$30)*Archetypes!$C$15)*Archetypes!$C$13*5)+((Archetypes!$C$11*Archetypes!$C$30*Archetypes!$C$15*Archetypes!$C$22)*Archetypes!$C$13*5*2.5))+(Archetypes!$C$11*Archetypes!$C$20*Assumptions!$B$6*(Assumptions!$B$10 + (24-Assumptions!$B$10)*Assumptions!$B$7)/24*((1-Archetypes!$C$30)+(Archetypes!$C$30*Archetypes!$C$21*2.5))))=0,"",(((Archetypes!$C$11*Archetypes!$C$30*Archetypes!$C$15*Archetypes!$C$22)*Archetypes!$C$13*5*2.5)+(Archetypes!$C$11*Archetypes!$C$20*Assumptions!$B$6*(Assumptions!$B$10 + (24-Assumptions!$B$10)*Assumptions!$B$7)/24*(Archetypes!$C$30*Archetypes!$C$21*2.5)))/(((Archetypes!$C$5*Assumptions!$B$4)+(Archetypes!$C$6*Assumptions!$B$5))*60+(((Archetypes!$C$11*(1-Archetypes!$C$30)*Archetypes!$C$15)*Archetypes!$C$13*5)+((Archetypes!$C$11*Archetypes!$C$30*Archetypes!$C$15*Archetypes!$C$22)*Archetypes!$C$13*5*2.5))+(Archetypes!$C$11*Archetypes!$C$20*Assumptions!$B$6*(Assumptions!$B$10 + (24-Assumptions!$B$10)*Assumptions!$B$7)/24*((1-Archetypes!$C$30)+(Archetypes!$C$30*Archetypes!$C$21*2.5)))))</f>
        <v>0.12956592289729818</v>
      </c>
      <c r="F49" s="8" t="str">
        <f>TRIM(_xlfn.SINGLE(_xlfn.CONCAT(IF(MAX(B49:D49)&gt;0.65,"Single source dominates; ",""),IF(E49&gt;0.5,"Elite over 50%; ",""),IF(AND($A49="Lethal",E49&lt;0.15),"Elite under 15%; ",""))))</f>
        <v/>
      </c>
    </row>
    <row r="50" spans="1:6" x14ac:dyDescent="0.25">
      <c r="A50" s="8" t="s">
        <v>124</v>
      </c>
      <c r="B50" s="28">
        <f>IF((((Archetypes!$D$5*Assumptions!$B$4)+(Archetypes!$D$6*Assumptions!$B$5))*60+(((Archetypes!$D$11*(1-Archetypes!$D$30)*Archetypes!$D$15)*Archetypes!$D$13*5)+((Archetypes!$D$11*Archetypes!$D$30*Archetypes!$D$15*Archetypes!$D$22)*Archetypes!$D$13*5*2.5))+(Archetypes!$D$11*Archetypes!$D$20*Assumptions!$B$6*(Assumptions!$B$10 + (24-Assumptions!$B$10)*Assumptions!$B$7)/24*((1-Archetypes!$D$30)+(Archetypes!$D$30*Archetypes!$D$21*2.5))))=0,"",((Archetypes!$D$5*Assumptions!$B$4)+(Archetypes!$D$6*Assumptions!$B$5))*60/(((Archetypes!$D$5*Assumptions!$B$4)+(Archetypes!$D$6*Assumptions!$B$5))*60+(((Archetypes!$D$11*(1-Archetypes!$D$30)*Archetypes!$D$15)*Archetypes!$D$13*5)+((Archetypes!$D$11*Archetypes!$D$30*Archetypes!$D$15*Archetypes!$D$22)*Archetypes!$D$13*5*2.5))+(Archetypes!$D$11*Archetypes!$D$20*Assumptions!$B$6*(Assumptions!$B$10 + (24-Assumptions!$B$10)*Assumptions!$B$7)/24*((1-Archetypes!$D$30)+(Archetypes!$D$30*Archetypes!$D$21*2.5)))))</f>
        <v>0.32373745368590562</v>
      </c>
      <c r="C50" s="28">
        <f>IF((((Archetypes!$D$5*Assumptions!$B$4)+(Archetypes!$D$6*Assumptions!$B$5))*60+(((Archetypes!$D$11*(1-Archetypes!$D$30)*Archetypes!$D$15)*Archetypes!$D$13*5)+((Archetypes!$D$11*Archetypes!$D$30*Archetypes!$D$15*Archetypes!$D$22)*Archetypes!$D$13*5*2.5))+(Archetypes!$D$11*Archetypes!$D$20*Assumptions!$B$6*(Assumptions!$B$10 + (24-Assumptions!$B$10)*Assumptions!$B$7)/24*((1-Archetypes!$D$30)+(Archetypes!$D$30*Archetypes!$D$21*2.5))))=0,"",(((Archetypes!$D$11*(1-Archetypes!$D$30)*Archetypes!$D$15)*Archetypes!$D$13*5)+((Archetypes!$D$11*Archetypes!$D$30*Archetypes!$D$15*Archetypes!$D$22)*Archetypes!$D$13*5*2.5))/(((Archetypes!$D$5*Assumptions!$B$4)+(Archetypes!$D$6*Assumptions!$B$5))*60+(((Archetypes!$D$11*(1-Archetypes!$D$30)*Archetypes!$D$15)*Archetypes!$D$13*5)+((Archetypes!$D$11*Archetypes!$D$30*Archetypes!$D$15*Archetypes!$D$22)*Archetypes!$D$13*5*2.5))+(Archetypes!$D$11*Archetypes!$D$20*Assumptions!$B$6*(Assumptions!$B$10 + (24-Assumptions!$B$10)*Assumptions!$B$7)/24*((1-Archetypes!$D$30)+(Archetypes!$D$30*Archetypes!$D$21*2.5)))))</f>
        <v>0.16196394374109574</v>
      </c>
      <c r="D50" s="28">
        <f>IF((((Archetypes!$D$5*Assumptions!$B$4)+(Archetypes!$D$6*Assumptions!$B$5))*60+(((Archetypes!$D$11*(1-Archetypes!$D$30)*Archetypes!$D$15)*Archetypes!$D$13*5)+((Archetypes!$D$11*Archetypes!$D$30*Archetypes!$D$15*Archetypes!$D$22)*Archetypes!$D$13*5*2.5))+(Archetypes!$D$11*Archetypes!$D$20*Assumptions!$B$6*(Assumptions!$B$10 + (24-Assumptions!$B$10)*Assumptions!$B$7)/24*((1-Archetypes!$D$30)+(Archetypes!$D$30*Archetypes!$D$21*2.5))))=0,"",(Archetypes!$D$11*Archetypes!$D$20*Assumptions!$B$6*(Assumptions!$B$10 + (24-Assumptions!$B$10)*Assumptions!$B$7)/24*((1-Archetypes!$D$30)+(Archetypes!$D$30*Archetypes!$D$21*2.5)))/(((Archetypes!$D$5*Assumptions!$B$4)+(Archetypes!$D$6*Assumptions!$B$5))*60+(((Archetypes!$D$11*(1-Archetypes!$D$30)*Archetypes!$D$15)*Archetypes!$D$13*5)+((Archetypes!$D$11*Archetypes!$D$30*Archetypes!$D$15*Archetypes!$D$22)*Archetypes!$D$13*5*2.5))+(Archetypes!$D$11*Archetypes!$D$20*Assumptions!$B$6*(Assumptions!$B$10 + (24-Assumptions!$B$10)*Assumptions!$B$7)/24*((1-Archetypes!$D$30)+(Archetypes!$D$30*Archetypes!$D$21*2.5)))))</f>
        <v>0.51429860257299864</v>
      </c>
      <c r="E50" s="28">
        <f>IF((((Archetypes!$D$5*Assumptions!$B$4)+(Archetypes!$D$6*Assumptions!$B$5))*60+(((Archetypes!$D$11*(1-Archetypes!$D$30)*Archetypes!$D$15)*Archetypes!$D$13*5)+((Archetypes!$D$11*Archetypes!$D$30*Archetypes!$D$15*Archetypes!$D$22)*Archetypes!$D$13*5*2.5))+(Archetypes!$D$11*Archetypes!$D$20*Assumptions!$B$6*(Assumptions!$B$10 + (24-Assumptions!$B$10)*Assumptions!$B$7)/24*((1-Archetypes!$D$30)+(Archetypes!$D$30*Archetypes!$D$21*2.5))))=0,"",(((Archetypes!$D$11*Archetypes!$D$30*Archetypes!$D$15*Archetypes!$D$22)*Archetypes!$D$13*5*2.5)+(Archetypes!$D$11*Archetypes!$D$20*Assumptions!$B$6*(Assumptions!$B$10 + (24-Assumptions!$B$10)*Assumptions!$B$7)/24*(Archetypes!$D$30*Archetypes!$D$21*2.5)))/(((Archetypes!$D$5*Assumptions!$B$4)+(Archetypes!$D$6*Assumptions!$B$5))*60+(((Archetypes!$D$11*(1-Archetypes!$D$30)*Archetypes!$D$15)*Archetypes!$D$13*5)+((Archetypes!$D$11*Archetypes!$D$30*Archetypes!$D$15*Archetypes!$D$22)*Archetypes!$D$13*5*2.5))+(Archetypes!$D$11*Archetypes!$D$20*Assumptions!$B$6*(Assumptions!$B$10 + (24-Assumptions!$B$10)*Assumptions!$B$7)/24*((1-Archetypes!$D$30)+(Archetypes!$D$30*Archetypes!$D$21*2.5)))))</f>
        <v>0.26302120837385012</v>
      </c>
      <c r="F50" s="8" t="str">
        <f>TRIM(_xlfn.SINGLE(_xlfn.CONCAT(IF(MAX(B50:D50)&gt;0.65,"Single source dominates; ",""),IF(E50&gt;0.5,"Elite over 50%; ",""),IF(AND($A50="Lethal",E50&lt;0.15),"Elite under 15%; ",""))))</f>
        <v/>
      </c>
    </row>
    <row r="52" spans="1:6" x14ac:dyDescent="0.25">
      <c r="A52" s="38" t="s">
        <v>212</v>
      </c>
      <c r="B52" s="32"/>
      <c r="C52" s="32"/>
      <c r="D52" s="32"/>
      <c r="E52" s="32"/>
      <c r="F52" s="32"/>
    </row>
    <row r="53" spans="1:6" ht="60" customHeight="1" x14ac:dyDescent="0.25">
      <c r="A53" s="7" t="s">
        <v>195</v>
      </c>
      <c r="B53" s="7" t="s">
        <v>213</v>
      </c>
      <c r="C53" s="7" t="s">
        <v>214</v>
      </c>
      <c r="D53" s="7" t="s">
        <v>215</v>
      </c>
      <c r="E53" s="7" t="s">
        <v>216</v>
      </c>
      <c r="F53" s="7" t="s">
        <v>217</v>
      </c>
    </row>
    <row r="54" spans="1:6" x14ac:dyDescent="0.25">
      <c r="A54" s="9">
        <v>24</v>
      </c>
      <c r="B54" s="10" t="str">
        <f>IF(C54=0,"OK","Needs review")</f>
        <v>Needs review</v>
      </c>
      <c r="C54" s="8">
        <f>IF(INDEX($E$28:$E$30,MATCH(A54,$A$28:$A$30,0))="FLAG",1,0)+COUNTIFS($A$34:$A$42,A54,$G$34:$G$42,"&lt;&gt;OK",$G$34:$G$42,"&lt;&gt;")+COUNTIF($F$48:$F$50,"&lt;&gt;")</f>
        <v>6</v>
      </c>
      <c r="D54" s="8">
        <f>IF(INDEX($E$28:$E$30,MATCH(A54,$A$28:$A$30,0))="FLAG",1,0)</f>
        <v>1</v>
      </c>
      <c r="E54" s="8">
        <f>COUNTIFS($A$34:$A$42,A54,$G$34:$G$42,"&lt;&gt;OK",$G$34:$G$42,"&lt;&gt;")</f>
        <v>2</v>
      </c>
      <c r="F54" s="8">
        <f>COUNTIF($F$48:$F$50,"&lt;&gt;")</f>
        <v>3</v>
      </c>
    </row>
    <row r="55" spans="1:6" x14ac:dyDescent="0.25">
      <c r="A55" s="9">
        <v>72</v>
      </c>
      <c r="B55" s="10" t="str">
        <f>IF(C55=0,"OK","Needs review")</f>
        <v>Needs review</v>
      </c>
      <c r="C55" s="8">
        <f>IF(INDEX($E$28:$E$30,MATCH(A55,$A$28:$A$30,0))="FLAG",1,0)+COUNTIFS($A$34:$A$42,A55,$G$34:$G$42,"&lt;&gt;OK",$G$34:$G$42,"&lt;&gt;")+COUNTIF($F$48:$F$50,"&lt;&gt;")</f>
        <v>4</v>
      </c>
      <c r="D55" s="8">
        <f>IF(INDEX($E$28:$E$30,MATCH(A55,$A$28:$A$30,0))="FLAG",1,0)</f>
        <v>1</v>
      </c>
      <c r="E55" s="8">
        <f>COUNTIFS($A$34:$A$42,A55,$G$34:$G$42,"&lt;&gt;OK",$G$34:$G$42,"&lt;&gt;")</f>
        <v>0</v>
      </c>
      <c r="F55" s="8">
        <f>COUNTIF($F$48:$F$50,"&lt;&gt;")</f>
        <v>3</v>
      </c>
    </row>
    <row r="56" spans="1:6" x14ac:dyDescent="0.25">
      <c r="A56" s="9">
        <v>168</v>
      </c>
      <c r="B56" s="10" t="str">
        <f>IF(C56=0,"OK","Needs review")</f>
        <v>Needs review</v>
      </c>
      <c r="C56" s="8">
        <f>IF(INDEX($E$28:$E$30,MATCH(A56,$A$28:$A$30,0))="FLAG",1,0)+COUNTIFS($A$34:$A$42,A56,$G$34:$G$42,"&lt;&gt;OK",$G$34:$G$42,"&lt;&gt;")+COUNTIF($F$48:$F$50,"&lt;&gt;")</f>
        <v>4</v>
      </c>
      <c r="D56" s="8">
        <f>IF(INDEX($E$28:$E$30,MATCH(A56,$A$28:$A$30,0))="FLAG",1,0)</f>
        <v>1</v>
      </c>
      <c r="E56" s="8">
        <f>COUNTIFS($A$34:$A$42,A56,$G$34:$G$42,"&lt;&gt;OK",$G$34:$G$42,"&lt;&gt;")</f>
        <v>0</v>
      </c>
      <c r="F56" s="8">
        <f>COUNTIF($F$48:$F$50,"&lt;&gt;")</f>
        <v>3</v>
      </c>
    </row>
  </sheetData>
  <mergeCells count="6">
    <mergeCell ref="A1:H1"/>
    <mergeCell ref="A52:F52"/>
    <mergeCell ref="A24:H24"/>
    <mergeCell ref="A44:H44"/>
    <mergeCell ref="A45:H45"/>
    <mergeCell ref="A17:H17"/>
  </mergeCells>
  <conditionalFormatting sqref="B54:B56">
    <cfRule type="expression" dxfId="13" priority="65">
      <formula>B54="OK"</formula>
    </cfRule>
    <cfRule type="expression" dxfId="12" priority="66">
      <formula>B54="Needs review"</formula>
    </cfRule>
  </conditionalFormatting>
  <conditionalFormatting sqref="B48:D50">
    <cfRule type="cellIs" dxfId="11" priority="34" operator="greaterThan">
      <formula>0.65</formula>
    </cfRule>
    <cfRule type="cellIs" dxfId="10" priority="35" operator="between">
      <formula>0.55</formula>
      <formula>0.65</formula>
    </cfRule>
    <cfRule type="cellIs" dxfId="9" priority="36" operator="between">
      <formula>0.25</formula>
      <formula>0.55</formula>
    </cfRule>
  </conditionalFormatting>
  <conditionalFormatting sqref="C28:C30">
    <cfRule type="cellIs" dxfId="8" priority="1" operator="greaterThan">
      <formula>$D28</formula>
    </cfRule>
  </conditionalFormatting>
  <conditionalFormatting sqref="C34:C42">
    <cfRule type="cellIs" dxfId="7" priority="7" operator="greaterThan">
      <formula>0.8</formula>
    </cfRule>
    <cfRule type="cellIs" dxfId="6" priority="8" operator="lessThan">
      <formula>0.15</formula>
    </cfRule>
    <cfRule type="cellIs" dxfId="5" priority="9" operator="between">
      <formula>0.3</formula>
      <formula>0.6</formula>
    </cfRule>
  </conditionalFormatting>
  <conditionalFormatting sqref="E28:E30">
    <cfRule type="expression" dxfId="4" priority="2">
      <formula>$E28="FLAG"</formula>
    </cfRule>
  </conditionalFormatting>
  <conditionalFormatting sqref="E48:E50">
    <cfRule type="cellIs" dxfId="3" priority="43" operator="greaterThan">
      <formula>0.5</formula>
    </cfRule>
  </conditionalFormatting>
  <conditionalFormatting sqref="E50">
    <cfRule type="cellIs" dxfId="2" priority="64" operator="lessThan">
      <formula>0.15</formula>
    </cfRule>
  </conditionalFormatting>
  <conditionalFormatting sqref="G34:G42">
    <cfRule type="expression" dxfId="1" priority="67">
      <formula>G34="Too high"</formula>
    </cfRule>
    <cfRule type="expression" dxfId="0" priority="68">
      <formula>G34="Too low"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Assumptions</vt:lpstr>
      <vt:lpstr>Archetypes</vt:lpstr>
      <vt:lpstr>Simulation_48h</vt:lpstr>
      <vt:lpstr>Simulation_7d_6h</vt:lpstr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Grayson Gammill</dc:creator>
  <cp:lastModifiedBy>Grayson Gammill</cp:lastModifiedBy>
  <dcterms:created xsi:type="dcterms:W3CDTF">2025-12-22T03:24:49Z</dcterms:created>
  <dcterms:modified xsi:type="dcterms:W3CDTF">2025-12-23T03:36:39Z</dcterms:modified>
</cp:coreProperties>
</file>