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dg34\OneDrive\Documents\Dungeon Builder\003. MVP System Specs\"/>
    </mc:Choice>
  </mc:AlternateContent>
  <xr:revisionPtr revIDLastSave="0" documentId="13_ncr:20001_{D7EAB556-D07F-40B0-96D1-8599DAA9CE89}" xr6:coauthVersionLast="47" xr6:coauthVersionMax="47" xr10:uidLastSave="{00000000-0000-0000-0000-000000000000}"/>
  <bookViews>
    <workbookView xWindow="-14505" yWindow="0" windowWidth="14610" windowHeight="15585" firstSheet="2" activeTab="5" xr2:uid="{00000000-000D-0000-FFFF-FFFF00000000}"/>
  </bookViews>
  <sheets>
    <sheet name="ReadMe" sheetId="1" r:id="rId1"/>
    <sheet name="Assumptions" sheetId="2" r:id="rId2"/>
    <sheet name="Archetypes" sheetId="3" r:id="rId3"/>
    <sheet name="Simulation_48h" sheetId="4" r:id="rId4"/>
    <sheet name="Simulation_7d_6h" sheetId="5" r:id="rId5"/>
    <sheet name="KPI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5" l="1"/>
  <c r="D32" i="5" s="1"/>
  <c r="B32" i="5"/>
  <c r="C31" i="5"/>
  <c r="D31" i="5" s="1"/>
  <c r="B31" i="5"/>
  <c r="C30" i="5"/>
  <c r="D30" i="5" s="1"/>
  <c r="B30" i="5"/>
  <c r="C29" i="5"/>
  <c r="D29" i="5" s="1"/>
  <c r="B29" i="5"/>
  <c r="C28" i="5"/>
  <c r="D28" i="5" s="1"/>
  <c r="B28" i="5"/>
  <c r="C27" i="5"/>
  <c r="D27" i="5" s="1"/>
  <c r="B27" i="5"/>
  <c r="C26" i="5"/>
  <c r="D26" i="5" s="1"/>
  <c r="B26" i="5"/>
  <c r="C25" i="5"/>
  <c r="D25" i="5" s="1"/>
  <c r="B25" i="5"/>
  <c r="C24" i="5"/>
  <c r="D24" i="5" s="1"/>
  <c r="B24" i="5"/>
  <c r="C23" i="5"/>
  <c r="D23" i="5" s="1"/>
  <c r="B23" i="5"/>
  <c r="C22" i="5"/>
  <c r="D22" i="5" s="1"/>
  <c r="B22" i="5"/>
  <c r="C21" i="5"/>
  <c r="D21" i="5" s="1"/>
  <c r="B21" i="5"/>
  <c r="C20" i="5"/>
  <c r="D20" i="5" s="1"/>
  <c r="B20" i="5"/>
  <c r="C19" i="5"/>
  <c r="D19" i="5" s="1"/>
  <c r="B19" i="5"/>
  <c r="C18" i="5"/>
  <c r="D18" i="5" s="1"/>
  <c r="B18" i="5"/>
  <c r="C17" i="5"/>
  <c r="D17" i="5" s="1"/>
  <c r="B17" i="5"/>
  <c r="C16" i="5"/>
  <c r="D16" i="5" s="1"/>
  <c r="B16" i="5"/>
  <c r="AJ15" i="5"/>
  <c r="W15" i="5"/>
  <c r="C15" i="5"/>
  <c r="D15" i="5" s="1"/>
  <c r="B15" i="5"/>
  <c r="J14" i="5"/>
  <c r="D14" i="5"/>
  <c r="C14" i="5"/>
  <c r="B14" i="5"/>
  <c r="W13" i="5"/>
  <c r="J13" i="5"/>
  <c r="C13" i="5"/>
  <c r="D13" i="5" s="1"/>
  <c r="B13" i="5"/>
  <c r="C12" i="5"/>
  <c r="D12" i="5" s="1"/>
  <c r="B12" i="5"/>
  <c r="J11" i="5"/>
  <c r="C11" i="5"/>
  <c r="D11" i="5" s="1"/>
  <c r="B11" i="5"/>
  <c r="AJ10" i="5"/>
  <c r="W10" i="5"/>
  <c r="D10" i="5"/>
  <c r="C10" i="5"/>
  <c r="B10" i="5"/>
  <c r="D9" i="5"/>
  <c r="C9" i="5"/>
  <c r="B9" i="5"/>
  <c r="D8" i="5"/>
  <c r="C8" i="5"/>
  <c r="B8" i="5"/>
  <c r="AJ7" i="5"/>
  <c r="C7" i="5"/>
  <c r="D7" i="5" s="1"/>
  <c r="B7" i="5"/>
  <c r="D6" i="5"/>
  <c r="C6" i="5"/>
  <c r="B6" i="5"/>
  <c r="D5" i="5"/>
  <c r="C5" i="5"/>
  <c r="B5" i="5"/>
  <c r="AI4" i="5"/>
  <c r="AF4" i="5"/>
  <c r="V4" i="5"/>
  <c r="S4" i="5"/>
  <c r="I4" i="5"/>
  <c r="F4" i="5"/>
  <c r="C4" i="5"/>
  <c r="D4" i="5" s="1"/>
  <c r="B4" i="5"/>
  <c r="AJ51" i="4"/>
  <c r="J51" i="4"/>
  <c r="C51" i="4"/>
  <c r="D51" i="4" s="1"/>
  <c r="B51" i="4"/>
  <c r="W50" i="4"/>
  <c r="J50" i="4"/>
  <c r="D50" i="4"/>
  <c r="C50" i="4"/>
  <c r="B50" i="4"/>
  <c r="C49" i="4"/>
  <c r="D49" i="4" s="1"/>
  <c r="B49" i="4"/>
  <c r="C48" i="4"/>
  <c r="D48" i="4" s="1"/>
  <c r="B48" i="4"/>
  <c r="AJ47" i="4"/>
  <c r="W47" i="4"/>
  <c r="J47" i="4"/>
  <c r="C47" i="4"/>
  <c r="D47" i="4" s="1"/>
  <c r="B47" i="4"/>
  <c r="AJ46" i="4"/>
  <c r="D46" i="4"/>
  <c r="C46" i="4"/>
  <c r="B46" i="4"/>
  <c r="AJ45" i="4"/>
  <c r="W45" i="4"/>
  <c r="C45" i="4"/>
  <c r="D45" i="4" s="1"/>
  <c r="B45" i="4"/>
  <c r="W44" i="4"/>
  <c r="C44" i="4"/>
  <c r="D44" i="4" s="1"/>
  <c r="B44" i="4"/>
  <c r="W43" i="4"/>
  <c r="J43" i="4"/>
  <c r="C43" i="4"/>
  <c r="D43" i="4" s="1"/>
  <c r="B43" i="4"/>
  <c r="AJ42" i="4"/>
  <c r="D42" i="4"/>
  <c r="C42" i="4"/>
  <c r="B42" i="4"/>
  <c r="D41" i="4"/>
  <c r="C41" i="4"/>
  <c r="B41" i="4"/>
  <c r="C40" i="4"/>
  <c r="D40" i="4" s="1"/>
  <c r="B40" i="4"/>
  <c r="J39" i="4"/>
  <c r="C39" i="4"/>
  <c r="D39" i="4" s="1"/>
  <c r="B39" i="4"/>
  <c r="AJ38" i="4"/>
  <c r="W38" i="4"/>
  <c r="D38" i="4"/>
  <c r="C38" i="4"/>
  <c r="B38" i="4"/>
  <c r="J37" i="4"/>
  <c r="C37" i="4"/>
  <c r="D37" i="4" s="1"/>
  <c r="B37" i="4"/>
  <c r="W36" i="4"/>
  <c r="C36" i="4"/>
  <c r="D36" i="4" s="1"/>
  <c r="B36" i="4"/>
  <c r="AJ35" i="4"/>
  <c r="W35" i="4"/>
  <c r="C35" i="4"/>
  <c r="D35" i="4" s="1"/>
  <c r="B35" i="4"/>
  <c r="W34" i="4"/>
  <c r="C34" i="4"/>
  <c r="D34" i="4" s="1"/>
  <c r="B34" i="4"/>
  <c r="W33" i="4"/>
  <c r="C33" i="4"/>
  <c r="D33" i="4" s="1"/>
  <c r="B33" i="4"/>
  <c r="W32" i="4"/>
  <c r="C32" i="4"/>
  <c r="D32" i="4" s="1"/>
  <c r="B32" i="4"/>
  <c r="AJ31" i="4"/>
  <c r="W31" i="4"/>
  <c r="J31" i="4"/>
  <c r="D31" i="4"/>
  <c r="C31" i="4"/>
  <c r="B31" i="4"/>
  <c r="C30" i="4"/>
  <c r="D30" i="4" s="1"/>
  <c r="B30" i="4"/>
  <c r="J29" i="4"/>
  <c r="C29" i="4"/>
  <c r="D29" i="4" s="1"/>
  <c r="B29" i="4"/>
  <c r="W28" i="4"/>
  <c r="J28" i="4"/>
  <c r="D28" i="4"/>
  <c r="C28" i="4"/>
  <c r="B28" i="4"/>
  <c r="J27" i="4"/>
  <c r="C27" i="4"/>
  <c r="D27" i="4" s="1"/>
  <c r="B27" i="4"/>
  <c r="J26" i="4"/>
  <c r="D26" i="4"/>
  <c r="C26" i="4"/>
  <c r="B26" i="4"/>
  <c r="AJ25" i="4"/>
  <c r="J25" i="4"/>
  <c r="C25" i="4"/>
  <c r="D25" i="4" s="1"/>
  <c r="B25" i="4"/>
  <c r="AJ24" i="4"/>
  <c r="J24" i="4"/>
  <c r="D24" i="4"/>
  <c r="C24" i="4"/>
  <c r="B24" i="4"/>
  <c r="AJ23" i="4"/>
  <c r="J23" i="4"/>
  <c r="C23" i="4"/>
  <c r="D23" i="4" s="1"/>
  <c r="B23" i="4"/>
  <c r="D22" i="4"/>
  <c r="C22" i="4"/>
  <c r="B22" i="4"/>
  <c r="W21" i="4"/>
  <c r="J21" i="4"/>
  <c r="D21" i="4"/>
  <c r="C21" i="4"/>
  <c r="B21" i="4"/>
  <c r="W20" i="4"/>
  <c r="J20" i="4"/>
  <c r="C20" i="4"/>
  <c r="D20" i="4" s="1"/>
  <c r="B20" i="4"/>
  <c r="C19" i="4"/>
  <c r="D19" i="4" s="1"/>
  <c r="B19" i="4"/>
  <c r="W18" i="4"/>
  <c r="J18" i="4"/>
  <c r="C18" i="4"/>
  <c r="D18" i="4" s="1"/>
  <c r="B18" i="4"/>
  <c r="W17" i="4"/>
  <c r="J17" i="4"/>
  <c r="D17" i="4"/>
  <c r="C17" i="4"/>
  <c r="B17" i="4"/>
  <c r="J16" i="4"/>
  <c r="C16" i="4"/>
  <c r="D16" i="4" s="1"/>
  <c r="B16" i="4"/>
  <c r="W15" i="4"/>
  <c r="J15" i="4"/>
  <c r="C15" i="4"/>
  <c r="D15" i="4" s="1"/>
  <c r="B15" i="4"/>
  <c r="AJ14" i="4"/>
  <c r="W14" i="4"/>
  <c r="J14" i="4"/>
  <c r="D14" i="4"/>
  <c r="C14" i="4"/>
  <c r="B14" i="4"/>
  <c r="AJ13" i="4"/>
  <c r="W13" i="4"/>
  <c r="J13" i="4"/>
  <c r="C13" i="4"/>
  <c r="D13" i="4" s="1"/>
  <c r="B13" i="4"/>
  <c r="W12" i="4"/>
  <c r="C12" i="4"/>
  <c r="D12" i="4" s="1"/>
  <c r="B12" i="4"/>
  <c r="W11" i="4"/>
  <c r="J11" i="4"/>
  <c r="D11" i="4"/>
  <c r="C11" i="4"/>
  <c r="B11" i="4"/>
  <c r="W10" i="4"/>
  <c r="J10" i="4"/>
  <c r="C10" i="4"/>
  <c r="D10" i="4" s="1"/>
  <c r="B10" i="4"/>
  <c r="W9" i="4"/>
  <c r="J9" i="4"/>
  <c r="D9" i="4"/>
  <c r="C9" i="4"/>
  <c r="B9" i="4"/>
  <c r="AJ8" i="4"/>
  <c r="W8" i="4"/>
  <c r="J8" i="4"/>
  <c r="C8" i="4"/>
  <c r="D8" i="4" s="1"/>
  <c r="B8" i="4"/>
  <c r="AJ7" i="4"/>
  <c r="C7" i="4"/>
  <c r="D7" i="4" s="1"/>
  <c r="B7" i="4"/>
  <c r="W6" i="4"/>
  <c r="C6" i="4"/>
  <c r="D6" i="4" s="1"/>
  <c r="B6" i="4"/>
  <c r="AJ5" i="4"/>
  <c r="W5" i="4"/>
  <c r="J5" i="4"/>
  <c r="C5" i="4"/>
  <c r="D5" i="4" s="1"/>
  <c r="B5" i="4"/>
  <c r="AJ4" i="4"/>
  <c r="AI4" i="4"/>
  <c r="AF4" i="4"/>
  <c r="W4" i="4"/>
  <c r="S4" i="4"/>
  <c r="U4" i="4" s="1"/>
  <c r="J4" i="4"/>
  <c r="H4" i="4"/>
  <c r="F4" i="4"/>
  <c r="C4" i="4"/>
  <c r="D4" i="4" s="1"/>
  <c r="B4" i="4"/>
  <c r="C33" i="3"/>
  <c r="AC39" i="4" s="1"/>
  <c r="B33" i="3"/>
  <c r="P22" i="4" s="1"/>
  <c r="D32" i="3"/>
  <c r="D33" i="3" s="1"/>
  <c r="C32" i="3"/>
  <c r="B32" i="3"/>
  <c r="D31" i="3"/>
  <c r="C31" i="3"/>
  <c r="B31" i="3"/>
  <c r="D30" i="3"/>
  <c r="AJ50" i="4" s="1"/>
  <c r="C30" i="3"/>
  <c r="W7" i="4" s="1"/>
  <c r="B30" i="3"/>
  <c r="J7" i="5" s="1"/>
  <c r="AP26" i="5" l="1"/>
  <c r="AP6" i="5"/>
  <c r="AP27" i="5"/>
  <c r="AP7" i="5"/>
  <c r="AP30" i="5"/>
  <c r="AP31" i="5"/>
  <c r="AP32" i="5"/>
  <c r="E14" i="6" s="1"/>
  <c r="AP18" i="5"/>
  <c r="AP46" i="4"/>
  <c r="AP19" i="5"/>
  <c r="AP22" i="5"/>
  <c r="AP50" i="4"/>
  <c r="AP22" i="4"/>
  <c r="AP23" i="5"/>
  <c r="AP10" i="5"/>
  <c r="AP15" i="5"/>
  <c r="AP12" i="5"/>
  <c r="AP8" i="5"/>
  <c r="AP24" i="4"/>
  <c r="AP51" i="4"/>
  <c r="AP25" i="4"/>
  <c r="AP24" i="5"/>
  <c r="AP21" i="5"/>
  <c r="AP4" i="5"/>
  <c r="AP47" i="4"/>
  <c r="AP29" i="5"/>
  <c r="AP13" i="5"/>
  <c r="AP11" i="5"/>
  <c r="AP5" i="5"/>
  <c r="AP21" i="4"/>
  <c r="AP15" i="4"/>
  <c r="AP39" i="4"/>
  <c r="AP36" i="4"/>
  <c r="AP31" i="4"/>
  <c r="AP28" i="4"/>
  <c r="E6" i="6" s="1"/>
  <c r="AP34" i="4"/>
  <c r="AP16" i="5"/>
  <c r="E10" i="6" s="1"/>
  <c r="AP25" i="5"/>
  <c r="AP9" i="4"/>
  <c r="AP40" i="4"/>
  <c r="AP17" i="4"/>
  <c r="AP12" i="4"/>
  <c r="AP42" i="4"/>
  <c r="AP38" i="4"/>
  <c r="AP41" i="4"/>
  <c r="AP26" i="4"/>
  <c r="AP45" i="4"/>
  <c r="AP44" i="4"/>
  <c r="AP43" i="4"/>
  <c r="AP49" i="4"/>
  <c r="AP37" i="4"/>
  <c r="AP33" i="4"/>
  <c r="AP28" i="5"/>
  <c r="AP16" i="4"/>
  <c r="AP9" i="5"/>
  <c r="AP35" i="4"/>
  <c r="AP32" i="4"/>
  <c r="AP29" i="4"/>
  <c r="AP6" i="4"/>
  <c r="AP4" i="4"/>
  <c r="AP14" i="4"/>
  <c r="AP19" i="4"/>
  <c r="AP18" i="4"/>
  <c r="AP23" i="4"/>
  <c r="AP27" i="4"/>
  <c r="AP20" i="4"/>
  <c r="AP5" i="4"/>
  <c r="AP11" i="4"/>
  <c r="AP8" i="4"/>
  <c r="AP48" i="4"/>
  <c r="AP30" i="4"/>
  <c r="AP14" i="5"/>
  <c r="AP17" i="5"/>
  <c r="AP7" i="4"/>
  <c r="AP10" i="4"/>
  <c r="AP13" i="4"/>
  <c r="AP20" i="5"/>
  <c r="P48" i="4"/>
  <c r="AC51" i="4"/>
  <c r="P17" i="4"/>
  <c r="AC14" i="5"/>
  <c r="AC42" i="4"/>
  <c r="AC15" i="5"/>
  <c r="AC43" i="4"/>
  <c r="AC18" i="5"/>
  <c r="AC19" i="5"/>
  <c r="AC20" i="5"/>
  <c r="AC21" i="5"/>
  <c r="AC22" i="5"/>
  <c r="AC23" i="5"/>
  <c r="AC24" i="5"/>
  <c r="AC25" i="5"/>
  <c r="AC26" i="5"/>
  <c r="AC6" i="5"/>
  <c r="AC27" i="5"/>
  <c r="AC28" i="5"/>
  <c r="AC29" i="5"/>
  <c r="AC30" i="5"/>
  <c r="AC10" i="5"/>
  <c r="AC38" i="4"/>
  <c r="AC31" i="5"/>
  <c r="AC32" i="5"/>
  <c r="E13" i="6" s="1"/>
  <c r="AC11" i="5"/>
  <c r="AC4" i="5"/>
  <c r="AC30" i="4"/>
  <c r="AC45" i="4"/>
  <c r="AC9" i="5"/>
  <c r="AC32" i="4"/>
  <c r="AC13" i="5"/>
  <c r="AC33" i="4"/>
  <c r="AC46" i="4"/>
  <c r="AC17" i="4"/>
  <c r="AC26" i="4"/>
  <c r="AC20" i="4"/>
  <c r="AC12" i="5"/>
  <c r="AC5" i="5"/>
  <c r="AC49" i="4"/>
  <c r="AC44" i="4"/>
  <c r="AC18" i="4"/>
  <c r="AC16" i="5"/>
  <c r="E9" i="6" s="1"/>
  <c r="AC34" i="4"/>
  <c r="AC5" i="4"/>
  <c r="AC41" i="4"/>
  <c r="AC31" i="4"/>
  <c r="AC22" i="4"/>
  <c r="AC17" i="5"/>
  <c r="AC50" i="4"/>
  <c r="AC48" i="4"/>
  <c r="AC12" i="4"/>
  <c r="AC47" i="4"/>
  <c r="AC13" i="4"/>
  <c r="AC10" i="4"/>
  <c r="AC7" i="4"/>
  <c r="AC7" i="5"/>
  <c r="AC14" i="4"/>
  <c r="AC8" i="5"/>
  <c r="AC37" i="4"/>
  <c r="AC40" i="4"/>
  <c r="AC16" i="4"/>
  <c r="AC15" i="4"/>
  <c r="AC9" i="4"/>
  <c r="AC6" i="4"/>
  <c r="AC27" i="4"/>
  <c r="AC21" i="4"/>
  <c r="AC19" i="4"/>
  <c r="AC28" i="4"/>
  <c r="E5" i="6" s="1"/>
  <c r="AC25" i="4"/>
  <c r="AC24" i="4"/>
  <c r="AC4" i="4"/>
  <c r="AC23" i="4"/>
  <c r="P43" i="4"/>
  <c r="T4" i="4"/>
  <c r="S5" i="4" s="1"/>
  <c r="P22" i="5"/>
  <c r="P50" i="4"/>
  <c r="P23" i="5"/>
  <c r="P51" i="4"/>
  <c r="P26" i="5"/>
  <c r="P27" i="5"/>
  <c r="P28" i="5"/>
  <c r="P29" i="5"/>
  <c r="P30" i="5"/>
  <c r="P31" i="5"/>
  <c r="P32" i="5"/>
  <c r="E12" i="6" s="1"/>
  <c r="P14" i="5"/>
  <c r="P42" i="4"/>
  <c r="P15" i="5"/>
  <c r="P18" i="5"/>
  <c r="P46" i="4"/>
  <c r="P21" i="5"/>
  <c r="P10" i="5"/>
  <c r="P18" i="4"/>
  <c r="P12" i="5"/>
  <c r="P8" i="5"/>
  <c r="P20" i="4"/>
  <c r="P44" i="4"/>
  <c r="P21" i="4"/>
  <c r="P17" i="5"/>
  <c r="P11" i="5"/>
  <c r="P47" i="4"/>
  <c r="P11" i="4"/>
  <c r="P38" i="4"/>
  <c r="P12" i="4"/>
  <c r="P31" i="4"/>
  <c r="P28" i="4"/>
  <c r="E4" i="6" s="1"/>
  <c r="P13" i="4"/>
  <c r="P25" i="5"/>
  <c r="P15" i="4"/>
  <c r="P6" i="4"/>
  <c r="P26" i="4"/>
  <c r="P24" i="4"/>
  <c r="P19" i="4"/>
  <c r="P9" i="4"/>
  <c r="P9" i="5"/>
  <c r="P33" i="4"/>
  <c r="P20" i="5"/>
  <c r="P16" i="5"/>
  <c r="E8" i="6" s="1"/>
  <c r="P32" i="4"/>
  <c r="P25" i="4"/>
  <c r="P24" i="5"/>
  <c r="P19" i="5"/>
  <c r="P13" i="5"/>
  <c r="P6" i="5"/>
  <c r="P5" i="5"/>
  <c r="P49" i="4"/>
  <c r="P39" i="4"/>
  <c r="P30" i="4"/>
  <c r="P4" i="4"/>
  <c r="P36" i="4"/>
  <c r="P8" i="4"/>
  <c r="P40" i="4"/>
  <c r="P37" i="4"/>
  <c r="P4" i="5"/>
  <c r="P45" i="4"/>
  <c r="P5" i="4"/>
  <c r="P10" i="4"/>
  <c r="P7" i="4"/>
  <c r="P16" i="4"/>
  <c r="P29" i="4"/>
  <c r="P27" i="4"/>
  <c r="P34" i="4"/>
  <c r="V4" i="4"/>
  <c r="AC8" i="4"/>
  <c r="AC29" i="4"/>
  <c r="P7" i="5"/>
  <c r="AC11" i="4"/>
  <c r="AA4" i="4"/>
  <c r="P23" i="4"/>
  <c r="AC36" i="4"/>
  <c r="P14" i="4"/>
  <c r="P35" i="4"/>
  <c r="AC35" i="4"/>
  <c r="P41" i="4"/>
  <c r="M4" i="5"/>
  <c r="G4" i="4"/>
  <c r="F5" i="4" s="1"/>
  <c r="AH4" i="4"/>
  <c r="AG4" i="4"/>
  <c r="AF5" i="4" s="1"/>
  <c r="I4" i="4"/>
  <c r="Z4" i="5"/>
  <c r="X4" i="5"/>
  <c r="Y4" i="5" s="1"/>
  <c r="AM4" i="4"/>
  <c r="AK4" i="4"/>
  <c r="AL4" i="4" s="1"/>
  <c r="N4" i="4"/>
  <c r="O4" i="4" s="1"/>
  <c r="AN4" i="4"/>
  <c r="AO4" i="4" s="1"/>
  <c r="AJ20" i="5"/>
  <c r="AJ48" i="4"/>
  <c r="AJ21" i="5"/>
  <c r="AJ49" i="4"/>
  <c r="AJ24" i="5"/>
  <c r="AJ25" i="5"/>
  <c r="AJ26" i="5"/>
  <c r="AJ27" i="5"/>
  <c r="AJ28" i="5"/>
  <c r="AJ29" i="5"/>
  <c r="AJ30" i="5"/>
  <c r="AJ31" i="5"/>
  <c r="AJ32" i="5"/>
  <c r="AJ12" i="5"/>
  <c r="AJ40" i="4"/>
  <c r="AJ13" i="5"/>
  <c r="AJ16" i="5"/>
  <c r="AJ44" i="4"/>
  <c r="AJ43" i="4"/>
  <c r="AJ16" i="4"/>
  <c r="AJ17" i="5"/>
  <c r="AJ18" i="5"/>
  <c r="AJ5" i="5"/>
  <c r="AJ41" i="4"/>
  <c r="AJ36" i="4"/>
  <c r="AJ18" i="4"/>
  <c r="AJ19" i="4"/>
  <c r="AJ23" i="5"/>
  <c r="AJ6" i="5"/>
  <c r="AJ30" i="4"/>
  <c r="AJ9" i="4"/>
  <c r="AJ33" i="4"/>
  <c r="AJ10" i="4"/>
  <c r="AJ14" i="5"/>
  <c r="AJ27" i="4"/>
  <c r="AJ11" i="4"/>
  <c r="AJ11" i="5"/>
  <c r="AJ4" i="5"/>
  <c r="AN4" i="5" s="1"/>
  <c r="AO4" i="5" s="1"/>
  <c r="AJ20" i="4"/>
  <c r="AJ29" i="4"/>
  <c r="AJ34" i="4"/>
  <c r="AJ22" i="5"/>
  <c r="AJ39" i="4"/>
  <c r="AJ22" i="4"/>
  <c r="AJ15" i="4"/>
  <c r="AJ6" i="4"/>
  <c r="AJ28" i="4"/>
  <c r="AJ26" i="4"/>
  <c r="AJ21" i="4"/>
  <c r="AJ37" i="4"/>
  <c r="AJ9" i="5"/>
  <c r="AJ12" i="4"/>
  <c r="AJ17" i="4"/>
  <c r="AM4" i="5"/>
  <c r="AK4" i="5"/>
  <c r="AL4" i="5" s="1"/>
  <c r="AJ19" i="5"/>
  <c r="AJ32" i="4"/>
  <c r="AJ8" i="5"/>
  <c r="J19" i="5"/>
  <c r="W17" i="5"/>
  <c r="W39" i="4"/>
  <c r="W19" i="5"/>
  <c r="J12" i="4"/>
  <c r="J19" i="4"/>
  <c r="W23" i="4"/>
  <c r="W12" i="5"/>
  <c r="W16" i="5"/>
  <c r="J16" i="5"/>
  <c r="J44" i="4"/>
  <c r="J17" i="5"/>
  <c r="J45" i="4"/>
  <c r="J20" i="5"/>
  <c r="J21" i="5"/>
  <c r="J22" i="5"/>
  <c r="J23" i="5"/>
  <c r="J24" i="5"/>
  <c r="J25" i="5"/>
  <c r="J26" i="5"/>
  <c r="J27" i="5"/>
  <c r="J28" i="5"/>
  <c r="J8" i="5"/>
  <c r="J29" i="5"/>
  <c r="J9" i="5"/>
  <c r="J30" i="5"/>
  <c r="J31" i="5"/>
  <c r="J32" i="5"/>
  <c r="J12" i="5"/>
  <c r="J40" i="4"/>
  <c r="J32" i="4"/>
  <c r="J15" i="5"/>
  <c r="J41" i="4"/>
  <c r="J5" i="5"/>
  <c r="J48" i="4"/>
  <c r="J34" i="4"/>
  <c r="J35" i="4"/>
  <c r="J10" i="5"/>
  <c r="J6" i="5"/>
  <c r="J49" i="4"/>
  <c r="J42" i="4"/>
  <c r="J36" i="4"/>
  <c r="J33" i="4"/>
  <c r="J30" i="4"/>
  <c r="J6" i="4"/>
  <c r="J4" i="5"/>
  <c r="K4" i="5" s="1"/>
  <c r="L4" i="5" s="1"/>
  <c r="J7" i="4"/>
  <c r="J18" i="5"/>
  <c r="J46" i="4"/>
  <c r="J38" i="4"/>
  <c r="J22" i="4"/>
  <c r="W28" i="5"/>
  <c r="W8" i="5"/>
  <c r="W29" i="5"/>
  <c r="W9" i="5"/>
  <c r="W37" i="4"/>
  <c r="W32" i="5"/>
  <c r="W20" i="5"/>
  <c r="W48" i="4"/>
  <c r="W21" i="5"/>
  <c r="W24" i="5"/>
  <c r="W4" i="5"/>
  <c r="W22" i="5"/>
  <c r="W6" i="5"/>
  <c r="W42" i="4"/>
  <c r="W24" i="4"/>
  <c r="W49" i="4"/>
  <c r="W31" i="5"/>
  <c r="W25" i="5"/>
  <c r="W40" i="4"/>
  <c r="W26" i="4"/>
  <c r="W27" i="4"/>
  <c r="W27" i="5"/>
  <c r="W11" i="5"/>
  <c r="W30" i="5"/>
  <c r="W18" i="5"/>
  <c r="W16" i="4"/>
  <c r="W26" i="5"/>
  <c r="W7" i="5"/>
  <c r="W41" i="4"/>
  <c r="W25" i="4"/>
  <c r="W19" i="4"/>
  <c r="W23" i="5"/>
  <c r="W51" i="4"/>
  <c r="W46" i="4"/>
  <c r="W29" i="4"/>
  <c r="W22" i="4"/>
  <c r="W14" i="5"/>
  <c r="W5" i="5"/>
  <c r="W30" i="4"/>
  <c r="AQ4" i="5" l="1"/>
  <c r="H5" i="4"/>
  <c r="N5" i="4"/>
  <c r="O5" i="4" s="1"/>
  <c r="G5" i="4"/>
  <c r="F6" i="4" s="1"/>
  <c r="I5" i="4"/>
  <c r="E21" i="6"/>
  <c r="U4" i="5"/>
  <c r="T4" i="5" s="1"/>
  <c r="U5" i="4"/>
  <c r="T5" i="4" s="1"/>
  <c r="S6" i="4" s="1"/>
  <c r="V5" i="4"/>
  <c r="AA5" i="4"/>
  <c r="E20" i="6"/>
  <c r="H4" i="5"/>
  <c r="G4" i="5" s="1"/>
  <c r="N4" i="5"/>
  <c r="O4" i="5" s="1"/>
  <c r="AA4" i="5"/>
  <c r="AB4" i="5" s="1"/>
  <c r="AO5" i="4"/>
  <c r="AQ4" i="4"/>
  <c r="Q4" i="4"/>
  <c r="AB4" i="4"/>
  <c r="E22" i="6"/>
  <c r="AH4" i="5"/>
  <c r="AG4" i="5" s="1"/>
  <c r="K4" i="4"/>
  <c r="L4" i="4" s="1"/>
  <c r="M4" i="4"/>
  <c r="X4" i="4"/>
  <c r="Z4" i="4"/>
  <c r="Y4" i="4"/>
  <c r="AI5" i="4"/>
  <c r="AH5" i="4"/>
  <c r="AG5" i="4" s="1"/>
  <c r="AF6" i="4" s="1"/>
  <c r="AN5" i="4"/>
  <c r="Q5" i="4" l="1"/>
  <c r="AA6" i="4"/>
  <c r="V6" i="4"/>
  <c r="U6" i="4"/>
  <c r="T6" i="4" s="1"/>
  <c r="S7" i="4" s="1"/>
  <c r="AN6" i="4"/>
  <c r="AO6" i="4" s="1"/>
  <c r="AH6" i="4"/>
  <c r="AG6" i="4" s="1"/>
  <c r="AF7" i="4" s="1"/>
  <c r="AI6" i="4"/>
  <c r="S5" i="5"/>
  <c r="Q4" i="5"/>
  <c r="AM5" i="4"/>
  <c r="AK5" i="4"/>
  <c r="AL5" i="4" s="1"/>
  <c r="F5" i="5"/>
  <c r="AF5" i="5"/>
  <c r="AQ5" i="4"/>
  <c r="X5" i="4"/>
  <c r="Y5" i="4" s="1"/>
  <c r="Z5" i="4"/>
  <c r="I6" i="4"/>
  <c r="H6" i="4"/>
  <c r="G6" i="4" s="1"/>
  <c r="F7" i="4" s="1"/>
  <c r="N6" i="4"/>
  <c r="O6" i="4" s="1"/>
  <c r="AD4" i="5"/>
  <c r="M5" i="4"/>
  <c r="K5" i="4"/>
  <c r="L5" i="4" s="1"/>
  <c r="AD4" i="4"/>
  <c r="AB5" i="4"/>
  <c r="AH7" i="4" l="1"/>
  <c r="AG7" i="4" s="1"/>
  <c r="AF8" i="4" s="1"/>
  <c r="AN7" i="4"/>
  <c r="AI7" i="4"/>
  <c r="Q6" i="4"/>
  <c r="AA7" i="4"/>
  <c r="V7" i="4"/>
  <c r="U7" i="4"/>
  <c r="T7" i="4" s="1"/>
  <c r="S8" i="4" s="1"/>
  <c r="N7" i="4"/>
  <c r="O7" i="4" s="1"/>
  <c r="H7" i="4"/>
  <c r="G7" i="4" s="1"/>
  <c r="F8" i="4" s="1"/>
  <c r="I7" i="4"/>
  <c r="AQ6" i="4"/>
  <c r="AO7" i="4"/>
  <c r="Z6" i="4"/>
  <c r="X6" i="4"/>
  <c r="Y6" i="4" s="1"/>
  <c r="AN5" i="5"/>
  <c r="AO5" i="5" s="1"/>
  <c r="AI5" i="5"/>
  <c r="AH5" i="5"/>
  <c r="AG5" i="5"/>
  <c r="AB6" i="4"/>
  <c r="AD5" i="4"/>
  <c r="I5" i="5"/>
  <c r="N5" i="5"/>
  <c r="O5" i="5" s="1"/>
  <c r="H5" i="5"/>
  <c r="G5" i="5" s="1"/>
  <c r="K6" i="4"/>
  <c r="L6" i="4"/>
  <c r="M6" i="4"/>
  <c r="AA5" i="5"/>
  <c r="AB5" i="5" s="1"/>
  <c r="V5" i="5"/>
  <c r="U5" i="5"/>
  <c r="T5" i="5" s="1"/>
  <c r="AM6" i="4"/>
  <c r="AK6" i="4"/>
  <c r="AL6" i="4" s="1"/>
  <c r="Q7" i="4" l="1"/>
  <c r="F6" i="5"/>
  <c r="S6" i="5"/>
  <c r="N8" i="4"/>
  <c r="O8" i="4" s="1"/>
  <c r="I8" i="4"/>
  <c r="H8" i="4"/>
  <c r="G8" i="4" s="1"/>
  <c r="F9" i="4" s="1"/>
  <c r="U8" i="4"/>
  <c r="T8" i="4" s="1"/>
  <c r="S9" i="4" s="1"/>
  <c r="AA8" i="4"/>
  <c r="V8" i="4"/>
  <c r="AI8" i="4"/>
  <c r="AH8" i="4"/>
  <c r="AG8" i="4" s="1"/>
  <c r="AF9" i="4" s="1"/>
  <c r="AN8" i="4"/>
  <c r="AO8" i="4" s="1"/>
  <c r="AQ5" i="5"/>
  <c r="X5" i="5"/>
  <c r="Z5" i="5"/>
  <c r="Y5" i="5"/>
  <c r="K7" i="4"/>
  <c r="L7" i="4" s="1"/>
  <c r="M7" i="4"/>
  <c r="AQ7" i="4"/>
  <c r="AD6" i="4"/>
  <c r="AB7" i="4"/>
  <c r="AM7" i="4"/>
  <c r="AK7" i="4"/>
  <c r="AL7" i="4" s="1"/>
  <c r="AF6" i="5"/>
  <c r="AD5" i="5"/>
  <c r="Q5" i="5"/>
  <c r="X7" i="4"/>
  <c r="Y7" i="4"/>
  <c r="Z7" i="4"/>
  <c r="K5" i="5"/>
  <c r="L5" i="5" s="1"/>
  <c r="M5" i="5"/>
  <c r="AK5" i="5"/>
  <c r="AL5" i="5" s="1"/>
  <c r="AM5" i="5"/>
  <c r="AA9" i="4" l="1"/>
  <c r="V9" i="4"/>
  <c r="U9" i="4"/>
  <c r="T9" i="4" s="1"/>
  <c r="S10" i="4" s="1"/>
  <c r="Q8" i="4"/>
  <c r="AQ8" i="4"/>
  <c r="AI9" i="4"/>
  <c r="AH9" i="4"/>
  <c r="AN9" i="4"/>
  <c r="AO9" i="4" s="1"/>
  <c r="AG9" i="4"/>
  <c r="AF10" i="4" s="1"/>
  <c r="N9" i="4"/>
  <c r="O9" i="4" s="1"/>
  <c r="I9" i="4"/>
  <c r="H9" i="4"/>
  <c r="G9" i="4" s="1"/>
  <c r="F10" i="4" s="1"/>
  <c r="AN6" i="5"/>
  <c r="AO6" i="5" s="1"/>
  <c r="AI6" i="5"/>
  <c r="AH6" i="5"/>
  <c r="AG6" i="5" s="1"/>
  <c r="Z8" i="4"/>
  <c r="X8" i="4"/>
  <c r="Y8" i="4"/>
  <c r="AD7" i="4"/>
  <c r="AB8" i="4"/>
  <c r="M8" i="4"/>
  <c r="K8" i="4"/>
  <c r="L8" i="4" s="1"/>
  <c r="U6" i="5"/>
  <c r="T6" i="5" s="1"/>
  <c r="V6" i="5"/>
  <c r="AA6" i="5"/>
  <c r="AB6" i="5" s="1"/>
  <c r="AM8" i="4"/>
  <c r="AK8" i="4"/>
  <c r="AL8" i="4" s="1"/>
  <c r="H6" i="5"/>
  <c r="G6" i="5" s="1"/>
  <c r="N6" i="5"/>
  <c r="O6" i="5" s="1"/>
  <c r="I6" i="5"/>
  <c r="AF7" i="5" l="1"/>
  <c r="N10" i="4"/>
  <c r="H10" i="4"/>
  <c r="G10" i="4" s="1"/>
  <c r="F11" i="4" s="1"/>
  <c r="I10" i="4"/>
  <c r="F7" i="5"/>
  <c r="AA10" i="4"/>
  <c r="V10" i="4"/>
  <c r="U10" i="4"/>
  <c r="T10" i="4" s="1"/>
  <c r="S11" i="4" s="1"/>
  <c r="O10" i="4"/>
  <c r="Q9" i="4"/>
  <c r="AO10" i="4"/>
  <c r="AQ9" i="4"/>
  <c r="S7" i="5"/>
  <c r="AQ6" i="5"/>
  <c r="X6" i="5"/>
  <c r="Y6" i="5" s="1"/>
  <c r="Z6" i="5"/>
  <c r="AI10" i="4"/>
  <c r="AN10" i="4"/>
  <c r="AH10" i="4"/>
  <c r="AG10" i="4" s="1"/>
  <c r="AF11" i="4" s="1"/>
  <c r="Q6" i="5"/>
  <c r="AD6" i="5"/>
  <c r="AD8" i="4"/>
  <c r="AB9" i="4"/>
  <c r="Z9" i="4"/>
  <c r="X9" i="4"/>
  <c r="Y9" i="4" s="1"/>
  <c r="AK6" i="5"/>
  <c r="AL6" i="5"/>
  <c r="AM6" i="5"/>
  <c r="M6" i="5"/>
  <c r="K6" i="5"/>
  <c r="L6" i="5" s="1"/>
  <c r="M9" i="4"/>
  <c r="K9" i="4"/>
  <c r="L9" i="4" s="1"/>
  <c r="AK9" i="4"/>
  <c r="AL9" i="4" s="1"/>
  <c r="AM9" i="4"/>
  <c r="AN11" i="4" l="1"/>
  <c r="AI11" i="4"/>
  <c r="AH11" i="4"/>
  <c r="AG11" i="4" s="1"/>
  <c r="AF12" i="4" s="1"/>
  <c r="AA11" i="4"/>
  <c r="V11" i="4"/>
  <c r="U11" i="4"/>
  <c r="T11" i="4" s="1"/>
  <c r="S12" i="4" s="1"/>
  <c r="N11" i="4"/>
  <c r="O11" i="4" s="1"/>
  <c r="H11" i="4"/>
  <c r="G11" i="4"/>
  <c r="F12" i="4" s="1"/>
  <c r="I11" i="4"/>
  <c r="X10" i="4"/>
  <c r="Y10" i="4" s="1"/>
  <c r="Z10" i="4"/>
  <c r="M10" i="4"/>
  <c r="K10" i="4"/>
  <c r="L10" i="4"/>
  <c r="AB10" i="4"/>
  <c r="AD9" i="4"/>
  <c r="Q10" i="4"/>
  <c r="AK10" i="4"/>
  <c r="AM10" i="4"/>
  <c r="AL10" i="4"/>
  <c r="I7" i="5"/>
  <c r="H7" i="5"/>
  <c r="G7" i="5" s="1"/>
  <c r="N7" i="5"/>
  <c r="O7" i="5" s="1"/>
  <c r="V7" i="5"/>
  <c r="U7" i="5"/>
  <c r="T7" i="5" s="1"/>
  <c r="AA7" i="5"/>
  <c r="AB7" i="5" s="1"/>
  <c r="AQ10" i="4"/>
  <c r="AO11" i="4"/>
  <c r="AI7" i="5"/>
  <c r="AH7" i="5"/>
  <c r="AG7" i="5" s="1"/>
  <c r="AN7" i="5"/>
  <c r="AO7" i="5" s="1"/>
  <c r="F8" i="5" l="1"/>
  <c r="AF8" i="5"/>
  <c r="Q11" i="4"/>
  <c r="S8" i="5"/>
  <c r="AI12" i="4"/>
  <c r="AN12" i="4"/>
  <c r="AO12" i="4" s="1"/>
  <c r="AH12" i="4"/>
  <c r="AG12" i="4"/>
  <c r="AF13" i="4" s="1"/>
  <c r="AA12" i="4"/>
  <c r="V12" i="4"/>
  <c r="U12" i="4"/>
  <c r="T12" i="4" s="1"/>
  <c r="S13" i="4" s="1"/>
  <c r="AD10" i="4"/>
  <c r="AB11" i="4"/>
  <c r="AQ11" i="4"/>
  <c r="Q7" i="5"/>
  <c r="Z7" i="5"/>
  <c r="X7" i="5"/>
  <c r="Y7" i="5"/>
  <c r="AK11" i="4"/>
  <c r="AL11" i="4" s="1"/>
  <c r="AM11" i="4"/>
  <c r="AQ7" i="5"/>
  <c r="AD7" i="5"/>
  <c r="K11" i="4"/>
  <c r="L11" i="4" s="1"/>
  <c r="M11" i="4"/>
  <c r="K7" i="5"/>
  <c r="M7" i="5"/>
  <c r="L7" i="5"/>
  <c r="Z11" i="4"/>
  <c r="X11" i="4"/>
  <c r="Y11" i="4" s="1"/>
  <c r="AM7" i="5"/>
  <c r="AK7" i="5"/>
  <c r="AL7" i="5" s="1"/>
  <c r="N12" i="4"/>
  <c r="O12" i="4" s="1"/>
  <c r="I12" i="4"/>
  <c r="H12" i="4"/>
  <c r="G12" i="4" s="1"/>
  <c r="F13" i="4" s="1"/>
  <c r="U13" i="4" l="1"/>
  <c r="AA13" i="4"/>
  <c r="V13" i="4"/>
  <c r="T13" i="4"/>
  <c r="S14" i="4" s="1"/>
  <c r="N13" i="4"/>
  <c r="H13" i="4"/>
  <c r="G13" i="4" s="1"/>
  <c r="F14" i="4" s="1"/>
  <c r="I13" i="4"/>
  <c r="Q12" i="4"/>
  <c r="O13" i="4"/>
  <c r="AQ12" i="4"/>
  <c r="AO13" i="4"/>
  <c r="Z12" i="4"/>
  <c r="X12" i="4"/>
  <c r="Y12" i="4" s="1"/>
  <c r="V8" i="5"/>
  <c r="AA8" i="5"/>
  <c r="AB8" i="5" s="1"/>
  <c r="U8" i="5"/>
  <c r="T8" i="5" s="1"/>
  <c r="AN8" i="5"/>
  <c r="AO8" i="5" s="1"/>
  <c r="AH8" i="5"/>
  <c r="AG8" i="5" s="1"/>
  <c r="AI8" i="5"/>
  <c r="AN13" i="4"/>
  <c r="AH13" i="4"/>
  <c r="AG13" i="4"/>
  <c r="AF14" i="4" s="1"/>
  <c r="AI13" i="4"/>
  <c r="K12" i="4"/>
  <c r="L12" i="4" s="1"/>
  <c r="M12" i="4"/>
  <c r="AM12" i="4"/>
  <c r="AK12" i="4"/>
  <c r="AL12" i="4" s="1"/>
  <c r="AB12" i="4"/>
  <c r="AD11" i="4"/>
  <c r="N8" i="5"/>
  <c r="O8" i="5" s="1"/>
  <c r="H8" i="5"/>
  <c r="G8" i="5" s="1"/>
  <c r="I8" i="5"/>
  <c r="F9" i="5" l="1"/>
  <c r="AF9" i="5"/>
  <c r="I14" i="4"/>
  <c r="H14" i="4"/>
  <c r="G14" i="4" s="1"/>
  <c r="F15" i="4" s="1"/>
  <c r="N14" i="4"/>
  <c r="O14" i="4" s="1"/>
  <c r="S9" i="5"/>
  <c r="Q8" i="5"/>
  <c r="AN14" i="4"/>
  <c r="AO14" i="4" s="1"/>
  <c r="AH14" i="4"/>
  <c r="AG14" i="4" s="1"/>
  <c r="AF15" i="4" s="1"/>
  <c r="AI14" i="4"/>
  <c r="AQ8" i="5"/>
  <c r="M8" i="5"/>
  <c r="K8" i="5"/>
  <c r="L8" i="5" s="1"/>
  <c r="X8" i="5"/>
  <c r="Y8" i="5"/>
  <c r="Z8" i="5"/>
  <c r="Q13" i="4"/>
  <c r="AM13" i="4"/>
  <c r="AK13" i="4"/>
  <c r="AL13" i="4" s="1"/>
  <c r="AA14" i="4"/>
  <c r="V14" i="4"/>
  <c r="U14" i="4"/>
  <c r="T14" i="4" s="1"/>
  <c r="S15" i="4" s="1"/>
  <c r="Z13" i="4"/>
  <c r="X13" i="4"/>
  <c r="Y13" i="4" s="1"/>
  <c r="AD8" i="5"/>
  <c r="AM8" i="5"/>
  <c r="AK8" i="5"/>
  <c r="AL8" i="5" s="1"/>
  <c r="AB13" i="4"/>
  <c r="AD12" i="4"/>
  <c r="AQ13" i="4"/>
  <c r="M13" i="4"/>
  <c r="K13" i="4"/>
  <c r="L13" i="4" s="1"/>
  <c r="Q14" i="4" l="1"/>
  <c r="AQ14" i="4"/>
  <c r="N15" i="4"/>
  <c r="O15" i="4" s="1"/>
  <c r="I15" i="4"/>
  <c r="H15" i="4"/>
  <c r="G15" i="4" s="1"/>
  <c r="F16" i="4" s="1"/>
  <c r="AN15" i="4"/>
  <c r="AO15" i="4" s="1"/>
  <c r="AI15" i="4"/>
  <c r="AH15" i="4"/>
  <c r="AG15" i="4" s="1"/>
  <c r="AF16" i="4" s="1"/>
  <c r="U15" i="4"/>
  <c r="T15" i="4" s="1"/>
  <c r="S16" i="4" s="1"/>
  <c r="AA15" i="4"/>
  <c r="V15" i="4"/>
  <c r="AA9" i="5"/>
  <c r="AB9" i="5" s="1"/>
  <c r="U9" i="5"/>
  <c r="T9" i="5" s="1"/>
  <c r="S10" i="5" s="1"/>
  <c r="V9" i="5"/>
  <c r="M14" i="4"/>
  <c r="K14" i="4"/>
  <c r="L14" i="4" s="1"/>
  <c r="AB14" i="4"/>
  <c r="AD13" i="4"/>
  <c r="AM14" i="4"/>
  <c r="AK14" i="4"/>
  <c r="AL14" i="4" s="1"/>
  <c r="X14" i="4"/>
  <c r="Z14" i="4"/>
  <c r="Y14" i="4"/>
  <c r="AH9" i="5"/>
  <c r="AG9" i="5" s="1"/>
  <c r="AF10" i="5" s="1"/>
  <c r="AN9" i="5"/>
  <c r="AO9" i="5" s="1"/>
  <c r="AI9" i="5"/>
  <c r="I9" i="5"/>
  <c r="N9" i="5"/>
  <c r="O9" i="5" s="1"/>
  <c r="H9" i="5"/>
  <c r="G9" i="5" s="1"/>
  <c r="F10" i="5" s="1"/>
  <c r="AA10" i="5" l="1"/>
  <c r="U10" i="5"/>
  <c r="T10" i="5" s="1"/>
  <c r="S11" i="5" s="1"/>
  <c r="V10" i="5"/>
  <c r="N16" i="4"/>
  <c r="O16" i="4" s="1"/>
  <c r="H16" i="4"/>
  <c r="G16" i="4" s="1"/>
  <c r="F17" i="4" s="1"/>
  <c r="I16" i="4"/>
  <c r="H10" i="5"/>
  <c r="N10" i="5"/>
  <c r="O10" i="5" s="1"/>
  <c r="I10" i="5"/>
  <c r="G10" i="5"/>
  <c r="F11" i="5" s="1"/>
  <c r="AQ15" i="4"/>
  <c r="AO16" i="4"/>
  <c r="AH10" i="5"/>
  <c r="AG10" i="5" s="1"/>
  <c r="AF11" i="5" s="1"/>
  <c r="AN10" i="5"/>
  <c r="AO10" i="5" s="1"/>
  <c r="AI10" i="5"/>
  <c r="V16" i="4"/>
  <c r="U16" i="4"/>
  <c r="T16" i="4" s="1"/>
  <c r="S17" i="4" s="1"/>
  <c r="AA16" i="4"/>
  <c r="AH16" i="4"/>
  <c r="AG16" i="4"/>
  <c r="AF17" i="4" s="1"/>
  <c r="AI16" i="4"/>
  <c r="AN16" i="4"/>
  <c r="Q15" i="4"/>
  <c r="Q9" i="5"/>
  <c r="AQ9" i="5"/>
  <c r="K9" i="5"/>
  <c r="M9" i="5"/>
  <c r="L9" i="5"/>
  <c r="K15" i="4"/>
  <c r="M15" i="4"/>
  <c r="L15" i="4"/>
  <c r="X9" i="5"/>
  <c r="Y9" i="5" s="1"/>
  <c r="Z9" i="5"/>
  <c r="AD9" i="5"/>
  <c r="AB10" i="5"/>
  <c r="X15" i="4"/>
  <c r="Z15" i="4"/>
  <c r="Y15" i="4"/>
  <c r="AK9" i="5"/>
  <c r="AM9" i="5"/>
  <c r="AL9" i="5"/>
  <c r="AM15" i="4"/>
  <c r="AK15" i="4"/>
  <c r="AL15" i="4" s="1"/>
  <c r="AB15" i="4"/>
  <c r="AD14" i="4"/>
  <c r="AQ10" i="5" l="1"/>
  <c r="N17" i="4"/>
  <c r="I17" i="4"/>
  <c r="H17" i="4"/>
  <c r="G17" i="4" s="1"/>
  <c r="F18" i="4" s="1"/>
  <c r="AA17" i="4"/>
  <c r="V17" i="4"/>
  <c r="U17" i="4"/>
  <c r="T17" i="4" s="1"/>
  <c r="S18" i="4" s="1"/>
  <c r="AI11" i="5"/>
  <c r="AH11" i="5"/>
  <c r="AG11" i="5" s="1"/>
  <c r="AF12" i="5" s="1"/>
  <c r="AN11" i="5"/>
  <c r="AO11" i="5" s="1"/>
  <c r="Q10" i="5"/>
  <c r="O11" i="5"/>
  <c r="O17" i="4"/>
  <c r="Q16" i="4"/>
  <c r="AA11" i="5"/>
  <c r="AB11" i="5" s="1"/>
  <c r="V11" i="5"/>
  <c r="U11" i="5"/>
  <c r="T11" i="5" s="1"/>
  <c r="S12" i="5" s="1"/>
  <c r="Z16" i="4"/>
  <c r="X16" i="4"/>
  <c r="Y16" i="4" s="1"/>
  <c r="AM10" i="5"/>
  <c r="AK10" i="5"/>
  <c r="AL10" i="5" s="1"/>
  <c r="I11" i="5"/>
  <c r="N11" i="5"/>
  <c r="G11" i="5"/>
  <c r="F12" i="5" s="1"/>
  <c r="H11" i="5"/>
  <c r="K10" i="5"/>
  <c r="L10" i="5" s="1"/>
  <c r="M10" i="5"/>
  <c r="AO17" i="4"/>
  <c r="AQ16" i="4"/>
  <c r="AB16" i="4"/>
  <c r="AD15" i="4"/>
  <c r="AM16" i="4"/>
  <c r="AL16" i="4"/>
  <c r="AK16" i="4"/>
  <c r="AI17" i="4"/>
  <c r="AH17" i="4"/>
  <c r="AG17" i="4" s="1"/>
  <c r="AF18" i="4" s="1"/>
  <c r="AN17" i="4"/>
  <c r="X10" i="5"/>
  <c r="Y10" i="5" s="1"/>
  <c r="Z10" i="5"/>
  <c r="AD10" i="5"/>
  <c r="M16" i="4"/>
  <c r="K16" i="4"/>
  <c r="L16" i="4" s="1"/>
  <c r="AQ11" i="5" l="1"/>
  <c r="AA12" i="5"/>
  <c r="V12" i="5"/>
  <c r="U12" i="5"/>
  <c r="T12" i="5" s="1"/>
  <c r="S13" i="5" s="1"/>
  <c r="AD11" i="5"/>
  <c r="AB12" i="5"/>
  <c r="N18" i="4"/>
  <c r="O18" i="4" s="1"/>
  <c r="I18" i="4"/>
  <c r="H18" i="4"/>
  <c r="G18" i="4" s="1"/>
  <c r="F19" i="4" s="1"/>
  <c r="AI18" i="4"/>
  <c r="AN18" i="4"/>
  <c r="AO18" i="4" s="1"/>
  <c r="AH18" i="4"/>
  <c r="AG18" i="4"/>
  <c r="AF19" i="4" s="1"/>
  <c r="AI12" i="5"/>
  <c r="AN12" i="5"/>
  <c r="AO12" i="5" s="1"/>
  <c r="AH12" i="5"/>
  <c r="AG12" i="5" s="1"/>
  <c r="AF13" i="5" s="1"/>
  <c r="AA18" i="4"/>
  <c r="V18" i="4"/>
  <c r="U18" i="4"/>
  <c r="T18" i="4" s="1"/>
  <c r="S19" i="4" s="1"/>
  <c r="N12" i="5"/>
  <c r="O12" i="5" s="1"/>
  <c r="I12" i="5"/>
  <c r="H12" i="5"/>
  <c r="G12" i="5" s="1"/>
  <c r="F13" i="5" s="1"/>
  <c r="Q17" i="4"/>
  <c r="Q11" i="5"/>
  <c r="Z17" i="4"/>
  <c r="X17" i="4"/>
  <c r="Y17" i="4" s="1"/>
  <c r="AM11" i="5"/>
  <c r="AK11" i="5"/>
  <c r="AL11" i="5" s="1"/>
  <c r="M17" i="4"/>
  <c r="L17" i="4"/>
  <c r="K17" i="4"/>
  <c r="AK17" i="4"/>
  <c r="AL17" i="4"/>
  <c r="AM17" i="4"/>
  <c r="Z11" i="5"/>
  <c r="X11" i="5"/>
  <c r="Y11" i="5" s="1"/>
  <c r="AB17" i="4"/>
  <c r="AD16" i="4"/>
  <c r="AQ17" i="4"/>
  <c r="M11" i="5"/>
  <c r="K11" i="5"/>
  <c r="L11" i="5" s="1"/>
  <c r="V19" i="4" l="1"/>
  <c r="AA19" i="4"/>
  <c r="U19" i="4"/>
  <c r="T19" i="4" s="1"/>
  <c r="S20" i="4" s="1"/>
  <c r="AQ12" i="5"/>
  <c r="O19" i="4"/>
  <c r="Q18" i="4"/>
  <c r="N13" i="5"/>
  <c r="O13" i="5" s="1"/>
  <c r="I13" i="5"/>
  <c r="H13" i="5"/>
  <c r="G13" i="5" s="1"/>
  <c r="F14" i="5" s="1"/>
  <c r="Q12" i="5"/>
  <c r="AH13" i="5"/>
  <c r="AG13" i="5" s="1"/>
  <c r="AF14" i="5" s="1"/>
  <c r="AN13" i="5"/>
  <c r="AO13" i="5" s="1"/>
  <c r="AI13" i="5"/>
  <c r="AO19" i="4"/>
  <c r="AQ18" i="4"/>
  <c r="N19" i="4"/>
  <c r="H19" i="4"/>
  <c r="G19" i="4" s="1"/>
  <c r="F20" i="4" s="1"/>
  <c r="I19" i="4"/>
  <c r="AA13" i="5"/>
  <c r="U13" i="5"/>
  <c r="T13" i="5"/>
  <c r="S14" i="5" s="1"/>
  <c r="V13" i="5"/>
  <c r="AM12" i="5"/>
  <c r="AK12" i="5"/>
  <c r="AL12" i="5" s="1"/>
  <c r="M18" i="4"/>
  <c r="K18" i="4"/>
  <c r="L18" i="4" s="1"/>
  <c r="AD17" i="4"/>
  <c r="AB18" i="4"/>
  <c r="M12" i="5"/>
  <c r="K12" i="5"/>
  <c r="L12" i="5" s="1"/>
  <c r="Z18" i="4"/>
  <c r="X18" i="4"/>
  <c r="Y18" i="4"/>
  <c r="AH19" i="4"/>
  <c r="AG19" i="4"/>
  <c r="AF20" i="4" s="1"/>
  <c r="AN19" i="4"/>
  <c r="AI19" i="4"/>
  <c r="AM18" i="4"/>
  <c r="AK18" i="4"/>
  <c r="AL18" i="4" s="1"/>
  <c r="AB13" i="5"/>
  <c r="AD12" i="5"/>
  <c r="Z12" i="5"/>
  <c r="X12" i="5"/>
  <c r="Y12" i="5"/>
  <c r="AQ13" i="5" l="1"/>
  <c r="H20" i="4"/>
  <c r="G20" i="4" s="1"/>
  <c r="F21" i="4" s="1"/>
  <c r="N20" i="4"/>
  <c r="I20" i="4"/>
  <c r="AH14" i="5"/>
  <c r="AN14" i="5"/>
  <c r="AO14" i="5" s="1"/>
  <c r="AI14" i="5"/>
  <c r="AG14" i="5"/>
  <c r="AF15" i="5" s="1"/>
  <c r="Q13" i="5"/>
  <c r="H14" i="5"/>
  <c r="G14" i="5" s="1"/>
  <c r="F15" i="5" s="1"/>
  <c r="N14" i="5"/>
  <c r="O14" i="5" s="1"/>
  <c r="I14" i="5"/>
  <c r="AA20" i="4"/>
  <c r="V20" i="4"/>
  <c r="U20" i="4"/>
  <c r="T20" i="4" s="1"/>
  <c r="S21" i="4" s="1"/>
  <c r="K13" i="5"/>
  <c r="L13" i="5"/>
  <c r="M13" i="5"/>
  <c r="AD13" i="5"/>
  <c r="U14" i="5"/>
  <c r="T14" i="5" s="1"/>
  <c r="S15" i="5" s="1"/>
  <c r="AA14" i="5"/>
  <c r="AB14" i="5" s="1"/>
  <c r="V14" i="5"/>
  <c r="Q19" i="4"/>
  <c r="O20" i="4"/>
  <c r="X13" i="5"/>
  <c r="Z13" i="5"/>
  <c r="Y13" i="5"/>
  <c r="AM19" i="4"/>
  <c r="AK19" i="4"/>
  <c r="AL19" i="4"/>
  <c r="AN20" i="4"/>
  <c r="AO20" i="4" s="1"/>
  <c r="AI20" i="4"/>
  <c r="AH20" i="4"/>
  <c r="AG20" i="4" s="1"/>
  <c r="AF21" i="4" s="1"/>
  <c r="AQ19" i="4"/>
  <c r="AK13" i="5"/>
  <c r="AM13" i="5"/>
  <c r="AL13" i="5"/>
  <c r="AD18" i="4"/>
  <c r="AB19" i="4"/>
  <c r="M19" i="4"/>
  <c r="K19" i="4"/>
  <c r="L19" i="4" s="1"/>
  <c r="X19" i="4"/>
  <c r="Z19" i="4"/>
  <c r="Y19" i="4"/>
  <c r="AN21" i="4" l="1"/>
  <c r="AI21" i="4"/>
  <c r="AH21" i="4"/>
  <c r="AG21" i="4" s="1"/>
  <c r="AF22" i="4" s="1"/>
  <c r="AQ14" i="5"/>
  <c r="N21" i="4"/>
  <c r="O21" i="4" s="1"/>
  <c r="I21" i="4"/>
  <c r="H21" i="4"/>
  <c r="G21" i="4" s="1"/>
  <c r="F22" i="4" s="1"/>
  <c r="V15" i="5"/>
  <c r="AA15" i="5"/>
  <c r="AB15" i="5" s="1"/>
  <c r="U15" i="5"/>
  <c r="T15" i="5" s="1"/>
  <c r="S16" i="5" s="1"/>
  <c r="V21" i="4"/>
  <c r="AA21" i="4"/>
  <c r="U21" i="4"/>
  <c r="T21" i="4" s="1"/>
  <c r="S22" i="4" s="1"/>
  <c r="AO21" i="4"/>
  <c r="AQ20" i="4"/>
  <c r="Q14" i="5"/>
  <c r="I15" i="5"/>
  <c r="H15" i="5"/>
  <c r="G15" i="5"/>
  <c r="F16" i="5" s="1"/>
  <c r="N15" i="5"/>
  <c r="O15" i="5" s="1"/>
  <c r="AD14" i="5"/>
  <c r="Q20" i="4"/>
  <c r="AI15" i="5"/>
  <c r="AN15" i="5"/>
  <c r="AO15" i="5" s="1"/>
  <c r="AH15" i="5"/>
  <c r="AG15" i="5" s="1"/>
  <c r="AF16" i="5" s="1"/>
  <c r="M14" i="5"/>
  <c r="K14" i="5"/>
  <c r="L14" i="5" s="1"/>
  <c r="X14" i="5"/>
  <c r="Y14" i="5" s="1"/>
  <c r="Z14" i="5"/>
  <c r="AB20" i="4"/>
  <c r="AD19" i="4"/>
  <c r="AK20" i="4"/>
  <c r="AL20" i="4" s="1"/>
  <c r="AM20" i="4"/>
  <c r="Z20" i="4"/>
  <c r="X20" i="4"/>
  <c r="Y20" i="4" s="1"/>
  <c r="AK14" i="5"/>
  <c r="AL14" i="5" s="1"/>
  <c r="AM14" i="5"/>
  <c r="K20" i="4"/>
  <c r="L20" i="4"/>
  <c r="M20" i="4"/>
  <c r="Q15" i="5" l="1"/>
  <c r="U22" i="4"/>
  <c r="T22" i="4" s="1"/>
  <c r="S23" i="4" s="1"/>
  <c r="V22" i="4"/>
  <c r="AA22" i="4"/>
  <c r="AD15" i="5"/>
  <c r="AQ15" i="5"/>
  <c r="AA16" i="5"/>
  <c r="H9" i="6" s="1"/>
  <c r="U16" i="5"/>
  <c r="T16" i="5" s="1"/>
  <c r="V16" i="5"/>
  <c r="I22" i="4"/>
  <c r="H22" i="4"/>
  <c r="G22" i="4" s="1"/>
  <c r="F23" i="4" s="1"/>
  <c r="N22" i="4"/>
  <c r="O22" i="4" s="1"/>
  <c r="AN16" i="5"/>
  <c r="H10" i="6" s="1"/>
  <c r="AI16" i="5"/>
  <c r="AH16" i="5"/>
  <c r="AG16" i="5" s="1"/>
  <c r="Q21" i="4"/>
  <c r="AN22" i="4"/>
  <c r="AH22" i="4"/>
  <c r="AI22" i="4"/>
  <c r="AG22" i="4"/>
  <c r="AF23" i="4" s="1"/>
  <c r="AO22" i="4"/>
  <c r="AQ21" i="4"/>
  <c r="AM15" i="5"/>
  <c r="AK15" i="5"/>
  <c r="AL15" i="5" s="1"/>
  <c r="X21" i="4"/>
  <c r="Y21" i="4" s="1"/>
  <c r="Z21" i="4"/>
  <c r="Z15" i="5"/>
  <c r="X15" i="5"/>
  <c r="Y15" i="5" s="1"/>
  <c r="I16" i="5"/>
  <c r="N16" i="5"/>
  <c r="H8" i="6" s="1"/>
  <c r="H16" i="5"/>
  <c r="G16" i="5"/>
  <c r="M15" i="5"/>
  <c r="K15" i="5"/>
  <c r="L15" i="5"/>
  <c r="AM21" i="4"/>
  <c r="AK21" i="4"/>
  <c r="AL21" i="4" s="1"/>
  <c r="M21" i="4"/>
  <c r="K21" i="4"/>
  <c r="L21" i="4" s="1"/>
  <c r="AD20" i="4"/>
  <c r="AB21" i="4"/>
  <c r="AF17" i="5" l="1"/>
  <c r="F10" i="6"/>
  <c r="Q22" i="4"/>
  <c r="H23" i="4"/>
  <c r="G23" i="4" s="1"/>
  <c r="F24" i="4" s="1"/>
  <c r="N23" i="4"/>
  <c r="O23" i="4" s="1"/>
  <c r="I23" i="4"/>
  <c r="V23" i="4"/>
  <c r="AA23" i="4"/>
  <c r="U23" i="4"/>
  <c r="T23" i="4" s="1"/>
  <c r="S24" i="4" s="1"/>
  <c r="S17" i="5"/>
  <c r="F9" i="6"/>
  <c r="K22" i="4"/>
  <c r="M22" i="4"/>
  <c r="L22" i="4"/>
  <c r="AO16" i="5"/>
  <c r="G8" i="6"/>
  <c r="K16" i="5"/>
  <c r="L16" i="5" s="1"/>
  <c r="M16" i="5"/>
  <c r="AB16" i="5"/>
  <c r="G10" i="6"/>
  <c r="AM16" i="5"/>
  <c r="AK16" i="5"/>
  <c r="AL16" i="5" s="1"/>
  <c r="AQ22" i="4"/>
  <c r="X22" i="4"/>
  <c r="Y22" i="4" s="1"/>
  <c r="Z22" i="4"/>
  <c r="O16" i="5"/>
  <c r="AB22" i="4"/>
  <c r="AD21" i="4"/>
  <c r="Z16" i="5"/>
  <c r="X16" i="5"/>
  <c r="Y16" i="5" s="1"/>
  <c r="G9" i="6"/>
  <c r="AN23" i="4"/>
  <c r="AO23" i="4" s="1"/>
  <c r="AI23" i="4"/>
  <c r="AH23" i="4"/>
  <c r="AG23" i="4" s="1"/>
  <c r="AF24" i="4" s="1"/>
  <c r="AM22" i="4"/>
  <c r="AK22" i="4"/>
  <c r="AL22" i="4" s="1"/>
  <c r="F8" i="6"/>
  <c r="F17" i="5"/>
  <c r="U24" i="4" l="1"/>
  <c r="T24" i="4" s="1"/>
  <c r="S25" i="4" s="1"/>
  <c r="AA24" i="4"/>
  <c r="V24" i="4"/>
  <c r="AQ23" i="4"/>
  <c r="N24" i="4"/>
  <c r="I24" i="4"/>
  <c r="H24" i="4"/>
  <c r="G24" i="4" s="1"/>
  <c r="F25" i="4" s="1"/>
  <c r="AN24" i="4"/>
  <c r="AO24" i="4" s="1"/>
  <c r="AI24" i="4"/>
  <c r="AH24" i="4"/>
  <c r="AG24" i="4" s="1"/>
  <c r="AF25" i="4" s="1"/>
  <c r="O24" i="4"/>
  <c r="Q23" i="4"/>
  <c r="C8" i="6"/>
  <c r="Q16" i="5"/>
  <c r="D8" i="6" s="1"/>
  <c r="AO17" i="5"/>
  <c r="C10" i="6"/>
  <c r="AQ16" i="5"/>
  <c r="D10" i="6" s="1"/>
  <c r="AB23" i="4"/>
  <c r="AD22" i="4"/>
  <c r="AA17" i="5"/>
  <c r="AB17" i="5" s="1"/>
  <c r="V17" i="5"/>
  <c r="U17" i="5"/>
  <c r="T17" i="5" s="1"/>
  <c r="S18" i="5" s="1"/>
  <c r="Z23" i="4"/>
  <c r="X23" i="4"/>
  <c r="Y23" i="4" s="1"/>
  <c r="K23" i="4"/>
  <c r="L23" i="4" s="1"/>
  <c r="M23" i="4"/>
  <c r="I17" i="5"/>
  <c r="H17" i="5"/>
  <c r="G17" i="5" s="1"/>
  <c r="F18" i="5" s="1"/>
  <c r="N17" i="5"/>
  <c r="O17" i="5" s="1"/>
  <c r="C9" i="6"/>
  <c r="AD16" i="5"/>
  <c r="D9" i="6" s="1"/>
  <c r="AM23" i="4"/>
  <c r="AK23" i="4"/>
  <c r="AL23" i="4" s="1"/>
  <c r="AN17" i="5"/>
  <c r="AI17" i="5"/>
  <c r="AH17" i="5"/>
  <c r="AG17" i="5" s="1"/>
  <c r="AF18" i="5" s="1"/>
  <c r="Q17" i="5" l="1"/>
  <c r="AD17" i="5"/>
  <c r="H25" i="4"/>
  <c r="G25" i="4" s="1"/>
  <c r="F26" i="4" s="1"/>
  <c r="I25" i="4"/>
  <c r="N25" i="4"/>
  <c r="O25" i="4" s="1"/>
  <c r="AA18" i="5"/>
  <c r="AB18" i="5" s="1"/>
  <c r="U18" i="5"/>
  <c r="T18" i="5" s="1"/>
  <c r="S19" i="5" s="1"/>
  <c r="V18" i="5"/>
  <c r="AH18" i="5"/>
  <c r="AG18" i="5" s="1"/>
  <c r="AF19" i="5" s="1"/>
  <c r="AI18" i="5"/>
  <c r="AN18" i="5"/>
  <c r="AO18" i="5" s="1"/>
  <c r="AH25" i="4"/>
  <c r="AG25" i="4" s="1"/>
  <c r="AF26" i="4" s="1"/>
  <c r="AN25" i="4"/>
  <c r="AO25" i="4" s="1"/>
  <c r="AI25" i="4"/>
  <c r="H18" i="5"/>
  <c r="G18" i="5"/>
  <c r="F19" i="5" s="1"/>
  <c r="N18" i="5"/>
  <c r="O18" i="5" s="1"/>
  <c r="I18" i="5"/>
  <c r="AQ24" i="4"/>
  <c r="V25" i="4"/>
  <c r="U25" i="4"/>
  <c r="T25" i="4" s="1"/>
  <c r="S26" i="4" s="1"/>
  <c r="AA25" i="4"/>
  <c r="K17" i="5"/>
  <c r="L17" i="5"/>
  <c r="M17" i="5"/>
  <c r="M24" i="4"/>
  <c r="K24" i="4"/>
  <c r="L24" i="4" s="1"/>
  <c r="Z17" i="5"/>
  <c r="Y17" i="5"/>
  <c r="X17" i="5"/>
  <c r="AK17" i="5"/>
  <c r="AL17" i="5" s="1"/>
  <c r="AM17" i="5"/>
  <c r="X24" i="4"/>
  <c r="Y24" i="4"/>
  <c r="Z24" i="4"/>
  <c r="AQ17" i="5"/>
  <c r="Q24" i="4"/>
  <c r="AM24" i="4"/>
  <c r="AK24" i="4"/>
  <c r="AL24" i="4" s="1"/>
  <c r="AD23" i="4"/>
  <c r="AB24" i="4"/>
  <c r="AI19" i="5" l="1"/>
  <c r="AH19" i="5"/>
  <c r="AG19" i="5" s="1"/>
  <c r="AF20" i="5" s="1"/>
  <c r="AN19" i="5"/>
  <c r="AA19" i="5"/>
  <c r="AB19" i="5" s="1"/>
  <c r="V19" i="5"/>
  <c r="U19" i="5"/>
  <c r="T19" i="5" s="1"/>
  <c r="S20" i="5" s="1"/>
  <c r="Q18" i="5"/>
  <c r="AQ25" i="4"/>
  <c r="AO19" i="5"/>
  <c r="AQ18" i="5"/>
  <c r="O26" i="4"/>
  <c r="Q25" i="4"/>
  <c r="AN26" i="4"/>
  <c r="AO26" i="4" s="1"/>
  <c r="AI26" i="4"/>
  <c r="AH26" i="4"/>
  <c r="AG26" i="4" s="1"/>
  <c r="AF27" i="4" s="1"/>
  <c r="AD18" i="5"/>
  <c r="N26" i="4"/>
  <c r="H26" i="4"/>
  <c r="G26" i="4" s="1"/>
  <c r="F27" i="4" s="1"/>
  <c r="I26" i="4"/>
  <c r="V26" i="4"/>
  <c r="AA26" i="4"/>
  <c r="U26" i="4"/>
  <c r="T26" i="4" s="1"/>
  <c r="S27" i="4" s="1"/>
  <c r="AB25" i="4"/>
  <c r="AD24" i="4"/>
  <c r="Z18" i="5"/>
  <c r="X18" i="5"/>
  <c r="Y18" i="5" s="1"/>
  <c r="AM25" i="4"/>
  <c r="AK25" i="4"/>
  <c r="AL25" i="4" s="1"/>
  <c r="X25" i="4"/>
  <c r="Y25" i="4"/>
  <c r="Z25" i="4"/>
  <c r="M25" i="4"/>
  <c r="K25" i="4"/>
  <c r="L25" i="4" s="1"/>
  <c r="I19" i="5"/>
  <c r="H19" i="5"/>
  <c r="G19" i="5" s="1"/>
  <c r="F20" i="5" s="1"/>
  <c r="N19" i="5"/>
  <c r="O19" i="5" s="1"/>
  <c r="AM18" i="5"/>
  <c r="AK18" i="5"/>
  <c r="AL18" i="5" s="1"/>
  <c r="K18" i="5"/>
  <c r="L18" i="5" s="1"/>
  <c r="M18" i="5"/>
  <c r="AQ26" i="4" l="1"/>
  <c r="N27" i="4"/>
  <c r="I27" i="4"/>
  <c r="H27" i="4"/>
  <c r="G27" i="4" s="1"/>
  <c r="F28" i="4" s="1"/>
  <c r="AA20" i="5"/>
  <c r="AB20" i="5" s="1"/>
  <c r="V20" i="5"/>
  <c r="U20" i="5"/>
  <c r="T20" i="5" s="1"/>
  <c r="S21" i="5" s="1"/>
  <c r="Q19" i="5"/>
  <c r="U27" i="4"/>
  <c r="T27" i="4" s="1"/>
  <c r="S28" i="4" s="1"/>
  <c r="AA27" i="4"/>
  <c r="V27" i="4"/>
  <c r="N20" i="5"/>
  <c r="O20" i="5" s="1"/>
  <c r="I20" i="5"/>
  <c r="H20" i="5"/>
  <c r="G20" i="5" s="1"/>
  <c r="F21" i="5" s="1"/>
  <c r="AH27" i="4"/>
  <c r="AG27" i="4" s="1"/>
  <c r="AF28" i="4" s="1"/>
  <c r="AN27" i="4"/>
  <c r="AO27" i="4" s="1"/>
  <c r="AI27" i="4"/>
  <c r="AD19" i="5"/>
  <c r="AI20" i="5"/>
  <c r="AN20" i="5"/>
  <c r="AH20" i="5"/>
  <c r="AG20" i="5"/>
  <c r="AF21" i="5" s="1"/>
  <c r="AM26" i="4"/>
  <c r="AK26" i="4"/>
  <c r="AL26" i="4" s="1"/>
  <c r="AQ19" i="5"/>
  <c r="AO20" i="5"/>
  <c r="Q26" i="4"/>
  <c r="O27" i="4"/>
  <c r="AD25" i="4"/>
  <c r="AB26" i="4"/>
  <c r="L26" i="4"/>
  <c r="K26" i="4"/>
  <c r="M26" i="4"/>
  <c r="Z19" i="5"/>
  <c r="X19" i="5"/>
  <c r="Y19" i="5" s="1"/>
  <c r="M19" i="5"/>
  <c r="K19" i="5"/>
  <c r="L19" i="5" s="1"/>
  <c r="Z26" i="4"/>
  <c r="X26" i="4"/>
  <c r="Y26" i="4" s="1"/>
  <c r="AM19" i="5"/>
  <c r="AK19" i="5"/>
  <c r="AL19" i="5" s="1"/>
  <c r="Q20" i="5" l="1"/>
  <c r="AD20" i="5"/>
  <c r="N21" i="5"/>
  <c r="O21" i="5" s="1"/>
  <c r="I21" i="5"/>
  <c r="H21" i="5"/>
  <c r="G21" i="5" s="1"/>
  <c r="F22" i="5" s="1"/>
  <c r="AA28" i="4"/>
  <c r="H5" i="6" s="1"/>
  <c r="U28" i="4"/>
  <c r="T28" i="4" s="1"/>
  <c r="V28" i="4"/>
  <c r="N28" i="4"/>
  <c r="H4" i="6" s="1"/>
  <c r="H28" i="4"/>
  <c r="G28" i="4" s="1"/>
  <c r="I28" i="4"/>
  <c r="AQ27" i="4"/>
  <c r="AN28" i="4"/>
  <c r="H6" i="6" s="1"/>
  <c r="AI28" i="4"/>
  <c r="AH28" i="4"/>
  <c r="AG28" i="4" s="1"/>
  <c r="AA21" i="5"/>
  <c r="AB21" i="5" s="1"/>
  <c r="V21" i="5"/>
  <c r="U21" i="5"/>
  <c r="T21" i="5" s="1"/>
  <c r="S22" i="5" s="1"/>
  <c r="Z27" i="4"/>
  <c r="X27" i="4"/>
  <c r="Y27" i="4"/>
  <c r="M20" i="5"/>
  <c r="K20" i="5"/>
  <c r="L20" i="5" s="1"/>
  <c r="AI21" i="5"/>
  <c r="AN21" i="5"/>
  <c r="AO21" i="5" s="1"/>
  <c r="AH21" i="5"/>
  <c r="AG21" i="5" s="1"/>
  <c r="AF22" i="5" s="1"/>
  <c r="M27" i="4"/>
  <c r="K27" i="4"/>
  <c r="L27" i="4" s="1"/>
  <c r="AD26" i="4"/>
  <c r="AB27" i="4"/>
  <c r="Q27" i="4"/>
  <c r="AQ20" i="5"/>
  <c r="Z20" i="5"/>
  <c r="X20" i="5"/>
  <c r="Y20" i="5" s="1"/>
  <c r="AK20" i="5"/>
  <c r="AL20" i="5"/>
  <c r="AM20" i="5"/>
  <c r="AK27" i="4"/>
  <c r="AL27" i="4" s="1"/>
  <c r="AM27" i="4"/>
  <c r="AA22" i="5" l="1"/>
  <c r="U22" i="5"/>
  <c r="T22" i="5" s="1"/>
  <c r="S23" i="5" s="1"/>
  <c r="V22" i="5"/>
  <c r="I22" i="5"/>
  <c r="H22" i="5"/>
  <c r="G22" i="5" s="1"/>
  <c r="F23" i="5" s="1"/>
  <c r="N22" i="5"/>
  <c r="O22" i="5" s="1"/>
  <c r="AH22" i="5"/>
  <c r="AG22" i="5" s="1"/>
  <c r="AF23" i="5" s="1"/>
  <c r="AN22" i="5"/>
  <c r="AO22" i="5" s="1"/>
  <c r="AI22" i="5"/>
  <c r="F6" i="6"/>
  <c r="AF29" i="4"/>
  <c r="F4" i="6"/>
  <c r="F29" i="4"/>
  <c r="AD21" i="5"/>
  <c r="AB22" i="5"/>
  <c r="F5" i="6"/>
  <c r="S29" i="4"/>
  <c r="AQ21" i="5"/>
  <c r="Q21" i="5"/>
  <c r="G6" i="6"/>
  <c r="AM28" i="4"/>
  <c r="AK28" i="4"/>
  <c r="AL28" i="4"/>
  <c r="AO28" i="4"/>
  <c r="G4" i="6"/>
  <c r="K28" i="4"/>
  <c r="L28" i="4" s="1"/>
  <c r="M28" i="4"/>
  <c r="Z21" i="5"/>
  <c r="X21" i="5"/>
  <c r="Y21" i="5" s="1"/>
  <c r="G5" i="6"/>
  <c r="X28" i="4"/>
  <c r="Y28" i="4" s="1"/>
  <c r="Z28" i="4"/>
  <c r="O28" i="4"/>
  <c r="AK21" i="5"/>
  <c r="AL21" i="5" s="1"/>
  <c r="AM21" i="5"/>
  <c r="K21" i="5"/>
  <c r="M21" i="5"/>
  <c r="L21" i="5"/>
  <c r="AD27" i="4"/>
  <c r="AB28" i="4"/>
  <c r="I23" i="5" l="1"/>
  <c r="H23" i="5"/>
  <c r="G23" i="5" s="1"/>
  <c r="F24" i="5" s="1"/>
  <c r="N23" i="5"/>
  <c r="AQ22" i="5"/>
  <c r="AI23" i="5"/>
  <c r="AH23" i="5"/>
  <c r="AG23" i="5" s="1"/>
  <c r="AF24" i="5" s="1"/>
  <c r="AN23" i="5"/>
  <c r="AO23" i="5" s="1"/>
  <c r="Q22" i="5"/>
  <c r="O23" i="5"/>
  <c r="AA23" i="5"/>
  <c r="AB23" i="5" s="1"/>
  <c r="V23" i="5"/>
  <c r="U23" i="5"/>
  <c r="T23" i="5" s="1"/>
  <c r="S24" i="5" s="1"/>
  <c r="AA29" i="4"/>
  <c r="AB29" i="4" s="1"/>
  <c r="U29" i="4"/>
  <c r="T29" i="4" s="1"/>
  <c r="S30" i="4" s="1"/>
  <c r="V29" i="4"/>
  <c r="I29" i="4"/>
  <c r="H29" i="4"/>
  <c r="G29" i="4" s="1"/>
  <c r="F30" i="4" s="1"/>
  <c r="N29" i="4"/>
  <c r="AI29" i="4"/>
  <c r="AH29" i="4"/>
  <c r="AN29" i="4"/>
  <c r="AO29" i="4" s="1"/>
  <c r="AG29" i="4"/>
  <c r="AF30" i="4" s="1"/>
  <c r="AD22" i="5"/>
  <c r="K22" i="5"/>
  <c r="L22" i="5" s="1"/>
  <c r="M22" i="5"/>
  <c r="Z22" i="5"/>
  <c r="X22" i="5"/>
  <c r="Y22" i="5" s="1"/>
  <c r="AK22" i="5"/>
  <c r="AL22" i="5" s="1"/>
  <c r="AM22" i="5"/>
  <c r="C5" i="6"/>
  <c r="AD28" i="4"/>
  <c r="D5" i="6" s="1"/>
  <c r="C6" i="6"/>
  <c r="AQ28" i="4"/>
  <c r="D6" i="6" s="1"/>
  <c r="C4" i="6"/>
  <c r="Q28" i="4"/>
  <c r="D4" i="6" s="1"/>
  <c r="O29" i="4"/>
  <c r="AD23" i="5" l="1"/>
  <c r="H30" i="4"/>
  <c r="I30" i="4"/>
  <c r="G30" i="4"/>
  <c r="F31" i="4" s="1"/>
  <c r="N30" i="4"/>
  <c r="O30" i="4" s="1"/>
  <c r="AN24" i="5"/>
  <c r="AI24" i="5"/>
  <c r="AH24" i="5"/>
  <c r="AG24" i="5" s="1"/>
  <c r="AF25" i="5" s="1"/>
  <c r="AA30" i="4"/>
  <c r="AB30" i="4" s="1"/>
  <c r="V30" i="4"/>
  <c r="U30" i="4"/>
  <c r="T30" i="4" s="1"/>
  <c r="S31" i="4" s="1"/>
  <c r="AA24" i="5"/>
  <c r="AB24" i="5" s="1"/>
  <c r="U24" i="5"/>
  <c r="T24" i="5" s="1"/>
  <c r="S25" i="5" s="1"/>
  <c r="V24" i="5"/>
  <c r="AQ23" i="5"/>
  <c r="AO24" i="5"/>
  <c r="N24" i="5"/>
  <c r="I24" i="5"/>
  <c r="H24" i="5"/>
  <c r="G24" i="5" s="1"/>
  <c r="F25" i="5" s="1"/>
  <c r="AD29" i="4"/>
  <c r="AQ29" i="4"/>
  <c r="Z23" i="5"/>
  <c r="X23" i="5"/>
  <c r="Y23" i="5" s="1"/>
  <c r="Z29" i="4"/>
  <c r="X29" i="4"/>
  <c r="Y29" i="4" s="1"/>
  <c r="Q23" i="5"/>
  <c r="O24" i="5"/>
  <c r="AI30" i="4"/>
  <c r="AH30" i="4"/>
  <c r="AG30" i="4" s="1"/>
  <c r="AF31" i="4" s="1"/>
  <c r="AN30" i="4"/>
  <c r="AO30" i="4" s="1"/>
  <c r="AK29" i="4"/>
  <c r="AM29" i="4"/>
  <c r="AL29" i="4"/>
  <c r="Q29" i="4"/>
  <c r="AM23" i="5"/>
  <c r="AK23" i="5"/>
  <c r="AL23" i="5" s="1"/>
  <c r="K29" i="4"/>
  <c r="L29" i="4"/>
  <c r="M29" i="4"/>
  <c r="M23" i="5"/>
  <c r="K23" i="5"/>
  <c r="L23" i="5" s="1"/>
  <c r="AD24" i="5" l="1"/>
  <c r="AD30" i="4"/>
  <c r="AA31" i="4"/>
  <c r="AB31" i="4" s="1"/>
  <c r="U31" i="4"/>
  <c r="T31" i="4" s="1"/>
  <c r="S32" i="4" s="1"/>
  <c r="V31" i="4"/>
  <c r="AN25" i="5"/>
  <c r="AO25" i="5" s="1"/>
  <c r="AI25" i="5"/>
  <c r="AH25" i="5"/>
  <c r="AG25" i="5" s="1"/>
  <c r="AF26" i="5" s="1"/>
  <c r="N25" i="5"/>
  <c r="O25" i="5" s="1"/>
  <c r="I25" i="5"/>
  <c r="H25" i="5"/>
  <c r="G25" i="5" s="1"/>
  <c r="F26" i="5" s="1"/>
  <c r="AA25" i="5"/>
  <c r="AB25" i="5" s="1"/>
  <c r="V25" i="5"/>
  <c r="U25" i="5"/>
  <c r="T25" i="5" s="1"/>
  <c r="S26" i="5" s="1"/>
  <c r="AQ30" i="4"/>
  <c r="AN31" i="4"/>
  <c r="AO31" i="4" s="1"/>
  <c r="AI31" i="4"/>
  <c r="AH31" i="4"/>
  <c r="AG31" i="4" s="1"/>
  <c r="AF32" i="4" s="1"/>
  <c r="Q30" i="4"/>
  <c r="AQ24" i="5"/>
  <c r="Z30" i="4"/>
  <c r="X30" i="4"/>
  <c r="Y30" i="4" s="1"/>
  <c r="K30" i="4"/>
  <c r="M30" i="4"/>
  <c r="L30" i="4"/>
  <c r="AM30" i="4"/>
  <c r="AK30" i="4"/>
  <c r="AL30" i="4" s="1"/>
  <c r="Q24" i="5"/>
  <c r="AM24" i="5"/>
  <c r="AL24" i="5"/>
  <c r="AK24" i="5"/>
  <c r="M24" i="5"/>
  <c r="L24" i="5"/>
  <c r="K24" i="5"/>
  <c r="Z24" i="5"/>
  <c r="X24" i="5"/>
  <c r="Y24" i="5" s="1"/>
  <c r="I31" i="4"/>
  <c r="H31" i="4"/>
  <c r="G31" i="4" s="1"/>
  <c r="F32" i="4" s="1"/>
  <c r="N31" i="4"/>
  <c r="O31" i="4" s="1"/>
  <c r="AQ31" i="4" l="1"/>
  <c r="Q25" i="5"/>
  <c r="H32" i="4"/>
  <c r="G32" i="4" s="1"/>
  <c r="F33" i="4" s="1"/>
  <c r="N32" i="4"/>
  <c r="I32" i="4"/>
  <c r="N26" i="5"/>
  <c r="O26" i="5" s="1"/>
  <c r="I26" i="5"/>
  <c r="H26" i="5"/>
  <c r="G26" i="5" s="1"/>
  <c r="F27" i="5" s="1"/>
  <c r="AI32" i="4"/>
  <c r="AH32" i="4"/>
  <c r="AG32" i="4" s="1"/>
  <c r="AF33" i="4" s="1"/>
  <c r="AN32" i="4"/>
  <c r="AO32" i="4" s="1"/>
  <c r="AO26" i="5"/>
  <c r="AQ25" i="5"/>
  <c r="Q31" i="4"/>
  <c r="O32" i="4"/>
  <c r="U26" i="5"/>
  <c r="T26" i="5" s="1"/>
  <c r="S27" i="5" s="1"/>
  <c r="AA26" i="5"/>
  <c r="V26" i="5"/>
  <c r="AD25" i="5"/>
  <c r="AB26" i="5"/>
  <c r="AI26" i="5"/>
  <c r="AH26" i="5"/>
  <c r="AG26" i="5" s="1"/>
  <c r="AF27" i="5" s="1"/>
  <c r="AN26" i="5"/>
  <c r="AA32" i="4"/>
  <c r="AB32" i="4" s="1"/>
  <c r="U32" i="4"/>
  <c r="T32" i="4" s="1"/>
  <c r="S33" i="4" s="1"/>
  <c r="V32" i="4"/>
  <c r="AD31" i="4"/>
  <c r="Z25" i="5"/>
  <c r="X25" i="5"/>
  <c r="Y25" i="5" s="1"/>
  <c r="AK25" i="5"/>
  <c r="AL25" i="5" s="1"/>
  <c r="AM25" i="5"/>
  <c r="AM31" i="4"/>
  <c r="AK31" i="4"/>
  <c r="AL31" i="4" s="1"/>
  <c r="M25" i="5"/>
  <c r="K25" i="5"/>
  <c r="L25" i="5" s="1"/>
  <c r="Z31" i="4"/>
  <c r="X31" i="4"/>
  <c r="Y31" i="4" s="1"/>
  <c r="K31" i="4"/>
  <c r="L31" i="4" s="1"/>
  <c r="M31" i="4"/>
  <c r="AI33" i="4" l="1"/>
  <c r="AH33" i="4"/>
  <c r="AG33" i="4" s="1"/>
  <c r="AF34" i="4" s="1"/>
  <c r="AN33" i="4"/>
  <c r="I33" i="4"/>
  <c r="H33" i="4"/>
  <c r="G33" i="4" s="1"/>
  <c r="F34" i="4" s="1"/>
  <c r="N33" i="4"/>
  <c r="O33" i="4" s="1"/>
  <c r="AQ32" i="4"/>
  <c r="AO33" i="4"/>
  <c r="Q26" i="5"/>
  <c r="AD32" i="4"/>
  <c r="AB33" i="4"/>
  <c r="V27" i="5"/>
  <c r="U27" i="5"/>
  <c r="T27" i="5" s="1"/>
  <c r="S28" i="5" s="1"/>
  <c r="AA27" i="5"/>
  <c r="AB27" i="5" s="1"/>
  <c r="N27" i="5"/>
  <c r="O27" i="5" s="1"/>
  <c r="I27" i="5"/>
  <c r="H27" i="5"/>
  <c r="G27" i="5" s="1"/>
  <c r="F28" i="5" s="1"/>
  <c r="AA33" i="4"/>
  <c r="V33" i="4"/>
  <c r="U33" i="4"/>
  <c r="T33" i="4" s="1"/>
  <c r="S34" i="4" s="1"/>
  <c r="AI27" i="5"/>
  <c r="AH27" i="5"/>
  <c r="AG27" i="5" s="1"/>
  <c r="AF28" i="5" s="1"/>
  <c r="AN27" i="5"/>
  <c r="Q32" i="4"/>
  <c r="Z32" i="4"/>
  <c r="X32" i="4"/>
  <c r="Y32" i="4" s="1"/>
  <c r="AM32" i="4"/>
  <c r="AK32" i="4"/>
  <c r="AL32" i="4" s="1"/>
  <c r="AO27" i="5"/>
  <c r="AQ26" i="5"/>
  <c r="M26" i="5"/>
  <c r="K26" i="5"/>
  <c r="L26" i="5" s="1"/>
  <c r="M32" i="4"/>
  <c r="K32" i="4"/>
  <c r="L32" i="4" s="1"/>
  <c r="AD26" i="5"/>
  <c r="Z26" i="5"/>
  <c r="X26" i="5"/>
  <c r="Y26" i="5" s="1"/>
  <c r="AK26" i="5"/>
  <c r="AL26" i="5" s="1"/>
  <c r="AM26" i="5"/>
  <c r="V34" i="4" l="1"/>
  <c r="AA34" i="4"/>
  <c r="U34" i="4"/>
  <c r="T34" i="4" s="1"/>
  <c r="S35" i="4" s="1"/>
  <c r="AD27" i="5"/>
  <c r="Q27" i="5"/>
  <c r="V28" i="5"/>
  <c r="AA28" i="5"/>
  <c r="AB28" i="5" s="1"/>
  <c r="U28" i="5"/>
  <c r="T28" i="5" s="1"/>
  <c r="S29" i="5" s="1"/>
  <c r="AN28" i="5"/>
  <c r="AO28" i="5" s="1"/>
  <c r="AI28" i="5"/>
  <c r="AH28" i="5"/>
  <c r="AG28" i="5" s="1"/>
  <c r="AF29" i="5" s="1"/>
  <c r="N28" i="5"/>
  <c r="O28" i="5" s="1"/>
  <c r="I28" i="5"/>
  <c r="H28" i="5"/>
  <c r="G28" i="5" s="1"/>
  <c r="F29" i="5" s="1"/>
  <c r="Q33" i="4"/>
  <c r="I34" i="4"/>
  <c r="H34" i="4"/>
  <c r="N34" i="4"/>
  <c r="O34" i="4" s="1"/>
  <c r="G34" i="4"/>
  <c r="F35" i="4" s="1"/>
  <c r="AH34" i="4"/>
  <c r="AG34" i="4" s="1"/>
  <c r="AF35" i="4" s="1"/>
  <c r="AI34" i="4"/>
  <c r="AN34" i="4"/>
  <c r="AO34" i="4" s="1"/>
  <c r="AQ33" i="4"/>
  <c r="AM27" i="5"/>
  <c r="AK27" i="5"/>
  <c r="AL27" i="5" s="1"/>
  <c r="K33" i="4"/>
  <c r="L33" i="4"/>
  <c r="M33" i="4"/>
  <c r="AD33" i="4"/>
  <c r="AB34" i="4"/>
  <c r="M27" i="5"/>
  <c r="K27" i="5"/>
  <c r="L27" i="5" s="1"/>
  <c r="AK33" i="4"/>
  <c r="AL33" i="4"/>
  <c r="AM33" i="4"/>
  <c r="AQ27" i="5"/>
  <c r="Z27" i="5"/>
  <c r="X27" i="5"/>
  <c r="Y27" i="5" s="1"/>
  <c r="X33" i="4"/>
  <c r="Z33" i="4"/>
  <c r="Y33" i="4"/>
  <c r="AI35" i="4" l="1"/>
  <c r="AH35" i="4"/>
  <c r="AG35" i="4" s="1"/>
  <c r="AF36" i="4" s="1"/>
  <c r="AN35" i="4"/>
  <c r="AQ28" i="5"/>
  <c r="AO29" i="5"/>
  <c r="AA29" i="5"/>
  <c r="U29" i="5"/>
  <c r="T29" i="5" s="1"/>
  <c r="S30" i="5" s="1"/>
  <c r="V29" i="5"/>
  <c r="Q34" i="4"/>
  <c r="Q28" i="5"/>
  <c r="AD28" i="5"/>
  <c r="AB29" i="5"/>
  <c r="AQ34" i="4"/>
  <c r="AO35" i="4"/>
  <c r="N29" i="5"/>
  <c r="O29" i="5" s="1"/>
  <c r="I29" i="5"/>
  <c r="H29" i="5"/>
  <c r="G29" i="5"/>
  <c r="F30" i="5" s="1"/>
  <c r="AN29" i="5"/>
  <c r="AI29" i="5"/>
  <c r="AH29" i="5"/>
  <c r="AG29" i="5" s="1"/>
  <c r="AF30" i="5" s="1"/>
  <c r="AA35" i="4"/>
  <c r="U35" i="4"/>
  <c r="V35" i="4"/>
  <c r="T35" i="4"/>
  <c r="S36" i="4" s="1"/>
  <c r="AM34" i="4"/>
  <c r="AK34" i="4"/>
  <c r="AL34" i="4" s="1"/>
  <c r="N35" i="4"/>
  <c r="O35" i="4" s="1"/>
  <c r="I35" i="4"/>
  <c r="H35" i="4"/>
  <c r="G35" i="4" s="1"/>
  <c r="F36" i="4" s="1"/>
  <c r="AD34" i="4"/>
  <c r="AB35" i="4"/>
  <c r="AM28" i="5"/>
  <c r="AK28" i="5"/>
  <c r="AL28" i="5" s="1"/>
  <c r="X28" i="5"/>
  <c r="Z28" i="5"/>
  <c r="Y28" i="5"/>
  <c r="X34" i="4"/>
  <c r="Y34" i="4" s="1"/>
  <c r="Z34" i="4"/>
  <c r="M28" i="5"/>
  <c r="K28" i="5"/>
  <c r="L28" i="5" s="1"/>
  <c r="M34" i="4"/>
  <c r="K34" i="4"/>
  <c r="L34" i="4" s="1"/>
  <c r="N36" i="4" l="1"/>
  <c r="I36" i="4"/>
  <c r="H36" i="4"/>
  <c r="G36" i="4" s="1"/>
  <c r="F37" i="4" s="1"/>
  <c r="Q29" i="5"/>
  <c r="O36" i="4"/>
  <c r="Q35" i="4"/>
  <c r="AI36" i="4"/>
  <c r="AN36" i="4"/>
  <c r="AO36" i="4" s="1"/>
  <c r="AH36" i="4"/>
  <c r="AG36" i="4" s="1"/>
  <c r="AF37" i="4" s="1"/>
  <c r="U30" i="5"/>
  <c r="T30" i="5" s="1"/>
  <c r="S31" i="5" s="1"/>
  <c r="AA30" i="5"/>
  <c r="AB30" i="5" s="1"/>
  <c r="V30" i="5"/>
  <c r="AN30" i="5"/>
  <c r="AO30" i="5" s="1"/>
  <c r="AI30" i="5"/>
  <c r="AH30" i="5"/>
  <c r="AG30" i="5" s="1"/>
  <c r="AF31" i="5" s="1"/>
  <c r="M29" i="5"/>
  <c r="K29" i="5"/>
  <c r="L29" i="5" s="1"/>
  <c r="AQ35" i="4"/>
  <c r="M35" i="4"/>
  <c r="K35" i="4"/>
  <c r="L35" i="4" s="1"/>
  <c r="V36" i="4"/>
  <c r="U36" i="4"/>
  <c r="T36" i="4" s="1"/>
  <c r="S37" i="4" s="1"/>
  <c r="AA36" i="4"/>
  <c r="AB36" i="4" s="1"/>
  <c r="Z35" i="4"/>
  <c r="X35" i="4"/>
  <c r="Y35" i="4" s="1"/>
  <c r="AD29" i="5"/>
  <c r="N30" i="5"/>
  <c r="O30" i="5" s="1"/>
  <c r="I30" i="5"/>
  <c r="H30" i="5"/>
  <c r="G30" i="5" s="1"/>
  <c r="F31" i="5" s="1"/>
  <c r="AD35" i="4"/>
  <c r="X29" i="5"/>
  <c r="Y29" i="5" s="1"/>
  <c r="Z29" i="5"/>
  <c r="AQ29" i="5"/>
  <c r="AM29" i="5"/>
  <c r="AK29" i="5"/>
  <c r="AL29" i="5" s="1"/>
  <c r="AM35" i="4"/>
  <c r="AK35" i="4"/>
  <c r="AL35" i="4" s="1"/>
  <c r="Q30" i="5" l="1"/>
  <c r="AQ30" i="5"/>
  <c r="N31" i="5"/>
  <c r="O31" i="5" s="1"/>
  <c r="I31" i="5"/>
  <c r="H31" i="5"/>
  <c r="G31" i="5" s="1"/>
  <c r="F32" i="5" s="1"/>
  <c r="AD36" i="4"/>
  <c r="AD30" i="5"/>
  <c r="AB31" i="5"/>
  <c r="AI37" i="4"/>
  <c r="AH37" i="4"/>
  <c r="AG37" i="4" s="1"/>
  <c r="AF38" i="4" s="1"/>
  <c r="AN37" i="4"/>
  <c r="AO37" i="4" s="1"/>
  <c r="U37" i="4"/>
  <c r="T37" i="4" s="1"/>
  <c r="S38" i="4" s="1"/>
  <c r="AA37" i="4"/>
  <c r="AB37" i="4" s="1"/>
  <c r="V37" i="4"/>
  <c r="AN31" i="5"/>
  <c r="AO31" i="5" s="1"/>
  <c r="AI31" i="5"/>
  <c r="AH31" i="5"/>
  <c r="AG31" i="5" s="1"/>
  <c r="AF32" i="5" s="1"/>
  <c r="AA31" i="5"/>
  <c r="V31" i="5"/>
  <c r="U31" i="5"/>
  <c r="T31" i="5" s="1"/>
  <c r="S32" i="5" s="1"/>
  <c r="AQ36" i="4"/>
  <c r="I37" i="4"/>
  <c r="N37" i="4"/>
  <c r="O37" i="4" s="1"/>
  <c r="H37" i="4"/>
  <c r="G37" i="4" s="1"/>
  <c r="F38" i="4" s="1"/>
  <c r="Z30" i="5"/>
  <c r="X30" i="5"/>
  <c r="Y30" i="5" s="1"/>
  <c r="M30" i="5"/>
  <c r="K30" i="5"/>
  <c r="L30" i="5" s="1"/>
  <c r="AM30" i="5"/>
  <c r="AK30" i="5"/>
  <c r="AL30" i="5" s="1"/>
  <c r="X36" i="4"/>
  <c r="Y36" i="4"/>
  <c r="Z36" i="4"/>
  <c r="Q36" i="4"/>
  <c r="AK36" i="4"/>
  <c r="AL36" i="4" s="1"/>
  <c r="AM36" i="4"/>
  <c r="M36" i="4"/>
  <c r="K36" i="4"/>
  <c r="L36" i="4" s="1"/>
  <c r="AA32" i="5" l="1"/>
  <c r="H13" i="6" s="1"/>
  <c r="V32" i="5"/>
  <c r="U32" i="5"/>
  <c r="T32" i="5" s="1"/>
  <c r="AN32" i="5"/>
  <c r="H14" i="6" s="1"/>
  <c r="AI32" i="5"/>
  <c r="AH32" i="5"/>
  <c r="AG32" i="5" s="1"/>
  <c r="AA38" i="4"/>
  <c r="AB38" i="4" s="1"/>
  <c r="V38" i="4"/>
  <c r="U38" i="4"/>
  <c r="T38" i="4" s="1"/>
  <c r="S39" i="4" s="1"/>
  <c r="H38" i="4"/>
  <c r="G38" i="4"/>
  <c r="F39" i="4" s="1"/>
  <c r="N38" i="4"/>
  <c r="O38" i="4" s="1"/>
  <c r="I38" i="4"/>
  <c r="AQ31" i="5"/>
  <c r="AO32" i="5"/>
  <c r="AQ37" i="4"/>
  <c r="AO38" i="4"/>
  <c r="Q37" i="4"/>
  <c r="AD37" i="4"/>
  <c r="AH38" i="4"/>
  <c r="AG38" i="4" s="1"/>
  <c r="AF39" i="4" s="1"/>
  <c r="AN38" i="4"/>
  <c r="AI38" i="4"/>
  <c r="N32" i="5"/>
  <c r="H12" i="6" s="1"/>
  <c r="I32" i="5"/>
  <c r="H32" i="5"/>
  <c r="G32" i="5" s="1"/>
  <c r="Q31" i="5"/>
  <c r="O32" i="5"/>
  <c r="X37" i="4"/>
  <c r="Z37" i="4"/>
  <c r="Y37" i="4"/>
  <c r="K37" i="4"/>
  <c r="M37" i="4"/>
  <c r="L37" i="4"/>
  <c r="Z31" i="5"/>
  <c r="X31" i="5"/>
  <c r="Y31" i="5" s="1"/>
  <c r="AK37" i="4"/>
  <c r="AL37" i="4" s="1"/>
  <c r="AM37" i="4"/>
  <c r="M31" i="5"/>
  <c r="K31" i="5"/>
  <c r="L31" i="5" s="1"/>
  <c r="AM31" i="5"/>
  <c r="AK31" i="5"/>
  <c r="AL31" i="5" s="1"/>
  <c r="AB32" i="5"/>
  <c r="AD31" i="5"/>
  <c r="Q38" i="4" l="1"/>
  <c r="F12" i="6"/>
  <c r="C20" i="6"/>
  <c r="D20" i="6"/>
  <c r="AI39" i="4"/>
  <c r="AN39" i="4"/>
  <c r="AO39" i="4" s="1"/>
  <c r="AH39" i="4"/>
  <c r="AG39" i="4" s="1"/>
  <c r="AF40" i="4" s="1"/>
  <c r="AD38" i="4"/>
  <c r="F13" i="6"/>
  <c r="D21" i="6"/>
  <c r="C21" i="6"/>
  <c r="V39" i="4"/>
  <c r="U39" i="4"/>
  <c r="T39" i="4" s="1"/>
  <c r="S40" i="4" s="1"/>
  <c r="AA39" i="4"/>
  <c r="AB39" i="4" s="1"/>
  <c r="F14" i="6"/>
  <c r="D22" i="6"/>
  <c r="C22" i="6"/>
  <c r="AQ32" i="5"/>
  <c r="D14" i="6" s="1"/>
  <c r="C14" i="6"/>
  <c r="B22" i="6"/>
  <c r="X38" i="4"/>
  <c r="Y38" i="4" s="1"/>
  <c r="Z38" i="4"/>
  <c r="AQ38" i="4"/>
  <c r="M38" i="4"/>
  <c r="K38" i="4"/>
  <c r="L38" i="4" s="1"/>
  <c r="I39" i="4"/>
  <c r="N39" i="4"/>
  <c r="O39" i="4" s="1"/>
  <c r="H39" i="4"/>
  <c r="G39" i="4" s="1"/>
  <c r="F40" i="4" s="1"/>
  <c r="C13" i="6"/>
  <c r="AD32" i="5"/>
  <c r="D13" i="6" s="1"/>
  <c r="B21" i="6"/>
  <c r="AL38" i="4"/>
  <c r="AM38" i="4"/>
  <c r="AK38" i="4"/>
  <c r="AM32" i="5"/>
  <c r="AK32" i="5"/>
  <c r="AL32" i="5" s="1"/>
  <c r="G14" i="6"/>
  <c r="C12" i="6"/>
  <c r="Q32" i="5"/>
  <c r="D12" i="6" s="1"/>
  <c r="B20" i="6"/>
  <c r="Z32" i="5"/>
  <c r="X32" i="5"/>
  <c r="Y32" i="5" s="1"/>
  <c r="G13" i="6"/>
  <c r="G12" i="6"/>
  <c r="M32" i="5"/>
  <c r="K32" i="5"/>
  <c r="L32" i="5" s="1"/>
  <c r="AA40" i="4" l="1"/>
  <c r="V40" i="4"/>
  <c r="U40" i="4"/>
  <c r="T40" i="4" s="1"/>
  <c r="S41" i="4" s="1"/>
  <c r="Q39" i="4"/>
  <c r="AD39" i="4"/>
  <c r="AB40" i="4"/>
  <c r="N40" i="4"/>
  <c r="O40" i="4" s="1"/>
  <c r="I40" i="4"/>
  <c r="H40" i="4"/>
  <c r="G40" i="4" s="1"/>
  <c r="F41" i="4" s="1"/>
  <c r="AI40" i="4"/>
  <c r="AH40" i="4"/>
  <c r="AG40" i="4" s="1"/>
  <c r="AF41" i="4" s="1"/>
  <c r="AN40" i="4"/>
  <c r="AO40" i="4" s="1"/>
  <c r="AQ39" i="4"/>
  <c r="Z39" i="4"/>
  <c r="Y39" i="4"/>
  <c r="X39" i="4"/>
  <c r="AM39" i="4"/>
  <c r="AK39" i="4"/>
  <c r="AL39" i="4" s="1"/>
  <c r="M39" i="4"/>
  <c r="K39" i="4"/>
  <c r="L39" i="4" s="1"/>
  <c r="AI41" i="4" l="1"/>
  <c r="AN41" i="4"/>
  <c r="AH41" i="4"/>
  <c r="AG41" i="4" s="1"/>
  <c r="AF42" i="4" s="1"/>
  <c r="Q40" i="4"/>
  <c r="AQ40" i="4"/>
  <c r="AO41" i="4"/>
  <c r="I41" i="4"/>
  <c r="H41" i="4"/>
  <c r="G41" i="4" s="1"/>
  <c r="F42" i="4" s="1"/>
  <c r="N41" i="4"/>
  <c r="O41" i="4" s="1"/>
  <c r="AA41" i="4"/>
  <c r="AB41" i="4" s="1"/>
  <c r="V41" i="4"/>
  <c r="U41" i="4"/>
  <c r="T41" i="4" s="1"/>
  <c r="S42" i="4" s="1"/>
  <c r="AM40" i="4"/>
  <c r="AK40" i="4"/>
  <c r="AL40" i="4" s="1"/>
  <c r="M40" i="4"/>
  <c r="K40" i="4"/>
  <c r="L40" i="4" s="1"/>
  <c r="AD40" i="4"/>
  <c r="Z40" i="4"/>
  <c r="X40" i="4"/>
  <c r="Y40" i="4" s="1"/>
  <c r="V42" i="4" l="1"/>
  <c r="U42" i="4"/>
  <c r="T42" i="4" s="1"/>
  <c r="S43" i="4" s="1"/>
  <c r="AA42" i="4"/>
  <c r="H42" i="4"/>
  <c r="G42" i="4" s="1"/>
  <c r="F43" i="4" s="1"/>
  <c r="I42" i="4"/>
  <c r="N42" i="4"/>
  <c r="O42" i="4" s="1"/>
  <c r="AB42" i="4"/>
  <c r="AD41" i="4"/>
  <c r="Q41" i="4"/>
  <c r="AH42" i="4"/>
  <c r="AG42" i="4" s="1"/>
  <c r="AF43" i="4" s="1"/>
  <c r="AN42" i="4"/>
  <c r="AO42" i="4" s="1"/>
  <c r="AI42" i="4"/>
  <c r="K41" i="4"/>
  <c r="L41" i="4"/>
  <c r="M41" i="4"/>
  <c r="X41" i="4"/>
  <c r="Y41" i="4" s="1"/>
  <c r="Z41" i="4"/>
  <c r="AQ41" i="4"/>
  <c r="AK41" i="4"/>
  <c r="AM41" i="4"/>
  <c r="AL41" i="4"/>
  <c r="AI43" i="4" l="1"/>
  <c r="AH43" i="4"/>
  <c r="AG43" i="4" s="1"/>
  <c r="AF44" i="4" s="1"/>
  <c r="AN43" i="4"/>
  <c r="AO43" i="4" s="1"/>
  <c r="AQ42" i="4"/>
  <c r="Q42" i="4"/>
  <c r="I43" i="4"/>
  <c r="H43" i="4"/>
  <c r="G43" i="4" s="1"/>
  <c r="F44" i="4" s="1"/>
  <c r="N43" i="4"/>
  <c r="O43" i="4" s="1"/>
  <c r="V43" i="4"/>
  <c r="AA43" i="4"/>
  <c r="AB43" i="4" s="1"/>
  <c r="U43" i="4"/>
  <c r="T43" i="4" s="1"/>
  <c r="S44" i="4" s="1"/>
  <c r="K42" i="4"/>
  <c r="L42" i="4" s="1"/>
  <c r="M42" i="4"/>
  <c r="AL42" i="4"/>
  <c r="AK42" i="4"/>
  <c r="AM42" i="4"/>
  <c r="AD42" i="4"/>
  <c r="Z42" i="4"/>
  <c r="X42" i="4"/>
  <c r="Y42" i="4" s="1"/>
  <c r="U44" i="4" l="1"/>
  <c r="T44" i="4" s="1"/>
  <c r="S45" i="4" s="1"/>
  <c r="AA44" i="4"/>
  <c r="AB44" i="4" s="1"/>
  <c r="V44" i="4"/>
  <c r="AD43" i="4"/>
  <c r="AQ43" i="4"/>
  <c r="Q43" i="4"/>
  <c r="I44" i="4"/>
  <c r="N44" i="4"/>
  <c r="O44" i="4" s="1"/>
  <c r="H44" i="4"/>
  <c r="G44" i="4" s="1"/>
  <c r="F45" i="4" s="1"/>
  <c r="AN44" i="4"/>
  <c r="AO44" i="4" s="1"/>
  <c r="AH44" i="4"/>
  <c r="AG44" i="4" s="1"/>
  <c r="AF45" i="4" s="1"/>
  <c r="AI44" i="4"/>
  <c r="Z43" i="4"/>
  <c r="Y43" i="4"/>
  <c r="X43" i="4"/>
  <c r="M43" i="4"/>
  <c r="K43" i="4"/>
  <c r="L43" i="4" s="1"/>
  <c r="AM43" i="4"/>
  <c r="AL43" i="4"/>
  <c r="AK43" i="4"/>
  <c r="AI45" i="4" l="1"/>
  <c r="AH45" i="4"/>
  <c r="AG45" i="4" s="1"/>
  <c r="AF46" i="4" s="1"/>
  <c r="AN45" i="4"/>
  <c r="AO45" i="4" s="1"/>
  <c r="AD44" i="4"/>
  <c r="AQ44" i="4"/>
  <c r="N45" i="4"/>
  <c r="O45" i="4" s="1"/>
  <c r="H45" i="4"/>
  <c r="G45" i="4" s="1"/>
  <c r="F46" i="4" s="1"/>
  <c r="I45" i="4"/>
  <c r="Q44" i="4"/>
  <c r="AA45" i="4"/>
  <c r="AB45" i="4" s="1"/>
  <c r="V45" i="4"/>
  <c r="U45" i="4"/>
  <c r="T45" i="4" s="1"/>
  <c r="S46" i="4" s="1"/>
  <c r="AM44" i="4"/>
  <c r="AL44" i="4"/>
  <c r="AK44" i="4"/>
  <c r="Z44" i="4"/>
  <c r="X44" i="4"/>
  <c r="Y44" i="4" s="1"/>
  <c r="M44" i="4"/>
  <c r="K44" i="4"/>
  <c r="L44" i="4" s="1"/>
  <c r="U46" i="4" l="1"/>
  <c r="AA46" i="4"/>
  <c r="V46" i="4"/>
  <c r="T46" i="4"/>
  <c r="S47" i="4" s="1"/>
  <c r="Q45" i="4"/>
  <c r="AD45" i="4"/>
  <c r="AB46" i="4"/>
  <c r="N46" i="4"/>
  <c r="O46" i="4" s="1"/>
  <c r="H46" i="4"/>
  <c r="G46" i="4" s="1"/>
  <c r="F47" i="4" s="1"/>
  <c r="I46" i="4"/>
  <c r="AQ45" i="4"/>
  <c r="AH46" i="4"/>
  <c r="AG46" i="4" s="1"/>
  <c r="AF47" i="4" s="1"/>
  <c r="AN46" i="4"/>
  <c r="AO46" i="4" s="1"/>
  <c r="AI46" i="4"/>
  <c r="K45" i="4"/>
  <c r="L45" i="4"/>
  <c r="M45" i="4"/>
  <c r="Z45" i="4"/>
  <c r="X45" i="4"/>
  <c r="Y45" i="4" s="1"/>
  <c r="AK45" i="4"/>
  <c r="AM45" i="4"/>
  <c r="AL45" i="4"/>
  <c r="AQ46" i="4" l="1"/>
  <c r="N47" i="4"/>
  <c r="I47" i="4"/>
  <c r="H47" i="4"/>
  <c r="G47" i="4" s="1"/>
  <c r="F48" i="4" s="1"/>
  <c r="AI47" i="4"/>
  <c r="AH47" i="4"/>
  <c r="AG47" i="4" s="1"/>
  <c r="AF48" i="4" s="1"/>
  <c r="AN47" i="4"/>
  <c r="AO47" i="4" s="1"/>
  <c r="Q46" i="4"/>
  <c r="O47" i="4"/>
  <c r="X46" i="4"/>
  <c r="Y46" i="4" s="1"/>
  <c r="Z46" i="4"/>
  <c r="AM46" i="4"/>
  <c r="AK46" i="4"/>
  <c r="AL46" i="4" s="1"/>
  <c r="K46" i="4"/>
  <c r="L46" i="4" s="1"/>
  <c r="M46" i="4"/>
  <c r="AD46" i="4"/>
  <c r="V47" i="4"/>
  <c r="AA47" i="4"/>
  <c r="AB47" i="4" s="1"/>
  <c r="U47" i="4"/>
  <c r="T47" i="4" s="1"/>
  <c r="S48" i="4" s="1"/>
  <c r="AD47" i="4" l="1"/>
  <c r="AQ47" i="4"/>
  <c r="AA48" i="4"/>
  <c r="AB48" i="4" s="1"/>
  <c r="V48" i="4"/>
  <c r="U48" i="4"/>
  <c r="T48" i="4" s="1"/>
  <c r="S49" i="4" s="1"/>
  <c r="AI48" i="4"/>
  <c r="AN48" i="4"/>
  <c r="AO48" i="4" s="1"/>
  <c r="AH48" i="4"/>
  <c r="AG48" i="4" s="1"/>
  <c r="AF49" i="4" s="1"/>
  <c r="N48" i="4"/>
  <c r="O48" i="4" s="1"/>
  <c r="I48" i="4"/>
  <c r="H48" i="4"/>
  <c r="G48" i="4" s="1"/>
  <c r="F49" i="4" s="1"/>
  <c r="Z47" i="4"/>
  <c r="X47" i="4"/>
  <c r="Y47" i="4" s="1"/>
  <c r="Q47" i="4"/>
  <c r="AM47" i="4"/>
  <c r="AK47" i="4"/>
  <c r="AL47" i="4" s="1"/>
  <c r="M47" i="4"/>
  <c r="K47" i="4"/>
  <c r="L47" i="4" s="1"/>
  <c r="N49" i="4" l="1"/>
  <c r="H49" i="4"/>
  <c r="G49" i="4" s="1"/>
  <c r="F50" i="4" s="1"/>
  <c r="I49" i="4"/>
  <c r="AQ48" i="4"/>
  <c r="O49" i="4"/>
  <c r="Q48" i="4"/>
  <c r="AI49" i="4"/>
  <c r="AH49" i="4"/>
  <c r="AG49" i="4" s="1"/>
  <c r="AF50" i="4" s="1"/>
  <c r="AN49" i="4"/>
  <c r="AO49" i="4" s="1"/>
  <c r="V49" i="4"/>
  <c r="U49" i="4"/>
  <c r="T49" i="4" s="1"/>
  <c r="S50" i="4" s="1"/>
  <c r="AA49" i="4"/>
  <c r="AB49" i="4" s="1"/>
  <c r="AD48" i="4"/>
  <c r="X48" i="4"/>
  <c r="Y48" i="4" s="1"/>
  <c r="Z48" i="4"/>
  <c r="M48" i="4"/>
  <c r="K48" i="4"/>
  <c r="L48" i="4" s="1"/>
  <c r="AM48" i="4"/>
  <c r="AK48" i="4"/>
  <c r="AL48" i="4" s="1"/>
  <c r="U50" i="4" l="1"/>
  <c r="T50" i="4" s="1"/>
  <c r="S51" i="4" s="1"/>
  <c r="V50" i="4"/>
  <c r="AA50" i="4"/>
  <c r="AB50" i="4" s="1"/>
  <c r="AD49" i="4"/>
  <c r="AQ49" i="4"/>
  <c r="H50" i="4"/>
  <c r="G50" i="4" s="1"/>
  <c r="F51" i="4" s="1"/>
  <c r="I50" i="4"/>
  <c r="N50" i="4"/>
  <c r="O50" i="4" s="1"/>
  <c r="AH50" i="4"/>
  <c r="AG50" i="4" s="1"/>
  <c r="AF51" i="4" s="1"/>
  <c r="AI50" i="4"/>
  <c r="AN50" i="4"/>
  <c r="AO50" i="4" s="1"/>
  <c r="Q49" i="4"/>
  <c r="L49" i="4"/>
  <c r="M49" i="4"/>
  <c r="K49" i="4"/>
  <c r="X49" i="4"/>
  <c r="Y49" i="4"/>
  <c r="Z49" i="4"/>
  <c r="AK49" i="4"/>
  <c r="AL49" i="4"/>
  <c r="AM49" i="4"/>
  <c r="AN51" i="4" l="1"/>
  <c r="AH51" i="4"/>
  <c r="AG51" i="4" s="1"/>
  <c r="AI51" i="4"/>
  <c r="Q50" i="4"/>
  <c r="AD50" i="4"/>
  <c r="AO51" i="4"/>
  <c r="AQ51" i="4" s="1"/>
  <c r="AQ50" i="4"/>
  <c r="N51" i="4"/>
  <c r="O51" i="4" s="1"/>
  <c r="Q51" i="4" s="1"/>
  <c r="H51" i="4"/>
  <c r="G51" i="4" s="1"/>
  <c r="I51" i="4"/>
  <c r="V51" i="4"/>
  <c r="U51" i="4"/>
  <c r="T51" i="4" s="1"/>
  <c r="AA51" i="4"/>
  <c r="AB51" i="4" s="1"/>
  <c r="AD51" i="4" s="1"/>
  <c r="AK50" i="4"/>
  <c r="AL50" i="4" s="1"/>
  <c r="AM50" i="4"/>
  <c r="M50" i="4"/>
  <c r="K50" i="4"/>
  <c r="L50" i="4" s="1"/>
  <c r="Z50" i="4"/>
  <c r="X50" i="4"/>
  <c r="Y50" i="4" s="1"/>
  <c r="Z51" i="4" l="1"/>
  <c r="X51" i="4"/>
  <c r="Y51" i="4" s="1"/>
  <c r="K51" i="4"/>
  <c r="L51" i="4" s="1"/>
  <c r="M51" i="4"/>
  <c r="AM51" i="4"/>
  <c r="AK51" i="4"/>
  <c r="AL51" i="4" s="1"/>
</calcChain>
</file>

<file path=xl/sharedStrings.xml><?xml version="1.0" encoding="utf-8"?>
<sst xmlns="http://schemas.openxmlformats.org/spreadsheetml/2006/main" count="269" uniqueCount="170">
  <si>
    <t>Dungeon Builder Option A archetype simulator</t>
  </si>
  <si>
    <t>How to use</t>
  </si>
  <si>
    <t>1) Go to the Assumptions sheet to review global tuning knobs. Cells with yellow fill are intended to be edited.</t>
  </si>
  <si>
    <t>2) Go to the Archetypes sheet and edit the yellow cells for each archetype. Three archetypes are prefilled: Safe, Balanced, Lethal.</t>
  </si>
  <si>
    <t>3) Use Simulation_48h for hour by hour detail through 48 hours. Use Simulation_7d_6h for the full week at 6 hour steps. Both use Hours online per day from Assumptions.</t>
  </si>
  <si>
    <t>4) Review the KPI sheet for 24 hour, 3 day, and 7 day snapshots plus warning flags.</t>
  </si>
  <si>
    <t>5) If values behave strangely, adjust one knob at a time. The goal is to make optimization matter while keeping heat and upkeep as real pressure.</t>
  </si>
  <si>
    <t>Global assumptions and tuning knobs</t>
  </si>
  <si>
    <t>ECONOMY</t>
  </si>
  <si>
    <t>Core mana per level per minute</t>
  </si>
  <si>
    <t>CoreLevel*2</t>
  </si>
  <si>
    <t>Floor mana per floor per minute</t>
  </si>
  <si>
    <t>ActiveFloors*1</t>
  </si>
  <si>
    <t>Skill spill rate (online)</t>
  </si>
  <si>
    <t>Damage*rate</t>
  </si>
  <si>
    <t>Skill spill retention (offline)</t>
  </si>
  <si>
    <t>Start value, research can raise</t>
  </si>
  <si>
    <t>Negative heat mana efficiency</t>
  </si>
  <si>
    <t>Applies when heat &lt; 0</t>
  </si>
  <si>
    <t>Negative heat death mana factor</t>
  </si>
  <si>
    <t>Multiplier on death mana when heat &lt; 0</t>
  </si>
  <si>
    <t>Hours online per day</t>
  </si>
  <si>
    <t>For the schedule in Simulation</t>
  </si>
  <si>
    <t>Spend percent of usable mana per hour (default)</t>
  </si>
  <si>
    <t>Used if archetype does not override</t>
  </si>
  <si>
    <t/>
  </si>
  <si>
    <t>ELITES</t>
  </si>
  <si>
    <t>Base elite party chance</t>
  </si>
  <si>
    <t>Baseline per party</t>
  </si>
  <si>
    <t>Elite chance rating slope</t>
  </si>
  <si>
    <t>Additional chance per rating point</t>
  </si>
  <si>
    <t>No low level monsters bonus</t>
  </si>
  <si>
    <t>Added if NoLowLevelMonsters is Yes</t>
  </si>
  <si>
    <t>Elite chance cap</t>
  </si>
  <si>
    <t>Maximum probability</t>
  </si>
  <si>
    <t>Elite multiplier (death and spill)</t>
  </si>
  <si>
    <t>Locked value</t>
  </si>
  <si>
    <t>HEAT</t>
  </si>
  <si>
    <t>Heat min cap</t>
  </si>
  <si>
    <t>Locked, configurable later</t>
  </si>
  <si>
    <t>Heat gain per normal adventurer death</t>
  </si>
  <si>
    <t>Heat gain per elite adventurer death</t>
  </si>
  <si>
    <t>Multi death bonus heat per party</t>
  </si>
  <si>
    <t>Expected bonus heat per party</t>
  </si>
  <si>
    <t>Passive heat decay per hour (baseline)</t>
  </si>
  <si>
    <t>Always applies</t>
  </si>
  <si>
    <t>Passive heat decay multiplier (research)</t>
  </si>
  <si>
    <t>Set above 1 for research</t>
  </si>
  <si>
    <t>Survival cooling base per full survive run</t>
  </si>
  <si>
    <t>Before depth and party size scaling</t>
  </si>
  <si>
    <t>Survival cooling depth slope</t>
  </si>
  <si>
    <t>Per floor entered</t>
  </si>
  <si>
    <t>Survival cooling party size penalty slope</t>
  </si>
  <si>
    <t>Larger party reduces cooling</t>
  </si>
  <si>
    <t>Loot cooling per 100 loot value extracted</t>
  </si>
  <si>
    <t>Heat reduced per 100 value</t>
  </si>
  <si>
    <t>Heat traffic penalty slope</t>
  </si>
  <si>
    <t>Traffic multiplier = 1 - slope*(heat/50), min 0.10</t>
  </si>
  <si>
    <t>Negative heat traffic bonus at min heat</t>
  </si>
  <si>
    <t>Traffic boost when heat = min cap</t>
  </si>
  <si>
    <t>Negative heat level reduction at min heat</t>
  </si>
  <si>
    <t>Percent reduction to adventurer level when heat = min cap</t>
  </si>
  <si>
    <t>Peace efficiency</t>
  </si>
  <si>
    <t>Heat 0 to 9</t>
  </si>
  <si>
    <t>Notice efficiency</t>
  </si>
  <si>
    <t>Heat 10 to 24</t>
  </si>
  <si>
    <t>Concern efficiency</t>
  </si>
  <si>
    <t>Heat 25 to 49</t>
  </si>
  <si>
    <t>UPKEEP</t>
  </si>
  <si>
    <t>Upkeep base per monster</t>
  </si>
  <si>
    <t>Reserved mana base</t>
  </si>
  <si>
    <t>Upkeep level slope</t>
  </si>
  <si>
    <t>Linear part before threshold</t>
  </si>
  <si>
    <t>Upkeep threshold level</t>
  </si>
  <si>
    <t>After this, exponential growth applies</t>
  </si>
  <si>
    <t>Upkeep exponential rate</t>
  </si>
  <si>
    <t>Per level above threshold</t>
  </si>
  <si>
    <t>Tier 1 multiplier</t>
  </si>
  <si>
    <t>Evolution tier 1</t>
  </si>
  <si>
    <t>Tier 2 multiplier</t>
  </si>
  <si>
    <t>Evolution tier 2</t>
  </si>
  <si>
    <t>Tier 3 multiplier</t>
  </si>
  <si>
    <t>Evolution tier 3</t>
  </si>
  <si>
    <t>Reserved mana safety buffer</t>
  </si>
  <si>
    <t>Optional extra reserved mana</t>
  </si>
  <si>
    <t>LOOT VALUE</t>
  </si>
  <si>
    <t>Tier base value (tier 1)</t>
  </si>
  <si>
    <t>Value for tier index 1</t>
  </si>
  <si>
    <t>Tier growth factor</t>
  </si>
  <si>
    <t>Value multiplier per tier index</t>
  </si>
  <si>
    <t>Rarity multipliers table below</t>
  </si>
  <si>
    <t>Rarity</t>
  </si>
  <si>
    <t>Multiplier</t>
  </si>
  <si>
    <t>Common</t>
  </si>
  <si>
    <t>Uncommon</t>
  </si>
  <si>
    <t>Rare</t>
  </si>
  <si>
    <t>Elite</t>
  </si>
  <si>
    <t>Epic</t>
  </si>
  <si>
    <t>Legendary</t>
  </si>
  <si>
    <t>Archetypes side by side inputs and derived values</t>
  </si>
  <si>
    <t>Input or output</t>
  </si>
  <si>
    <t>Safe</t>
  </si>
  <si>
    <t>Balanced</t>
  </si>
  <si>
    <t>Lethal</t>
  </si>
  <si>
    <t>Stage (Early or Mid)</t>
  </si>
  <si>
    <t>Early</t>
  </si>
  <si>
    <t>Mid</t>
  </si>
  <si>
    <t>Core level</t>
  </si>
  <si>
    <t>Active floors</t>
  </si>
  <si>
    <t>Starting total mana</t>
  </si>
  <si>
    <t>Starting heat</t>
  </si>
  <si>
    <t>Dungeon rating (from 25 floor model)</t>
  </si>
  <si>
    <t>No low level monsters (Yes or No)</t>
  </si>
  <si>
    <t>No</t>
  </si>
  <si>
    <t>Yes</t>
  </si>
  <si>
    <t>Base parties per hour</t>
  </si>
  <si>
    <t>Average party size</t>
  </si>
  <si>
    <t>Average adventurer level</t>
  </si>
  <si>
    <t>Average depth reached (highest floor entered)</t>
  </si>
  <si>
    <t>Deaths per party (expected)</t>
  </si>
  <si>
    <t>Full party survival rate</t>
  </si>
  <si>
    <t>Tradeable loot extraction rate</t>
  </si>
  <si>
    <t>Loot tier index</t>
  </si>
  <si>
    <t>Loot rarity</t>
  </si>
  <si>
    <t>Damage per party (normal)</t>
  </si>
  <si>
    <t>Elite party damage multiplier</t>
  </si>
  <si>
    <t>Elite party deaths multiplier</t>
  </si>
  <si>
    <t>Monster count</t>
  </si>
  <si>
    <t>Average monster level</t>
  </si>
  <si>
    <t>Average evolution tier (1 to 3)</t>
  </si>
  <si>
    <t>Other reserved mana (loot, traps, etc.)</t>
  </si>
  <si>
    <t>Spend percent of usable mana per hour</t>
  </si>
  <si>
    <t>Derived outputs</t>
  </si>
  <si>
    <t>Elite party chance</t>
  </si>
  <si>
    <t>Loot value per extracted run</t>
  </si>
  <si>
    <t>Monster upkeep reserved mana</t>
  </si>
  <si>
    <t>Total reserved mana</t>
  </si>
  <si>
    <t>Simulation_48h simulation for three archetypes</t>
  </si>
  <si>
    <t>Step start hour</t>
  </si>
  <si>
    <t>Day</t>
  </si>
  <si>
    <t>Hour in day</t>
  </si>
  <si>
    <t>Online (1 or 0)</t>
  </si>
  <si>
    <t>Step hours</t>
  </si>
  <si>
    <t>Heat start</t>
  </si>
  <si>
    <t>Heat end</t>
  </si>
  <si>
    <t>Heat change</t>
  </si>
  <si>
    <t>Parties in step</t>
  </si>
  <si>
    <t>Elite chance</t>
  </si>
  <si>
    <t>Elite parties in step</t>
  </si>
  <si>
    <t>Deaths in step</t>
  </si>
  <si>
    <t>Full survive runs in step</t>
  </si>
  <si>
    <t>Mana gain in step</t>
  </si>
  <si>
    <t>Total mana end</t>
  </si>
  <si>
    <t>Reserved mana</t>
  </si>
  <si>
    <t>Usable mana end</t>
  </si>
  <si>
    <t>Simulation_7d_6h simulation for three archetypes</t>
  </si>
  <si>
    <t>Key snapshots and flags</t>
  </si>
  <si>
    <t>Snapshot hour</t>
  </si>
  <si>
    <t>Archetype</t>
  </si>
  <si>
    <t>Total mana</t>
  </si>
  <si>
    <t>Usable mana</t>
  </si>
  <si>
    <t>Heat</t>
  </si>
  <si>
    <t>Parties (in window)</t>
  </si>
  <si>
    <t>Mana gain (in window)</t>
  </si>
  <si>
    <t>Flags (based on 7 day 6 hour simulation)</t>
  </si>
  <si>
    <t>Reserved exceeds total at any point</t>
  </si>
  <si>
    <t>Heat hits minimum cap</t>
  </si>
  <si>
    <t>Heat enters Concern (&gt;=25)</t>
  </si>
  <si>
    <t>Elite chance &gt; 10%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</si>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</sst>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1" fontId="5" fillId="4" borderId="0" xfId="0" applyNumberFormat="1" applyFont="1" applyFill="1" applyAlignment="1">
      <alignment horizontal="right" vertical="center"/>
    </xf>
    <xf numFmtId="2" fontId="5" fillId="4" borderId="0" xfId="0" applyNumberFormat="1" applyFont="1" applyFill="1" applyAlignment="1">
      <alignment horizontal="right" vertical="center"/>
    </xf>
    <xf numFmtId="0" fontId="2" fillId="2" borderId="0" xfId="0" applyFont="1" applyFill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164" fontId="2" fillId="5" borderId="0" xfId="0" applyNumberFormat="1" applyFont="1" applyFill="1" applyAlignment="1">
      <alignment horizontal="right" vertical="center"/>
    </xf>
    <xf numFmtId="1" fontId="2" fillId="5" borderId="0" xfId="0" applyNumberFormat="1" applyFont="1" applyFill="1" applyAlignment="1">
      <alignment horizontal="right" vertical="center"/>
    </xf>
    <xf numFmtId="2" fontId="2" fillId="5" borderId="0" xfId="0" applyNumberFormat="1" applyFont="1" applyFill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Total mana over time (6 hour steps)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Simulation_7d_6h!$O$3</c:f>
              <c:strCache>
                <c:ptCount val="1"/>
                <c:pt idx="0">
                  <c:v>Total mana end</c:v>
                </c:pt>
              </c:strCache>
            </c:strRef>
          </c:tx>
          <c:spPr>
            <a:ln/>
          </c:spPr>
          <c:marker>
            <c:symbol val="none"/>
          </c:marker>
          <c:val>
            <c:numRef>
              <c:f>Simulation_7d_6h!$O$4:$O$32</c:f>
              <c:numCache>
                <c:formatCode>0.00</c:formatCode>
                <c:ptCount val="29"/>
                <c:pt idx="0">
                  <c:v>3320.5406399999997</c:v>
                </c:pt>
                <c:pt idx="1">
                  <c:v>4075.99764728832</c:v>
                </c:pt>
                <c:pt idx="2">
                  <c:v>4320.2926484495538</c:v>
                </c:pt>
                <c:pt idx="3">
                  <c:v>4354.7937963673658</c:v>
                </c:pt>
                <c:pt idx="4">
                  <c:v>4431.6934370938925</c:v>
                </c:pt>
                <c:pt idx="5">
                  <c:v>4433.4085096751141</c:v>
                </c:pt>
                <c:pt idx="6">
                  <c:v>4434.7805677400911</c:v>
                </c:pt>
                <c:pt idx="7">
                  <c:v>4435.8782141920728</c:v>
                </c:pt>
                <c:pt idx="8">
                  <c:v>4496.5609713536578</c:v>
                </c:pt>
                <c:pt idx="9">
                  <c:v>4485.3025370829264</c:v>
                </c:pt>
                <c:pt idx="10">
                  <c:v>4476.2957896663411</c:v>
                </c:pt>
                <c:pt idx="11">
                  <c:v>4469.0903917330725</c:v>
                </c:pt>
                <c:pt idx="12">
                  <c:v>4523.1307133864575</c:v>
                </c:pt>
                <c:pt idx="13">
                  <c:v>4506.5583307091656</c:v>
                </c:pt>
                <c:pt idx="14">
                  <c:v>4493.3004245673328</c:v>
                </c:pt>
                <c:pt idx="15">
                  <c:v>4482.694099653866</c:v>
                </c:pt>
                <c:pt idx="16">
                  <c:v>4534.0136797230925</c:v>
                </c:pt>
                <c:pt idx="17">
                  <c:v>4515.2647037784736</c:v>
                </c:pt>
                <c:pt idx="18">
                  <c:v>4500.2655230227792</c:v>
                </c:pt>
                <c:pt idx="19">
                  <c:v>4488.2661784182237</c:v>
                </c:pt>
                <c:pt idx="20">
                  <c:v>4538.4713427345787</c:v>
                </c:pt>
                <c:pt idx="21">
                  <c:v>4518.8308341876627</c:v>
                </c:pt>
                <c:pt idx="22">
                  <c:v>4503.1184273501303</c:v>
                </c:pt>
                <c:pt idx="23">
                  <c:v>4490.5485018801046</c:v>
                </c:pt>
                <c:pt idx="24">
                  <c:v>4540.2972015040832</c:v>
                </c:pt>
                <c:pt idx="25">
                  <c:v>4520.2915212032667</c:v>
                </c:pt>
                <c:pt idx="26">
                  <c:v>4504.2869769626132</c:v>
                </c:pt>
                <c:pt idx="27">
                  <c:v>4491.4833415700905</c:v>
                </c:pt>
                <c:pt idx="28">
                  <c:v>4541.0450732560721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F303-45AC-B06F-9FBBB75FBF2F}"/>
            </c:ext>
          </c:extLst>
        </c:ser>
        <c:ser>
          <c:idx val="1"/>
          <c:order val="1"/>
          <c:tx>
            <c:strRef>
              <c:f>Simulation_7d_6h!$AB$3</c:f>
              <c:strCache>
                <c:ptCount val="1"/>
                <c:pt idx="0">
                  <c:v>Total mana end</c:v>
                </c:pt>
              </c:strCache>
            </c:strRef>
          </c:tx>
          <c:spPr>
            <a:ln/>
          </c:spPr>
          <c:marker>
            <c:symbol val="none"/>
          </c:marker>
          <c:val>
            <c:numRef>
              <c:f>Simulation_7d_6h!$AB$4:$AB$32</c:f>
              <c:numCache>
                <c:formatCode>0.00</c:formatCode>
                <c:ptCount val="29"/>
                <c:pt idx="0">
                  <c:v>7554.6805000000004</c:v>
                </c:pt>
                <c:pt idx="1">
                  <c:v>9866.8268723920246</c:v>
                </c:pt>
                <c:pt idx="2">
                  <c:v>11139.517728719718</c:v>
                </c:pt>
                <c:pt idx="3">
                  <c:v>11819.565649762568</c:v>
                </c:pt>
                <c:pt idx="4">
                  <c:v>12383.596212475153</c:v>
                </c:pt>
                <c:pt idx="5">
                  <c:v>12503.402869356363</c:v>
                </c:pt>
                <c:pt idx="6">
                  <c:v>12593.257862017272</c:v>
                </c:pt>
                <c:pt idx="7">
                  <c:v>12660.649106512952</c:v>
                </c:pt>
                <c:pt idx="8">
                  <c:v>12865.271954884713</c:v>
                </c:pt>
                <c:pt idx="9">
                  <c:v>12864.659676163534</c:v>
                </c:pt>
                <c:pt idx="10">
                  <c:v>12864.20046712265</c:v>
                </c:pt>
                <c:pt idx="11">
                  <c:v>12863.856060341986</c:v>
                </c:pt>
                <c:pt idx="12">
                  <c:v>13017.677170256489</c:v>
                </c:pt>
                <c:pt idx="13">
                  <c:v>12978.963587692368</c:v>
                </c:pt>
                <c:pt idx="14">
                  <c:v>12949.928400769275</c:v>
                </c:pt>
                <c:pt idx="15">
                  <c:v>12928.152010576956</c:v>
                </c:pt>
                <c:pt idx="16">
                  <c:v>13065.899132932716</c:v>
                </c:pt>
                <c:pt idx="17">
                  <c:v>13015.130059699539</c:v>
                </c:pt>
                <c:pt idx="18">
                  <c:v>12977.053254774653</c:v>
                </c:pt>
                <c:pt idx="19">
                  <c:v>12948.49565108099</c:v>
                </c:pt>
                <c:pt idx="20">
                  <c:v>13081.156863310742</c:v>
                </c:pt>
                <c:pt idx="21">
                  <c:v>13026.573357483056</c:v>
                </c:pt>
                <c:pt idx="22">
                  <c:v>12985.635728112291</c:v>
                </c:pt>
                <c:pt idx="23">
                  <c:v>12954.932506084217</c:v>
                </c:pt>
                <c:pt idx="24">
                  <c:v>13085.984504563163</c:v>
                </c:pt>
                <c:pt idx="25">
                  <c:v>13030.194088422371</c:v>
                </c:pt>
                <c:pt idx="26">
                  <c:v>12988.351276316778</c:v>
                </c:pt>
                <c:pt idx="27">
                  <c:v>12956.969167237583</c:v>
                </c:pt>
                <c:pt idx="28">
                  <c:v>13087.512000428189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F303-45AC-B06F-9FBBB75FBF2F}"/>
            </c:ext>
          </c:extLst>
        </c:ser>
        <c:ser>
          <c:idx val="2"/>
          <c:order val="2"/>
          <c:tx>
            <c:strRef>
              <c:f>Simulation_7d_6h!$AO$3</c:f>
              <c:strCache>
                <c:ptCount val="1"/>
                <c:pt idx="0">
                  <c:v>Total mana end</c:v>
                </c:pt>
              </c:strCache>
            </c:strRef>
          </c:tx>
          <c:spPr>
            <a:ln/>
          </c:spPr>
          <c:marker>
            <c:symbol val="none"/>
          </c:marker>
          <c:val>
            <c:numRef>
              <c:f>Simulation_7d_6h!$AO$4:$AO$32</c:f>
              <c:numCache>
                <c:formatCode>0.00</c:formatCode>
                <c:ptCount val="29"/>
                <c:pt idx="0">
                  <c:v>11542.405789935478</c:v>
                </c:pt>
                <c:pt idx="1">
                  <c:v>14386.209542087588</c:v>
                </c:pt>
                <c:pt idx="2">
                  <c:v>15860.184775087619</c:v>
                </c:pt>
                <c:pt idx="3">
                  <c:v>16537.752354234304</c:v>
                </c:pt>
                <c:pt idx="4">
                  <c:v>17599.110753403031</c:v>
                </c:pt>
                <c:pt idx="5">
                  <c:v>17345.694740076709</c:v>
                </c:pt>
                <c:pt idx="6">
                  <c:v>17054.177527351159</c:v>
                </c:pt>
                <c:pt idx="7">
                  <c:v>16801.59736908129</c:v>
                </c:pt>
                <c:pt idx="8">
                  <c:v>17024.006508292379</c:v>
                </c:pt>
                <c:pt idx="9">
                  <c:v>16780.477655740142</c:v>
                </c:pt>
                <c:pt idx="10">
                  <c:v>16610.00745895358</c:v>
                </c:pt>
                <c:pt idx="11">
                  <c:v>16490.678321202984</c:v>
                </c:pt>
                <c:pt idx="12">
                  <c:v>16806.363174777565</c:v>
                </c:pt>
                <c:pt idx="13">
                  <c:v>16628.127322279775</c:v>
                </c:pt>
                <c:pt idx="14">
                  <c:v>16503.362225531324</c:v>
                </c:pt>
                <c:pt idx="15">
                  <c:v>16416.026657807408</c:v>
                </c:pt>
                <c:pt idx="16">
                  <c:v>16754.107010400661</c:v>
                </c:pt>
                <c:pt idx="17">
                  <c:v>16591.548007215941</c:v>
                </c:pt>
                <c:pt idx="18">
                  <c:v>16477.756704986637</c:v>
                </c:pt>
                <c:pt idx="19">
                  <c:v>16398.102793426122</c:v>
                </c:pt>
                <c:pt idx="20">
                  <c:v>16741.560305333762</c:v>
                </c:pt>
                <c:pt idx="21">
                  <c:v>16582.765313669111</c:v>
                </c:pt>
                <c:pt idx="22">
                  <c:v>16471.608819503854</c:v>
                </c:pt>
                <c:pt idx="23">
                  <c:v>16393.799273588178</c:v>
                </c:pt>
                <c:pt idx="24">
                  <c:v>16738.547841447202</c:v>
                </c:pt>
                <c:pt idx="25">
                  <c:v>16580.656588948521</c:v>
                </c:pt>
                <c:pt idx="26">
                  <c:v>16470.132712199444</c:v>
                </c:pt>
                <c:pt idx="27">
                  <c:v>16392.765998475086</c:v>
                </c:pt>
                <c:pt idx="28">
                  <c:v>16737.824548868037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F303-45AC-B06F-9FBBB75FB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Heat over time (6 hour steps)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Simulation_7d_6h!$G$3</c:f>
              <c:strCache>
                <c:ptCount val="1"/>
                <c:pt idx="0">
                  <c:v>Heat end</c:v>
                </c:pt>
              </c:strCache>
            </c:strRef>
          </c:tx>
          <c:spPr>
            <a:ln/>
          </c:spPr>
          <c:marker>
            <c:symbol val="none"/>
          </c:marker>
          <c:val>
            <c:numRef>
              <c:f>Simulation_7d_6h!$G$4:$G$32</c:f>
              <c:numCache>
                <c:formatCode>0.00</c:formatCode>
                <c:ptCount val="29"/>
                <c:pt idx="0">
                  <c:v>45.187199999999997</c:v>
                </c:pt>
                <c:pt idx="1">
                  <c:v>65.383781713920001</c:v>
                </c:pt>
                <c:pt idx="2">
                  <c:v>74.41071661865071</c:v>
                </c:pt>
                <c:pt idx="3">
                  <c:v>78.44533767128577</c:v>
                </c:pt>
                <c:pt idx="4">
                  <c:v>82.15405767128577</c:v>
                </c:pt>
                <c:pt idx="5">
                  <c:v>85.86277767128577</c:v>
                </c:pt>
                <c:pt idx="6">
                  <c:v>89.571497671285769</c:v>
                </c:pt>
                <c:pt idx="7">
                  <c:v>93.280217671285769</c:v>
                </c:pt>
                <c:pt idx="8">
                  <c:v>96.988937671285768</c:v>
                </c:pt>
                <c:pt idx="9">
                  <c:v>100.69765767128577</c:v>
                </c:pt>
                <c:pt idx="10">
                  <c:v>104.40637767128577</c:v>
                </c:pt>
                <c:pt idx="11">
                  <c:v>108.11509767128577</c:v>
                </c:pt>
                <c:pt idx="12">
                  <c:v>111.82381767128577</c:v>
                </c:pt>
                <c:pt idx="13">
                  <c:v>115.53253767128577</c:v>
                </c:pt>
                <c:pt idx="14">
                  <c:v>119.24125767128577</c:v>
                </c:pt>
                <c:pt idx="15">
                  <c:v>122.94997767128577</c:v>
                </c:pt>
                <c:pt idx="16">
                  <c:v>126.65869767128576</c:v>
                </c:pt>
                <c:pt idx="17">
                  <c:v>130.36741767128578</c:v>
                </c:pt>
                <c:pt idx="18">
                  <c:v>134.07613767128578</c:v>
                </c:pt>
                <c:pt idx="19">
                  <c:v>137.78485767128578</c:v>
                </c:pt>
                <c:pt idx="20">
                  <c:v>141.49357767128578</c:v>
                </c:pt>
                <c:pt idx="21">
                  <c:v>145.20229767128578</c:v>
                </c:pt>
                <c:pt idx="22">
                  <c:v>148.91101767128578</c:v>
                </c:pt>
                <c:pt idx="23">
                  <c:v>152.61973767128578</c:v>
                </c:pt>
                <c:pt idx="24">
                  <c:v>156.32845767128578</c:v>
                </c:pt>
                <c:pt idx="25">
                  <c:v>160.03717767128578</c:v>
                </c:pt>
                <c:pt idx="26">
                  <c:v>163.74589767128577</c:v>
                </c:pt>
                <c:pt idx="27">
                  <c:v>167.45461767128577</c:v>
                </c:pt>
                <c:pt idx="28">
                  <c:v>171.16333767128577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7D3F-4999-AC32-B693AD06DA92}"/>
            </c:ext>
          </c:extLst>
        </c:ser>
        <c:ser>
          <c:idx val="1"/>
          <c:order val="1"/>
          <c:tx>
            <c:strRef>
              <c:f>Simulation_7d_6h!$T$3</c:f>
              <c:strCache>
                <c:ptCount val="1"/>
                <c:pt idx="0">
                  <c:v>Heat end</c:v>
                </c:pt>
              </c:strCache>
            </c:strRef>
          </c:tx>
          <c:spPr>
            <a:ln/>
          </c:spPr>
          <c:marker>
            <c:symbol val="none"/>
          </c:marker>
          <c:val>
            <c:numRef>
              <c:f>Simulation_7d_6h!$T$4:$T$32</c:f>
              <c:numCache>
                <c:formatCode>0.00</c:formatCode>
                <c:ptCount val="29"/>
                <c:pt idx="0">
                  <c:v>35.837569142857141</c:v>
                </c:pt>
                <c:pt idx="1">
                  <c:v>54.180974674619826</c:v>
                </c:pt>
                <c:pt idx="2">
                  <c:v>65.092357635576718</c:v>
                </c:pt>
                <c:pt idx="3">
                  <c:v>71.582879688011545</c:v>
                </c:pt>
                <c:pt idx="4">
                  <c:v>75.443698858586075</c:v>
                </c:pt>
                <c:pt idx="5">
                  <c:v>77.920036001443222</c:v>
                </c:pt>
                <c:pt idx="6">
                  <c:v>80.39637314430037</c:v>
                </c:pt>
                <c:pt idx="7">
                  <c:v>82.872710287157517</c:v>
                </c:pt>
                <c:pt idx="8">
                  <c:v>85.349047430014664</c:v>
                </c:pt>
                <c:pt idx="9">
                  <c:v>87.825384572871812</c:v>
                </c:pt>
                <c:pt idx="10">
                  <c:v>90.301721715728959</c:v>
                </c:pt>
                <c:pt idx="11">
                  <c:v>92.778058858586107</c:v>
                </c:pt>
                <c:pt idx="12">
                  <c:v>95.254396001443254</c:v>
                </c:pt>
                <c:pt idx="13">
                  <c:v>97.730733144300402</c:v>
                </c:pt>
                <c:pt idx="14">
                  <c:v>100.20707028715755</c:v>
                </c:pt>
                <c:pt idx="15">
                  <c:v>102.6834074300147</c:v>
                </c:pt>
                <c:pt idx="16">
                  <c:v>105.15974457287184</c:v>
                </c:pt>
                <c:pt idx="17">
                  <c:v>107.63608171572899</c:v>
                </c:pt>
                <c:pt idx="18">
                  <c:v>110.11241885858614</c:v>
                </c:pt>
                <c:pt idx="19">
                  <c:v>112.58875600144329</c:v>
                </c:pt>
                <c:pt idx="20">
                  <c:v>115.06509314430043</c:v>
                </c:pt>
                <c:pt idx="21">
                  <c:v>117.54143028715758</c:v>
                </c:pt>
                <c:pt idx="22">
                  <c:v>120.01776743001473</c:v>
                </c:pt>
                <c:pt idx="23">
                  <c:v>122.49410457287188</c:v>
                </c:pt>
                <c:pt idx="24">
                  <c:v>124.97044171572902</c:v>
                </c:pt>
                <c:pt idx="25">
                  <c:v>127.44677885858617</c:v>
                </c:pt>
                <c:pt idx="26">
                  <c:v>129.9231160014433</c:v>
                </c:pt>
                <c:pt idx="27">
                  <c:v>132.39945314430045</c:v>
                </c:pt>
                <c:pt idx="28">
                  <c:v>134.8757902871576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7D3F-4999-AC32-B693AD06DA92}"/>
            </c:ext>
          </c:extLst>
        </c:ser>
        <c:ser>
          <c:idx val="2"/>
          <c:order val="2"/>
          <c:tx>
            <c:strRef>
              <c:f>Simulation_7d_6h!$AG$3</c:f>
              <c:strCache>
                <c:ptCount val="1"/>
                <c:pt idx="0">
                  <c:v>Heat end</c:v>
                </c:pt>
              </c:strCache>
            </c:strRef>
          </c:tx>
          <c:spPr>
            <a:ln/>
          </c:spPr>
          <c:marker>
            <c:symbol val="none"/>
          </c:marker>
          <c:val>
            <c:numRef>
              <c:f>Simulation_7d_6h!$AG$4:$AG$32</c:f>
              <c:numCache>
                <c:formatCode>0.00</c:formatCode>
                <c:ptCount val="29"/>
                <c:pt idx="0">
                  <c:v>35.587411200000005</c:v>
                </c:pt>
                <c:pt idx="1">
                  <c:v>49.701112595152892</c:v>
                </c:pt>
                <c:pt idx="2">
                  <c:v>59.376761715696077</c:v>
                </c:pt>
                <c:pt idx="3">
                  <c:v>66.009903744336384</c:v>
                </c:pt>
                <c:pt idx="4">
                  <c:v>70.557254792722105</c:v>
                </c:pt>
                <c:pt idx="5">
                  <c:v>73.674691667731025</c:v>
                </c:pt>
                <c:pt idx="6">
                  <c:v>75.811850766788339</c:v>
                </c:pt>
                <c:pt idx="7">
                  <c:v>77.532266766788339</c:v>
                </c:pt>
                <c:pt idx="8">
                  <c:v>79.25268276678834</c:v>
                </c:pt>
                <c:pt idx="9">
                  <c:v>80.97309876678834</c:v>
                </c:pt>
                <c:pt idx="10">
                  <c:v>82.69351476678834</c:v>
                </c:pt>
                <c:pt idx="11">
                  <c:v>84.41393076678834</c:v>
                </c:pt>
                <c:pt idx="12">
                  <c:v>86.13434676678834</c:v>
                </c:pt>
                <c:pt idx="13">
                  <c:v>87.85476276678834</c:v>
                </c:pt>
                <c:pt idx="14">
                  <c:v>89.575178766788341</c:v>
                </c:pt>
                <c:pt idx="15">
                  <c:v>91.295594766788341</c:v>
                </c:pt>
                <c:pt idx="16">
                  <c:v>93.016010766788341</c:v>
                </c:pt>
                <c:pt idx="17">
                  <c:v>94.736426766788341</c:v>
                </c:pt>
                <c:pt idx="18">
                  <c:v>96.456842766788341</c:v>
                </c:pt>
                <c:pt idx="19">
                  <c:v>98.177258766788341</c:v>
                </c:pt>
                <c:pt idx="20">
                  <c:v>99.897674766788342</c:v>
                </c:pt>
                <c:pt idx="21">
                  <c:v>101.61809076678834</c:v>
                </c:pt>
                <c:pt idx="22">
                  <c:v>103.33850676678834</c:v>
                </c:pt>
                <c:pt idx="23">
                  <c:v>105.05892276678834</c:v>
                </c:pt>
                <c:pt idx="24">
                  <c:v>106.77933876678834</c:v>
                </c:pt>
                <c:pt idx="25">
                  <c:v>108.49975476678834</c:v>
                </c:pt>
                <c:pt idx="26">
                  <c:v>110.22017076678834</c:v>
                </c:pt>
                <c:pt idx="27">
                  <c:v>111.94058676678834</c:v>
                </c:pt>
                <c:pt idx="28">
                  <c:v>113.66100276678834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7D3F-4999-AC32-B693AD06D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296350547411711"/>
          <c:y val="0.64931577552588271"/>
          <c:w val="0.24346511969222762"/>
          <c:h val="0.26932719393470783"/>
        </c:manualLayout>
      </c:layout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471487</xdr:colOff>
      <xdr:row>1</xdr:row>
      <xdr:rowOff>52387</xdr:rowOff>
    </xdr:from>
    <xdr:to>
      <xdr:col>26</xdr:col>
      <xdr:colOff>35718</xdr:colOff>
      <xdr:row>19</xdr:row>
      <xdr:rowOff>11907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1</xdr:row>
      <xdr:rowOff>38100</xdr:rowOff>
    </xdr:from>
    <xdr:to>
      <xdr:col>17</xdr:col>
      <xdr:colOff>83344</xdr:colOff>
      <xdr:row>19</xdr:row>
      <xdr:rowOff>71437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110" customWidth="1"/>
  </cols>
  <sheetData>
    <row r="1" spans="1:1" ht="24" customHeight="1" x14ac:dyDescent="0.35">
      <c r="A1" s="1" t="s">
        <v>0</v>
      </c>
    </row>
    <row r="3" spans="1:1" x14ac:dyDescent="0.25">
      <c r="A3" s="2" t="s">
        <v>1</v>
      </c>
    </row>
    <row r="5" spans="1:1" x14ac:dyDescent="0.25">
      <c r="A5" s="3" t="s">
        <v>2</v>
      </c>
    </row>
    <row r="6" spans="1:1" ht="30" x14ac:dyDescent="0.25">
      <c r="A6" s="3" t="s">
        <v>3</v>
      </c>
    </row>
    <row r="7" spans="1:1" ht="30" x14ac:dyDescent="0.25">
      <c r="A7" s="3" t="s">
        <v>4</v>
      </c>
    </row>
    <row r="8" spans="1:1" x14ac:dyDescent="0.25">
      <c r="A8" s="3" t="s">
        <v>5</v>
      </c>
    </row>
    <row r="9" spans="1:1" ht="30" x14ac:dyDescent="0.25">
      <c r="A9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"/>
  <sheetViews>
    <sheetView workbookViewId="0">
      <selection activeCell="B10" sqref="B10"/>
    </sheetView>
  </sheetViews>
  <sheetFormatPr defaultRowHeight="15" x14ac:dyDescent="0.25"/>
  <cols>
    <col min="1" max="1" width="42" customWidth="1"/>
    <col min="2" max="2" width="18" customWidth="1"/>
    <col min="3" max="3" width="64" customWidth="1"/>
  </cols>
  <sheetData>
    <row r="1" spans="1:3" x14ac:dyDescent="0.25">
      <c r="A1" s="22" t="s">
        <v>7</v>
      </c>
      <c r="B1" s="21"/>
      <c r="C1" s="21"/>
    </row>
    <row r="3" spans="1:3" x14ac:dyDescent="0.25">
      <c r="A3" s="20" t="s">
        <v>8</v>
      </c>
      <c r="B3" s="21"/>
      <c r="C3" s="21"/>
    </row>
    <row r="4" spans="1:3" x14ac:dyDescent="0.25">
      <c r="A4" s="3" t="s">
        <v>9</v>
      </c>
      <c r="B4" s="5">
        <v>2</v>
      </c>
      <c r="C4" s="3" t="s">
        <v>10</v>
      </c>
    </row>
    <row r="5" spans="1:3" x14ac:dyDescent="0.25">
      <c r="A5" s="3" t="s">
        <v>11</v>
      </c>
      <c r="B5" s="5">
        <v>1</v>
      </c>
      <c r="C5" s="3" t="s">
        <v>12</v>
      </c>
    </row>
    <row r="6" spans="1:3" x14ac:dyDescent="0.25">
      <c r="A6" s="3" t="s">
        <v>13</v>
      </c>
      <c r="B6" s="6">
        <v>0.15</v>
      </c>
      <c r="C6" s="3" t="s">
        <v>14</v>
      </c>
    </row>
    <row r="7" spans="1:3" x14ac:dyDescent="0.25">
      <c r="A7" s="3" t="s">
        <v>15</v>
      </c>
      <c r="B7" s="6">
        <v>0.3</v>
      </c>
      <c r="C7" s="3" t="s">
        <v>16</v>
      </c>
    </row>
    <row r="8" spans="1:3" x14ac:dyDescent="0.25">
      <c r="A8" s="3" t="s">
        <v>17</v>
      </c>
      <c r="B8" s="6">
        <v>1.1000000000000001</v>
      </c>
      <c r="C8" s="3" t="s">
        <v>18</v>
      </c>
    </row>
    <row r="9" spans="1:3" x14ac:dyDescent="0.25">
      <c r="A9" s="3" t="s">
        <v>19</v>
      </c>
      <c r="B9" s="6">
        <v>0.8</v>
      </c>
      <c r="C9" s="3" t="s">
        <v>20</v>
      </c>
    </row>
    <row r="10" spans="1:3" x14ac:dyDescent="0.25">
      <c r="A10" s="3" t="s">
        <v>21</v>
      </c>
      <c r="B10" s="5">
        <v>2</v>
      </c>
      <c r="C10" s="3" t="s">
        <v>22</v>
      </c>
    </row>
    <row r="11" spans="1:3" ht="30" x14ac:dyDescent="0.25">
      <c r="A11" s="3" t="s">
        <v>23</v>
      </c>
      <c r="B11" s="6">
        <v>0.2</v>
      </c>
      <c r="C11" s="3" t="s">
        <v>24</v>
      </c>
    </row>
    <row r="12" spans="1:3" x14ac:dyDescent="0.25">
      <c r="A12" s="3" t="s">
        <v>25</v>
      </c>
      <c r="C12" s="3" t="s">
        <v>25</v>
      </c>
    </row>
    <row r="13" spans="1:3" x14ac:dyDescent="0.25">
      <c r="A13" s="20" t="s">
        <v>26</v>
      </c>
      <c r="B13" s="21"/>
      <c r="C13" s="21"/>
    </row>
    <row r="14" spans="1:3" x14ac:dyDescent="0.25">
      <c r="A14" s="3" t="s">
        <v>27</v>
      </c>
      <c r="B14" s="6">
        <v>0.01</v>
      </c>
      <c r="C14" s="3" t="s">
        <v>28</v>
      </c>
    </row>
    <row r="15" spans="1:3" x14ac:dyDescent="0.25">
      <c r="A15" s="3" t="s">
        <v>29</v>
      </c>
      <c r="B15" s="6">
        <v>2.0000000000000001E-4</v>
      </c>
      <c r="C15" s="3" t="s">
        <v>30</v>
      </c>
    </row>
    <row r="16" spans="1:3" x14ac:dyDescent="0.25">
      <c r="A16" s="3" t="s">
        <v>31</v>
      </c>
      <c r="B16" s="6">
        <v>0.05</v>
      </c>
      <c r="C16" s="3" t="s">
        <v>32</v>
      </c>
    </row>
    <row r="17" spans="1:3" x14ac:dyDescent="0.25">
      <c r="A17" s="3" t="s">
        <v>33</v>
      </c>
      <c r="B17" s="6">
        <v>0.8</v>
      </c>
      <c r="C17" s="3" t="s">
        <v>34</v>
      </c>
    </row>
    <row r="18" spans="1:3" x14ac:dyDescent="0.25">
      <c r="A18" s="3" t="s">
        <v>35</v>
      </c>
      <c r="B18" s="6">
        <v>2.5</v>
      </c>
      <c r="C18" s="3" t="s">
        <v>36</v>
      </c>
    </row>
    <row r="19" spans="1:3" x14ac:dyDescent="0.25">
      <c r="A19" s="3" t="s">
        <v>25</v>
      </c>
      <c r="C19" s="3" t="s">
        <v>25</v>
      </c>
    </row>
    <row r="20" spans="1:3" x14ac:dyDescent="0.25">
      <c r="A20" s="20" t="s">
        <v>37</v>
      </c>
      <c r="B20" s="21"/>
      <c r="C20" s="21"/>
    </row>
    <row r="21" spans="1:3" x14ac:dyDescent="0.25">
      <c r="A21" s="3" t="s">
        <v>38</v>
      </c>
      <c r="B21" s="5">
        <v>-15</v>
      </c>
      <c r="C21" s="3" t="s">
        <v>39</v>
      </c>
    </row>
    <row r="22" spans="1:3" x14ac:dyDescent="0.25">
      <c r="A22" s="3" t="s">
        <v>40</v>
      </c>
      <c r="B22" s="5">
        <v>1</v>
      </c>
      <c r="C22" s="3" t="s">
        <v>25</v>
      </c>
    </row>
    <row r="23" spans="1:3" x14ac:dyDescent="0.25">
      <c r="A23" s="3" t="s">
        <v>41</v>
      </c>
      <c r="B23" s="5">
        <v>3</v>
      </c>
      <c r="C23" s="3" t="s">
        <v>25</v>
      </c>
    </row>
    <row r="24" spans="1:3" x14ac:dyDescent="0.25">
      <c r="A24" s="3" t="s">
        <v>42</v>
      </c>
      <c r="B24" s="6">
        <v>0.1</v>
      </c>
      <c r="C24" s="3" t="s">
        <v>43</v>
      </c>
    </row>
    <row r="25" spans="1:3" x14ac:dyDescent="0.25">
      <c r="A25" s="3" t="s">
        <v>44</v>
      </c>
      <c r="B25" s="6">
        <v>0.15</v>
      </c>
      <c r="C25" s="3" t="s">
        <v>45</v>
      </c>
    </row>
    <row r="26" spans="1:3" x14ac:dyDescent="0.25">
      <c r="A26" s="3" t="s">
        <v>46</v>
      </c>
      <c r="B26" s="6">
        <v>1</v>
      </c>
      <c r="C26" s="3" t="s">
        <v>47</v>
      </c>
    </row>
    <row r="27" spans="1:3" x14ac:dyDescent="0.25">
      <c r="A27" s="3" t="s">
        <v>48</v>
      </c>
      <c r="B27" s="6">
        <v>0.4</v>
      </c>
      <c r="C27" s="3" t="s">
        <v>49</v>
      </c>
    </row>
    <row r="28" spans="1:3" x14ac:dyDescent="0.25">
      <c r="A28" s="3" t="s">
        <v>50</v>
      </c>
      <c r="B28" s="6">
        <v>0.15</v>
      </c>
      <c r="C28" s="3" t="s">
        <v>51</v>
      </c>
    </row>
    <row r="29" spans="1:3" x14ac:dyDescent="0.25">
      <c r="A29" s="3" t="s">
        <v>52</v>
      </c>
      <c r="B29" s="6">
        <v>0.1</v>
      </c>
      <c r="C29" s="3" t="s">
        <v>53</v>
      </c>
    </row>
    <row r="30" spans="1:3" x14ac:dyDescent="0.25">
      <c r="A30" s="3" t="s">
        <v>54</v>
      </c>
      <c r="B30" s="6">
        <v>0.1</v>
      </c>
      <c r="C30" s="3" t="s">
        <v>55</v>
      </c>
    </row>
    <row r="31" spans="1:3" x14ac:dyDescent="0.25">
      <c r="A31" s="3" t="s">
        <v>56</v>
      </c>
      <c r="B31" s="6">
        <v>0.6</v>
      </c>
      <c r="C31" s="3" t="s">
        <v>57</v>
      </c>
    </row>
    <row r="32" spans="1:3" x14ac:dyDescent="0.25">
      <c r="A32" s="3" t="s">
        <v>58</v>
      </c>
      <c r="B32" s="6">
        <v>0.4</v>
      </c>
      <c r="C32" s="3" t="s">
        <v>59</v>
      </c>
    </row>
    <row r="33" spans="1:3" x14ac:dyDescent="0.25">
      <c r="A33" s="3" t="s">
        <v>60</v>
      </c>
      <c r="B33" s="6">
        <v>0.4</v>
      </c>
      <c r="C33" s="3" t="s">
        <v>61</v>
      </c>
    </row>
    <row r="34" spans="1:3" x14ac:dyDescent="0.25">
      <c r="A34" s="3" t="s">
        <v>62</v>
      </c>
      <c r="B34" s="6">
        <v>1</v>
      </c>
      <c r="C34" s="3" t="s">
        <v>63</v>
      </c>
    </row>
    <row r="35" spans="1:3" x14ac:dyDescent="0.25">
      <c r="A35" s="3" t="s">
        <v>64</v>
      </c>
      <c r="B35" s="6">
        <v>0.95</v>
      </c>
      <c r="C35" s="3" t="s">
        <v>65</v>
      </c>
    </row>
    <row r="36" spans="1:3" x14ac:dyDescent="0.25">
      <c r="A36" s="3" t="s">
        <v>66</v>
      </c>
      <c r="B36" s="6">
        <v>0.85</v>
      </c>
      <c r="C36" s="3" t="s">
        <v>67</v>
      </c>
    </row>
    <row r="37" spans="1:3" x14ac:dyDescent="0.25">
      <c r="A37" s="23" t="s">
        <v>25</v>
      </c>
      <c r="B37" s="21"/>
      <c r="C37" s="23" t="s">
        <v>25</v>
      </c>
    </row>
    <row r="38" spans="1:3" x14ac:dyDescent="0.25">
      <c r="A38" s="4" t="s">
        <v>68</v>
      </c>
    </row>
    <row r="39" spans="1:3" x14ac:dyDescent="0.25">
      <c r="A39" s="3" t="s">
        <v>69</v>
      </c>
      <c r="B39" s="6">
        <v>1.5</v>
      </c>
      <c r="C39" s="3" t="s">
        <v>70</v>
      </c>
    </row>
    <row r="40" spans="1:3" x14ac:dyDescent="0.25">
      <c r="A40" s="3" t="s">
        <v>71</v>
      </c>
      <c r="B40" s="6">
        <v>0.08</v>
      </c>
      <c r="C40" s="3" t="s">
        <v>72</v>
      </c>
    </row>
    <row r="41" spans="1:3" x14ac:dyDescent="0.25">
      <c r="A41" s="3" t="s">
        <v>73</v>
      </c>
      <c r="B41" s="6">
        <v>10</v>
      </c>
      <c r="C41" s="3" t="s">
        <v>74</v>
      </c>
    </row>
    <row r="42" spans="1:3" x14ac:dyDescent="0.25">
      <c r="A42" s="3" t="s">
        <v>75</v>
      </c>
      <c r="B42" s="6">
        <v>0.05</v>
      </c>
      <c r="C42" s="3" t="s">
        <v>76</v>
      </c>
    </row>
    <row r="43" spans="1:3" x14ac:dyDescent="0.25">
      <c r="A43" s="3" t="s">
        <v>77</v>
      </c>
      <c r="B43" s="6">
        <v>1</v>
      </c>
      <c r="C43" s="3" t="s">
        <v>78</v>
      </c>
    </row>
    <row r="44" spans="1:3" x14ac:dyDescent="0.25">
      <c r="A44" s="3" t="s">
        <v>79</v>
      </c>
      <c r="B44" s="6">
        <v>1.35</v>
      </c>
      <c r="C44" s="3" t="s">
        <v>80</v>
      </c>
    </row>
    <row r="45" spans="1:3" x14ac:dyDescent="0.25">
      <c r="A45" s="3" t="s">
        <v>81</v>
      </c>
      <c r="B45" s="6">
        <v>1.8</v>
      </c>
      <c r="C45" s="3" t="s">
        <v>82</v>
      </c>
    </row>
    <row r="46" spans="1:3" x14ac:dyDescent="0.25">
      <c r="A46" s="3" t="s">
        <v>83</v>
      </c>
      <c r="B46" s="6">
        <v>0</v>
      </c>
      <c r="C46" s="3" t="s">
        <v>84</v>
      </c>
    </row>
    <row r="47" spans="1:3" x14ac:dyDescent="0.25">
      <c r="A47" s="4" t="s">
        <v>85</v>
      </c>
    </row>
    <row r="48" spans="1:3" x14ac:dyDescent="0.25">
      <c r="A48" s="3" t="s">
        <v>86</v>
      </c>
      <c r="B48" s="5">
        <v>10</v>
      </c>
      <c r="C48" s="3" t="s">
        <v>87</v>
      </c>
    </row>
    <row r="49" spans="1:3" x14ac:dyDescent="0.25">
      <c r="A49" s="3" t="s">
        <v>88</v>
      </c>
      <c r="B49" s="6">
        <v>2.2000000000000002</v>
      </c>
      <c r="C49" s="3" t="s">
        <v>89</v>
      </c>
    </row>
    <row r="50" spans="1:3" x14ac:dyDescent="0.25">
      <c r="A50" s="3" t="s">
        <v>90</v>
      </c>
      <c r="C50" s="3" t="s">
        <v>25</v>
      </c>
    </row>
    <row r="52" spans="1:3" x14ac:dyDescent="0.25">
      <c r="A52" s="7" t="s">
        <v>91</v>
      </c>
      <c r="B52" s="7" t="s">
        <v>92</v>
      </c>
    </row>
    <row r="53" spans="1:3" x14ac:dyDescent="0.25">
      <c r="A53" s="3" t="s">
        <v>93</v>
      </c>
      <c r="B53" s="6">
        <v>1</v>
      </c>
    </row>
    <row r="54" spans="1:3" x14ac:dyDescent="0.25">
      <c r="A54" s="3" t="s">
        <v>94</v>
      </c>
      <c r="B54" s="6">
        <v>1.4</v>
      </c>
    </row>
    <row r="55" spans="1:3" x14ac:dyDescent="0.25">
      <c r="A55" s="3" t="s">
        <v>95</v>
      </c>
      <c r="B55" s="6">
        <v>2</v>
      </c>
    </row>
    <row r="56" spans="1:3" x14ac:dyDescent="0.25">
      <c r="A56" s="3" t="s">
        <v>96</v>
      </c>
      <c r="B56" s="6">
        <v>3</v>
      </c>
    </row>
    <row r="57" spans="1:3" x14ac:dyDescent="0.25">
      <c r="A57" s="3" t="s">
        <v>97</v>
      </c>
      <c r="B57" s="6">
        <v>4.5</v>
      </c>
    </row>
    <row r="58" spans="1:3" x14ac:dyDescent="0.25">
      <c r="A58" s="3" t="s">
        <v>98</v>
      </c>
      <c r="B58" s="6">
        <v>7</v>
      </c>
    </row>
  </sheetData>
  <mergeCells count="5">
    <mergeCell ref="A13:C13"/>
    <mergeCell ref="A1:C1"/>
    <mergeCell ref="A37:C37"/>
    <mergeCell ref="A3:C3"/>
    <mergeCell ref="A20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30" sqref="B30"/>
    </sheetView>
  </sheetViews>
  <sheetFormatPr defaultRowHeight="15" x14ac:dyDescent="0.25"/>
  <cols>
    <col min="1" max="1" width="44" customWidth="1"/>
    <col min="2" max="4" width="18" customWidth="1"/>
  </cols>
  <sheetData>
    <row r="1" spans="1:5" x14ac:dyDescent="0.25">
      <c r="A1" s="22" t="s">
        <v>99</v>
      </c>
      <c r="B1" s="21"/>
      <c r="C1" s="21"/>
      <c r="D1" s="21"/>
      <c r="E1" s="21"/>
    </row>
    <row r="3" spans="1:5" x14ac:dyDescent="0.25">
      <c r="A3" s="4" t="s">
        <v>100</v>
      </c>
      <c r="B3" s="8" t="s">
        <v>101</v>
      </c>
      <c r="C3" s="8" t="s">
        <v>102</v>
      </c>
      <c r="D3" s="8" t="s">
        <v>103</v>
      </c>
    </row>
    <row r="4" spans="1:5" x14ac:dyDescent="0.25">
      <c r="A4" s="3" t="s">
        <v>104</v>
      </c>
      <c r="B4" s="9" t="s">
        <v>105</v>
      </c>
      <c r="C4" s="9" t="s">
        <v>106</v>
      </c>
      <c r="D4" s="9" t="s">
        <v>106</v>
      </c>
    </row>
    <row r="5" spans="1:5" x14ac:dyDescent="0.25">
      <c r="A5" s="3" t="s">
        <v>107</v>
      </c>
      <c r="B5" s="5">
        <v>1</v>
      </c>
      <c r="C5" s="5">
        <v>5</v>
      </c>
      <c r="D5" s="5">
        <v>8</v>
      </c>
    </row>
    <row r="6" spans="1:5" x14ac:dyDescent="0.25">
      <c r="A6" s="3" t="s">
        <v>108</v>
      </c>
      <c r="B6" s="5">
        <v>1</v>
      </c>
      <c r="C6" s="5">
        <v>3</v>
      </c>
      <c r="D6" s="5">
        <v>5</v>
      </c>
    </row>
    <row r="7" spans="1:5" x14ac:dyDescent="0.25">
      <c r="A7" s="3" t="s">
        <v>109</v>
      </c>
      <c r="B7" s="5">
        <v>0</v>
      </c>
      <c r="C7" s="5">
        <v>0</v>
      </c>
      <c r="D7" s="5">
        <v>0</v>
      </c>
    </row>
    <row r="8" spans="1:5" x14ac:dyDescent="0.25">
      <c r="A8" s="3" t="s">
        <v>110</v>
      </c>
      <c r="B8" s="5">
        <v>0</v>
      </c>
      <c r="C8" s="5">
        <v>5</v>
      </c>
      <c r="D8" s="5">
        <v>15</v>
      </c>
    </row>
    <row r="9" spans="1:5" x14ac:dyDescent="0.25">
      <c r="A9" s="3" t="s">
        <v>111</v>
      </c>
      <c r="B9" s="5">
        <v>60</v>
      </c>
      <c r="C9" s="5">
        <v>140</v>
      </c>
      <c r="D9" s="5">
        <v>220</v>
      </c>
    </row>
    <row r="10" spans="1:5" x14ac:dyDescent="0.25">
      <c r="A10" s="3" t="s">
        <v>112</v>
      </c>
      <c r="B10" s="9" t="s">
        <v>113</v>
      </c>
      <c r="C10" s="9" t="s">
        <v>113</v>
      </c>
      <c r="D10" s="9" t="s">
        <v>114</v>
      </c>
    </row>
    <row r="11" spans="1:5" x14ac:dyDescent="0.25">
      <c r="A11" s="3" t="s">
        <v>115</v>
      </c>
      <c r="B11" s="5">
        <v>10</v>
      </c>
      <c r="C11" s="5">
        <v>6</v>
      </c>
      <c r="D11" s="5">
        <v>3</v>
      </c>
    </row>
    <row r="12" spans="1:5" x14ac:dyDescent="0.25">
      <c r="A12" s="3" t="s">
        <v>116</v>
      </c>
      <c r="B12" s="5">
        <v>2</v>
      </c>
      <c r="C12" s="5">
        <v>4</v>
      </c>
      <c r="D12" s="5">
        <v>5</v>
      </c>
    </row>
    <row r="13" spans="1:5" x14ac:dyDescent="0.25">
      <c r="A13" s="3" t="s">
        <v>117</v>
      </c>
      <c r="B13" s="5">
        <v>6</v>
      </c>
      <c r="C13" s="5">
        <v>12</v>
      </c>
      <c r="D13" s="5">
        <v>18</v>
      </c>
    </row>
    <row r="14" spans="1:5" x14ac:dyDescent="0.25">
      <c r="A14" s="3" t="s">
        <v>118</v>
      </c>
      <c r="B14" s="5">
        <v>2</v>
      </c>
      <c r="C14" s="5">
        <v>3</v>
      </c>
      <c r="D14" s="5">
        <v>4</v>
      </c>
    </row>
    <row r="15" spans="1:5" x14ac:dyDescent="0.25">
      <c r="A15" s="3" t="s">
        <v>119</v>
      </c>
      <c r="B15" s="6">
        <v>0.1</v>
      </c>
      <c r="C15" s="6">
        <v>0.5</v>
      </c>
      <c r="D15" s="6">
        <v>1.5</v>
      </c>
    </row>
    <row r="16" spans="1:5" x14ac:dyDescent="0.25">
      <c r="A16" s="3" t="s">
        <v>120</v>
      </c>
      <c r="B16" s="6">
        <v>0.75</v>
      </c>
      <c r="C16" s="6">
        <v>0.45</v>
      </c>
      <c r="D16" s="6">
        <v>0.2</v>
      </c>
    </row>
    <row r="17" spans="1:4" x14ac:dyDescent="0.25">
      <c r="A17" s="3" t="s">
        <v>121</v>
      </c>
      <c r="B17" s="6">
        <v>0.9</v>
      </c>
      <c r="C17" s="6">
        <v>0.7</v>
      </c>
      <c r="D17" s="6">
        <v>0.4</v>
      </c>
    </row>
    <row r="18" spans="1:4" x14ac:dyDescent="0.25">
      <c r="A18" s="3" t="s">
        <v>122</v>
      </c>
      <c r="B18" s="5">
        <v>1</v>
      </c>
      <c r="C18" s="5">
        <v>2</v>
      </c>
      <c r="D18" s="5">
        <v>3</v>
      </c>
    </row>
    <row r="19" spans="1:4" x14ac:dyDescent="0.25">
      <c r="A19" s="3" t="s">
        <v>123</v>
      </c>
      <c r="B19" s="9" t="s">
        <v>94</v>
      </c>
      <c r="C19" s="9" t="s">
        <v>95</v>
      </c>
      <c r="D19" s="9" t="s">
        <v>96</v>
      </c>
    </row>
    <row r="20" spans="1:4" x14ac:dyDescent="0.25">
      <c r="A20" s="3" t="s">
        <v>124</v>
      </c>
      <c r="B20" s="5">
        <v>1200</v>
      </c>
      <c r="C20" s="5">
        <v>3200</v>
      </c>
      <c r="D20" s="5">
        <v>6500</v>
      </c>
    </row>
    <row r="21" spans="1:4" x14ac:dyDescent="0.25">
      <c r="A21" s="3" t="s">
        <v>125</v>
      </c>
      <c r="B21" s="6">
        <v>2.5</v>
      </c>
      <c r="C21" s="6">
        <v>2.5</v>
      </c>
      <c r="D21" s="6">
        <v>2.5</v>
      </c>
    </row>
    <row r="22" spans="1:4" x14ac:dyDescent="0.25">
      <c r="A22" s="3" t="s">
        <v>126</v>
      </c>
      <c r="B22" s="6">
        <v>1.2</v>
      </c>
      <c r="C22" s="6">
        <v>1.3</v>
      </c>
      <c r="D22" s="6">
        <v>1.4</v>
      </c>
    </row>
    <row r="23" spans="1:4" x14ac:dyDescent="0.25">
      <c r="A23" s="3" t="s">
        <v>127</v>
      </c>
      <c r="B23" s="5">
        <v>12</v>
      </c>
      <c r="C23" s="5">
        <v>20</v>
      </c>
      <c r="D23" s="5">
        <v>28</v>
      </c>
    </row>
    <row r="24" spans="1:4" x14ac:dyDescent="0.25">
      <c r="A24" s="3" t="s">
        <v>128</v>
      </c>
      <c r="B24" s="5">
        <v>4</v>
      </c>
      <c r="C24" s="5">
        <v>10</v>
      </c>
      <c r="D24" s="5">
        <v>16</v>
      </c>
    </row>
    <row r="25" spans="1:4" x14ac:dyDescent="0.25">
      <c r="A25" s="3" t="s">
        <v>129</v>
      </c>
      <c r="B25" s="6">
        <v>1.2</v>
      </c>
      <c r="C25" s="6">
        <v>1.6</v>
      </c>
      <c r="D25" s="6">
        <v>2.1</v>
      </c>
    </row>
    <row r="26" spans="1:4" x14ac:dyDescent="0.25">
      <c r="A26" s="3" t="s">
        <v>130</v>
      </c>
      <c r="B26" s="5">
        <v>0</v>
      </c>
      <c r="C26" s="5">
        <v>25</v>
      </c>
      <c r="D26" s="5">
        <v>60</v>
      </c>
    </row>
    <row r="27" spans="1:4" x14ac:dyDescent="0.25">
      <c r="A27" s="3" t="s">
        <v>131</v>
      </c>
      <c r="B27" s="6">
        <v>0.2</v>
      </c>
      <c r="C27" s="6">
        <v>0.25</v>
      </c>
      <c r="D27" s="6">
        <v>0.3</v>
      </c>
    </row>
    <row r="28" spans="1:4" x14ac:dyDescent="0.25">
      <c r="A28" s="3" t="s">
        <v>25</v>
      </c>
    </row>
    <row r="29" spans="1:4" x14ac:dyDescent="0.25">
      <c r="A29" s="24" t="s">
        <v>132</v>
      </c>
      <c r="B29" s="21"/>
      <c r="C29" s="21"/>
      <c r="D29" s="21"/>
    </row>
    <row r="30" spans="1:4" x14ac:dyDescent="0.25">
      <c r="A30" s="10" t="s">
        <v>133</v>
      </c>
      <c r="B30" s="11">
        <f>MIN(Assumptions!$B$17,Assumptions!$B$14+Assumptions!$B$15*B9+IF(B10="Yes",Assumptions!$B$16,0))</f>
        <v>2.1999999999999999E-2</v>
      </c>
      <c r="C30" s="11">
        <f>MIN(Assumptions!$B$17,Assumptions!$B$14+Assumptions!$B$15*C9+IF(C10="Yes",Assumptions!$B$16,0))</f>
        <v>3.7999999999999999E-2</v>
      </c>
      <c r="D30" s="11">
        <f>MIN(Assumptions!$B$17,Assumptions!$B$14+Assumptions!$B$15*D9+IF(D10="Yes",Assumptions!$B$16,0))</f>
        <v>0.10400000000000001</v>
      </c>
    </row>
    <row r="31" spans="1:4" x14ac:dyDescent="0.25">
      <c r="A31" s="10" t="s">
        <v>134</v>
      </c>
      <c r="B31" s="12">
        <f>(Assumptions!$B$48*POWER(Assumptions!$B$49,B18-1))*(IF(B19="Common",1,IF(B19="Uncommon",1.4,IF(B19="Rare",2,IF(B19="Elite",3,IF(B19="Epic",4.5,IF(B19="Legendary",7,1)))))))</f>
        <v>14</v>
      </c>
      <c r="C31" s="12">
        <f>(Assumptions!$B$48*POWER(Assumptions!$B$49,C18-1))*(IF(C19="Common",1,IF(C19="Uncommon",1.4,IF(C19="Rare",2,IF(C19="Elite",3,IF(C19="Epic",4.5,IF(C19="Legendary",7,1)))))))</f>
        <v>44</v>
      </c>
      <c r="D31" s="12">
        <f>(Assumptions!$B$48*POWER(Assumptions!$B$49,D18-1))*(IF(D19="Common",1,IF(D19="Uncommon",1.4,IF(D19="Rare",2,IF(D19="Elite",3,IF(D19="Epic",4.5,IF(D19="Legendary",7,1)))))))</f>
        <v>145.20000000000002</v>
      </c>
    </row>
    <row r="32" spans="1:4" x14ac:dyDescent="0.25">
      <c r="A32" s="10" t="s">
        <v>135</v>
      </c>
      <c r="B32" s="13">
        <f>B23*(Assumptions!$B$39*(1+Assumptions!$B$40*MIN(B24,Assumptions!$B$41)))*IF(B24&gt;Assumptions!$B$41,POWER(1+Assumptions!$B$42,B24-Assumptions!$B$41),1)*(IF(B25&lt;=1,Assumptions!$B$43,IF(B25&gt;=3,Assumptions!$B$45,IF(B25&lt;2,Assumptions!$B$43+(B25-1)*(Assumptions!$B$44-Assumptions!$B$43),Assumptions!$B$44+(B25-2)*(Assumptions!$B$45-Assumptions!$B$44)))))</f>
        <v>25.423199999999998</v>
      </c>
      <c r="C32" s="13">
        <f>C23*(Assumptions!$B$39*(1+Assumptions!$B$40*MIN(C24,Assumptions!$B$41)))*IF(C24&gt;Assumptions!$B$41,POWER(1+Assumptions!$B$42,C24-Assumptions!$B$41),1)*(IF(C25&lt;=1,Assumptions!$B$43,IF(C25&gt;=3,Assumptions!$B$45,IF(C25&lt;2,Assumptions!$B$43+(C25-1)*(Assumptions!$B$44-Assumptions!$B$43),Assumptions!$B$44+(C25-2)*(Assumptions!$B$45-Assumptions!$B$44)))))</f>
        <v>65.34</v>
      </c>
      <c r="D32" s="13">
        <f>D23*(Assumptions!$B$39*(1+Assumptions!$B$40*MIN(D24,Assumptions!$B$41)))*IF(D24&gt;Assumptions!$B$41,POWER(1+Assumptions!$B$42,D24-Assumptions!$B$41),1)*(IF(D25&lt;=1,Assumptions!$B$43,IF(D25&gt;=3,Assumptions!$B$45,IF(D25&lt;2,Assumptions!$B$43+(D25-1)*(Assumptions!$B$44-Assumptions!$B$43),Assumptions!$B$44+(D25-2)*(Assumptions!$B$45-Assumptions!$B$44)))))</f>
        <v>141.32916645159378</v>
      </c>
    </row>
    <row r="33" spans="1:4" x14ac:dyDescent="0.25">
      <c r="A33" s="10" t="s">
        <v>136</v>
      </c>
      <c r="B33" s="13">
        <f>B32+B26+Assumptions!$B$46</f>
        <v>25.423199999999998</v>
      </c>
      <c r="C33" s="13">
        <f>C32+C26+Assumptions!$B$46</f>
        <v>90.34</v>
      </c>
      <c r="D33" s="13">
        <f>D32+D26+Assumptions!$B$46</f>
        <v>201.32916645159378</v>
      </c>
    </row>
  </sheetData>
  <mergeCells count="2">
    <mergeCell ref="A29:D29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1"/>
  <sheetViews>
    <sheetView topLeftCell="Y3" workbookViewId="0">
      <selection sqref="A1:AZ1"/>
    </sheetView>
  </sheetViews>
  <sheetFormatPr defaultRowHeight="15" x14ac:dyDescent="0.25"/>
  <cols>
    <col min="1" max="1" width="12" customWidth="1"/>
    <col min="2" max="2" width="6" customWidth="1"/>
    <col min="3" max="3" width="10" customWidth="1"/>
    <col min="4" max="4" width="12" customWidth="1"/>
    <col min="5" max="5" width="10" customWidth="1"/>
    <col min="6" max="17" width="14" customWidth="1"/>
    <col min="19" max="30" width="14" customWidth="1"/>
    <col min="32" max="43" width="14" customWidth="1"/>
  </cols>
  <sheetData>
    <row r="1" spans="1:52" x14ac:dyDescent="0.25">
      <c r="A1" s="22" t="s">
        <v>137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</row>
    <row r="2" spans="1:52" x14ac:dyDescent="0.25">
      <c r="F2" s="25" t="s">
        <v>101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S2" s="25" t="s">
        <v>102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F2" s="25" t="s">
        <v>103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</row>
    <row r="3" spans="1:52" ht="30" x14ac:dyDescent="0.25">
      <c r="A3" s="8" t="s">
        <v>138</v>
      </c>
      <c r="B3" s="8" t="s">
        <v>139</v>
      </c>
      <c r="C3" s="8" t="s">
        <v>140</v>
      </c>
      <c r="D3" s="8" t="s">
        <v>141</v>
      </c>
      <c r="E3" s="8" t="s">
        <v>142</v>
      </c>
      <c r="F3" s="8" t="s">
        <v>143</v>
      </c>
      <c r="G3" s="8" t="s">
        <v>144</v>
      </c>
      <c r="H3" s="8" t="s">
        <v>145</v>
      </c>
      <c r="I3" s="8" t="s">
        <v>146</v>
      </c>
      <c r="J3" s="8" t="s">
        <v>147</v>
      </c>
      <c r="K3" s="8" t="s">
        <v>148</v>
      </c>
      <c r="L3" s="8" t="s">
        <v>149</v>
      </c>
      <c r="M3" s="8" t="s">
        <v>150</v>
      </c>
      <c r="N3" s="8" t="s">
        <v>151</v>
      </c>
      <c r="O3" s="8" t="s">
        <v>152</v>
      </c>
      <c r="P3" s="8" t="s">
        <v>153</v>
      </c>
      <c r="Q3" s="8" t="s">
        <v>154</v>
      </c>
      <c r="S3" s="8" t="s">
        <v>143</v>
      </c>
      <c r="T3" s="8" t="s">
        <v>144</v>
      </c>
      <c r="U3" s="8" t="s">
        <v>145</v>
      </c>
      <c r="V3" s="8" t="s">
        <v>146</v>
      </c>
      <c r="W3" s="8" t="s">
        <v>147</v>
      </c>
      <c r="X3" s="8" t="s">
        <v>148</v>
      </c>
      <c r="Y3" s="8" t="s">
        <v>149</v>
      </c>
      <c r="Z3" s="8" t="s">
        <v>150</v>
      </c>
      <c r="AA3" s="8" t="s">
        <v>151</v>
      </c>
      <c r="AB3" s="8" t="s">
        <v>152</v>
      </c>
      <c r="AC3" s="8" t="s">
        <v>153</v>
      </c>
      <c r="AD3" s="8" t="s">
        <v>154</v>
      </c>
      <c r="AF3" s="8" t="s">
        <v>143</v>
      </c>
      <c r="AG3" s="8" t="s">
        <v>144</v>
      </c>
      <c r="AH3" s="8" t="s">
        <v>145</v>
      </c>
      <c r="AI3" s="8" t="s">
        <v>146</v>
      </c>
      <c r="AJ3" s="8" t="s">
        <v>147</v>
      </c>
      <c r="AK3" s="8" t="s">
        <v>148</v>
      </c>
      <c r="AL3" s="8" t="s">
        <v>149</v>
      </c>
      <c r="AM3" s="8" t="s">
        <v>150</v>
      </c>
      <c r="AN3" s="8" t="s">
        <v>151</v>
      </c>
      <c r="AO3" s="8" t="s">
        <v>152</v>
      </c>
      <c r="AP3" s="8" t="s">
        <v>153</v>
      </c>
      <c r="AQ3" s="8" t="s">
        <v>154</v>
      </c>
    </row>
    <row r="4" spans="1:52" x14ac:dyDescent="0.25">
      <c r="A4" s="14">
        <v>0</v>
      </c>
      <c r="B4" s="14">
        <f t="shared" ref="B4:B51" si="0">INT(A4/24)+1</f>
        <v>1</v>
      </c>
      <c r="C4" s="14">
        <f t="shared" ref="C4:C51" si="1">MOD(A4,24)</f>
        <v>0</v>
      </c>
      <c r="D4" s="15">
        <f>IF(C4&lt;Assumptions!$B$10,1,0)</f>
        <v>1</v>
      </c>
      <c r="E4" s="15">
        <v>1</v>
      </c>
      <c r="F4" s="18">
        <f>Archetypes!$B$8</f>
        <v>0</v>
      </c>
      <c r="G4" s="18">
        <f>MAX(Assumptions!$B$21,(F4)+(H4))</f>
        <v>7.5311999999999992</v>
      </c>
      <c r="H4" s="18">
        <f>(((Archetypes!$B$11*(IF(F4&lt;0,1+Assumptions!$B$32*MIN(1,ABS(F4)/ABS(Assumptions!$B$21)),MAX(0.1,1-Assumptions!$B$31*(F4/50)))))-((Archetypes!$B$11*(IF(F4&lt;0,1+Assumptions!$B$32*MIN(1,ABS(F4)/ABS(Assumptions!$B$21)),MAX(0.1,1-Assumptions!$B$31*(F4/50)))))*J4)*Archetypes!$B$15)*Assumptions!$B$22+((Archetypes!$B$11*(IF(F4&lt;0,1+Assumptions!$B$32*MIN(1,ABS(F4)/ABS(Assumptions!$B$21)),MAX(0.1,1-Assumptions!$B$31*(F4/50)))))*J4*Archetypes!$B$15*Archetypes!$B$22)*Assumptions!$B$23+(Archetypes!$B$11*(IF(F4&lt;0,1+Assumptions!$B$32*MIN(1,ABS(F4)/ABS(Assumptions!$B$21)),MAX(0.1,1-Assumptions!$B$31*(F4/50)))))*Assumptions!$B$24+-((Archetypes!$B$11*(IF(F4&lt;0,1+Assumptions!$B$32*MIN(1,ABS(F4)/ABS(Assumptions!$B$21)),MAX(0.1,1-Assumptions!$B$31*(F4/50)))))*Archetypes!$B$16)*(Assumptions!$B$27*(1+Assumptions!$B$28*Archetypes!$B$14)/(1+Assumptions!$B$29*Archetypes!$B$12))+-(Archetypes!$B$11*(IF(F4&lt;0,1+Assumptions!$B$32*MIN(1,ABS(F4)/ABS(Assumptions!$B$21)),MAX(0.1,1-Assumptions!$B$31*(F4/50)))))*Archetypes!$B$17*((Archetypes!$B$31)/100)*Assumptions!$B$30+-Assumptions!$B$25*Assumptions!$B$26)*$E4</f>
        <v>7.5311999999999992</v>
      </c>
      <c r="I4" s="18">
        <f>(Archetypes!$B$11*(IF(F4&lt;0,1+Assumptions!$B$32*MIN(1,ABS(F4)/ABS(Assumptions!$B$21)),MAX(0.1,1-Assumptions!$B$31*(F4/50)))))*$E4</f>
        <v>10</v>
      </c>
      <c r="J4" s="19">
        <f>Archetypes!$B$30</f>
        <v>2.1999999999999999E-2</v>
      </c>
      <c r="K4" s="18">
        <f t="shared" ref="K4:K51" si="2">I4*J4</f>
        <v>0.21999999999999997</v>
      </c>
      <c r="L4" s="18">
        <f>((I4-K4)*Archetypes!$B$15)+(K4*Archetypes!$B$15*Archetypes!$B$22)</f>
        <v>1.0044</v>
      </c>
      <c r="M4" s="18">
        <f>I4*Archetypes!$B$16</f>
        <v>7.5</v>
      </c>
      <c r="N4" s="18">
        <f>(IF(F4&lt;0,Assumptions!$B$8,IF(F4&lt;10,Assumptions!$B$34,IF(F4&lt;25,Assumptions!$B$35,Assumptions!$B$36))))*((((Archetypes!$B$5*Assumptions!$B$4+Archetypes!$B$6*Assumptions!$B$5)*60))+(Assumptions!$B$6*(((Archetypes!$B$11*(IF(F4&lt;0,1+Assumptions!$B$32*MIN(1,ABS(F4)/ABS(Assumptions!$B$21)),MAX(0.1,1-Assumptions!$B$31*(F4/50)))))-((Archetypes!$B$11*(IF(F4&lt;0,1+Assumptions!$B$32*MIN(1,ABS(F4)/ABS(Assumptions!$B$21)),MAX(0.1,1-Assumptions!$B$31*(F4/50)))))*J4)*Archetypes!$B$20)+((Archetypes!$B$11*(IF(F4&lt;0,1+Assumptions!$B$32*MIN(1,ABS(F4)/ABS(Assumptions!$B$21)),MAX(0.1,1-Assumptions!$B$31*(F4/50)))))*J4*Archetypes!$B$20*Archetypes!$B$21)*Assumptions!$B$18)*(IF($D4=1,1,Assumptions!$B$7)))+(((((Archetypes!$B$11*(IF(F4&lt;0,1+Assumptions!$B$32*MIN(1,ABS(F4)/ABS(Assumptions!$B$21)),MAX(0.1,1-Assumptions!$B$31*(F4/50)))))-((Archetypes!$B$11*(IF(F4&lt;0,1+Assumptions!$B$32*MIN(1,ABS(F4)/ABS(Assumptions!$B$21)),MAX(0.1,1-Assumptions!$B$31*(F4/50)))))*J4)*Archetypes!$B$15)*(Archetypes!$B$13*IF(F4&lt;0,1-Assumptions!$B$33*MIN(1,ABS(F4)/ABS(Assumptions!$B$21)),1))*5)+(((Archetypes!$B$11*(IF(F4&lt;0,1+Assumptions!$B$32*MIN(1,ABS(F4)/ABS(Assumptions!$B$21)),MAX(0.1,1-Assumptions!$B$31*(F4/50)))))*J4*Archetypes!$B$15*Archetypes!$B$22)*(Archetypes!$B$13*IF(F4&lt;0,1-Assumptions!$B$33*MIN(1,ABS(F4)/ABS(Assumptions!$B$21)),1))*5*Assumptions!$B$18))*IF(F4&lt;0,Assumptions!$B$9,1)))*$E4</f>
        <v>690.72</v>
      </c>
      <c r="O4" s="18">
        <f>(Archetypes!$B$7)+(N4)-(MAX(0,((Archetypes!$B$7)+(N4)-(P4)))*(IF(Archetypes!$B$27="",Assumptions!$B$11,Archetypes!$B$27)))</f>
        <v>557.66064000000006</v>
      </c>
      <c r="P4" s="18">
        <f>Archetypes!$B$33</f>
        <v>25.423199999999998</v>
      </c>
      <c r="Q4" s="18">
        <f t="shared" ref="Q4:Q51" si="3">MAX(0,(O4)-(P4))</f>
        <v>532.23744000000011</v>
      </c>
      <c r="S4" s="18">
        <f>Archetypes!$C$8</f>
        <v>5</v>
      </c>
      <c r="T4" s="18">
        <f>MAX(Assumptions!$B$21,(S4)+(U4))</f>
        <v>10.139594857142857</v>
      </c>
      <c r="U4" s="18">
        <f>(((Archetypes!$C$11*(IF(S4&lt;0,1+Assumptions!$B$32*MIN(1,ABS(S4)/ABS(Assumptions!$B$21)),MAX(0.1,1-Assumptions!$B$31*(S4/50)))))-((Archetypes!$C$11*(IF(S4&lt;0,1+Assumptions!$B$32*MIN(1,ABS(S4)/ABS(Assumptions!$B$21)),MAX(0.1,1-Assumptions!$B$31*(S4/50)))))*W4)*Archetypes!$C$15)*Assumptions!$B$22+((Archetypes!$C$11*(IF(S4&lt;0,1+Assumptions!$B$32*MIN(1,ABS(S4)/ABS(Assumptions!$B$21)),MAX(0.1,1-Assumptions!$B$31*(S4/50)))))*W4*Archetypes!$C$15*Archetypes!$C$22)*Assumptions!$B$23+(Archetypes!$C$11*(IF(S4&lt;0,1+Assumptions!$B$32*MIN(1,ABS(S4)/ABS(Assumptions!$B$21)),MAX(0.1,1-Assumptions!$B$31*(S4/50)))))*Assumptions!$B$24+-((Archetypes!$C$11*(IF(S4&lt;0,1+Assumptions!$B$32*MIN(1,ABS(S4)/ABS(Assumptions!$B$21)),MAX(0.1,1-Assumptions!$B$31*(S4/50)))))*Archetypes!$C$16)*(Assumptions!$B$27*(1+Assumptions!$B$28*Archetypes!$C$14)/(1+Assumptions!$B$29*Archetypes!$C$12))+-(Archetypes!$C$11*(IF(S4&lt;0,1+Assumptions!$B$32*MIN(1,ABS(S4)/ABS(Assumptions!$B$21)),MAX(0.1,1-Assumptions!$B$31*(S4/50)))))*Archetypes!$C$17*((Archetypes!$C$31)/100)*Assumptions!$B$30+-Assumptions!$B$25*Assumptions!$B$26)*$E4</f>
        <v>5.1395948571428569</v>
      </c>
      <c r="V4" s="18">
        <f>(Archetypes!$C$11*(IF(S4&lt;0,1+Assumptions!$B$32*MIN(1,ABS(S4)/ABS(Assumptions!$B$21)),MAX(0.1,1-Assumptions!$B$31*(S4/50)))))*$E4</f>
        <v>5.64</v>
      </c>
      <c r="W4" s="19">
        <f>Archetypes!$C$30</f>
        <v>3.7999999999999999E-2</v>
      </c>
      <c r="X4" s="18">
        <f t="shared" ref="X4:X51" si="4">V4*W4</f>
        <v>0.21431999999999998</v>
      </c>
      <c r="Y4" s="18">
        <f>((V4-X4)*Archetypes!$C$15)+(X4*Archetypes!$C$15*Archetypes!$C$22)</f>
        <v>2.8521479999999997</v>
      </c>
      <c r="Z4" s="18">
        <f>V4*Archetypes!$C$16</f>
        <v>2.5379999999999998</v>
      </c>
      <c r="AA4" s="18">
        <f>(IF(S4&lt;0,Assumptions!$B$8,IF(S4&lt;10,Assumptions!$B$34,IF(S4&lt;25,Assumptions!$B$35,Assumptions!$B$36))))*((((Archetypes!$C$5*Assumptions!$B$4+Archetypes!$C$6*Assumptions!$B$5)*60))+(Assumptions!$B$6*(((Archetypes!$C$11*(IF(S4&lt;0,1+Assumptions!$B$32*MIN(1,ABS(S4)/ABS(Assumptions!$B$21)),MAX(0.1,1-Assumptions!$B$31*(S4/50)))))-((Archetypes!$C$11*(IF(S4&lt;0,1+Assumptions!$B$32*MIN(1,ABS(S4)/ABS(Assumptions!$B$21)),MAX(0.1,1-Assumptions!$B$31*(S4/50)))))*W4)*Archetypes!$C$20)+((Archetypes!$C$11*(IF(S4&lt;0,1+Assumptions!$B$32*MIN(1,ABS(S4)/ABS(Assumptions!$B$21)),MAX(0.1,1-Assumptions!$B$31*(S4/50)))))*W4*Archetypes!$C$20*Archetypes!$C$21)*Assumptions!$B$18)*(IF($D4=1,1,Assumptions!$B$7)))+(((((Archetypes!$C$11*(IF(S4&lt;0,1+Assumptions!$B$32*MIN(1,ABS(S4)/ABS(Assumptions!$B$21)),MAX(0.1,1-Assumptions!$B$31*(S4/50)))))-((Archetypes!$C$11*(IF(S4&lt;0,1+Assumptions!$B$32*MIN(1,ABS(S4)/ABS(Assumptions!$B$21)),MAX(0.1,1-Assumptions!$B$31*(S4/50)))))*W4)*Archetypes!$C$15)*(Archetypes!$C$13*IF(S4&lt;0,1-Assumptions!$B$33*MIN(1,ABS(S4)/ABS(Assumptions!$B$21)),1))*5)+(((Archetypes!$C$11*(IF(S4&lt;0,1+Assumptions!$B$32*MIN(1,ABS(S4)/ABS(Assumptions!$B$21)),MAX(0.1,1-Assumptions!$B$31*(S4/50)))))*W4*Archetypes!$C$15*Archetypes!$C$22)*(Archetypes!$C$13*IF(S4&lt;0,1-Assumptions!$B$33*MIN(1,ABS(S4)/ABS(Assumptions!$B$21)),1))*5*Assumptions!$B$18))*IF(S4&lt;0,Assumptions!$B$9,1)))*$E4</f>
        <v>1673.799</v>
      </c>
      <c r="AB4" s="18">
        <f>(Archetypes!$C$7)+(AA4)-(MAX(0,((Archetypes!$C$7)+(AA4)-(AC4)))*(IF(Archetypes!$C$27="",Assumptions!$B$11,Archetypes!$C$27)))</f>
        <v>1277.93425</v>
      </c>
      <c r="AC4" s="18">
        <f>Archetypes!$C$33</f>
        <v>90.34</v>
      </c>
      <c r="AD4" s="18">
        <f t="shared" ref="AD4:AD51" si="5">MAX(0,(AB4)-(AC4))</f>
        <v>1187.5942500000001</v>
      </c>
      <c r="AF4" s="18">
        <f>Archetypes!$D$8</f>
        <v>15</v>
      </c>
      <c r="AG4" s="18">
        <f>MAX(Assumptions!$B$21,(AF4)+(AH4))</f>
        <v>18.4312352</v>
      </c>
      <c r="AH4" s="18">
        <f>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$15)*Assumptions!$B$22+((Archetypes!$D$11*(IF(AF4&lt;0,1+Assumptions!$B$32*MIN(1,ABS(AF4)/ABS(Assumptions!$B$21)),MAX(0.1,1-Assumptions!$B$31*(AF4/50)))))*AJ4*Archetypes!$D$15*Archetypes!$D$22)*Assumptions!$B$23+(Archetypes!$D$11*(IF(AF4&lt;0,1+Assumptions!$B$32*MIN(1,ABS(AF4)/ABS(Assumptions!$B$21)),MAX(0.1,1-Assumptions!$B$31*(AF4/50)))))*Assumptions!$B$24+-((Archetypes!$D$11*(IF(AF4&lt;0,1+Assumptions!$B$32*MIN(1,ABS(AF4)/ABS(Assumptions!$B$21)),MAX(0.1,1-Assumptions!$B$31*(AF4/50)))))*Archetypes!$D$16)*(Assumptions!$B$27*(1+Assumptions!$B$28*Archetypes!$D$14)/(1+Assumptions!$B$29*Archetypes!$D$12))+-(Archetypes!$D$11*(IF(AF4&lt;0,1+Assumptions!$B$32*MIN(1,ABS(AF4)/ABS(Assumptions!$B$21)),MAX(0.1,1-Assumptions!$B$31*(AF4/50)))))*Archetypes!$D$17*((Archetypes!$D$31)/100)*Assumptions!$B$30+-Assumptions!$B$25*Assumptions!$B$26)*$E4</f>
        <v>3.4312352000000002</v>
      </c>
      <c r="AI4" s="18">
        <f>(Archetypes!$D$11*(IF(AF4&lt;0,1+Assumptions!$B$32*MIN(1,ABS(AF4)/ABS(Assumptions!$B$21)),MAX(0.1,1-Assumptions!$B$31*(AF4/50)))))*$E4</f>
        <v>2.46</v>
      </c>
      <c r="AJ4" s="19">
        <f>Archetypes!$D$30</f>
        <v>0.10400000000000001</v>
      </c>
      <c r="AK4" s="18">
        <f t="shared" ref="AK4:AK51" si="6">AI4*AJ4</f>
        <v>0.25584000000000001</v>
      </c>
      <c r="AL4" s="18">
        <f>((AI4-AK4)*Archetypes!$D$15)+(AK4*Archetypes!$D$15*Archetypes!$D$22)</f>
        <v>3.8435039999999998</v>
      </c>
      <c r="AM4" s="18">
        <f>AI4*Archetypes!$D$16</f>
        <v>0.49199999999999999</v>
      </c>
      <c r="AN4" s="18">
        <f>(IF(AF4&lt;0,Assumptions!$B$8,IF(AF4&lt;10,Assumptions!$B$34,IF(AF4&lt;25,Assumptions!$B$35,Assumptions!$B$36))))*((((Archetypes!$D$5*Assumptions!$B$4+Archetypes!$D$6*Assumptions!$B$5)*60))+(Assumptions!$B$6*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$20)+((Archetypes!$D$11*(IF(AF4&lt;0,1+Assumptions!$B$32*MIN(1,ABS(AF4)/ABS(Assumptions!$B$21)),MAX(0.1,1-Assumptions!$B$31*(AF4/50)))))*AJ4*Archetypes!$D$20*Archetypes!$D$21)*Assumptions!$B$18)*(IF($D4=1,1,Assumptions!$B$7)))+((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$15)*(Archetypes!$D$13*IF(AF4&lt;0,1-Assumptions!$B$33*MIN(1,ABS(AF4)/ABS(Assumptions!$B$21)),1))*5)+(((Archetypes!$D$11*(IF(AF4&lt;0,1+Assumptions!$B$32*MIN(1,ABS(AF4)/ABS(Assumptions!$B$21)),MAX(0.1,1-Assumptions!$B$31*(AF4/50)))))*AJ4*Archetypes!$D$15*Archetypes!$D$22)*(Archetypes!$D$13*IF(AF4&lt;0,1-Assumptions!$B$33*MIN(1,ABS(AF4)/ABS(Assumptions!$B$21)),1))*5*Assumptions!$B$18))*IF(AF4&lt;0,Assumptions!$B$9,1)))*$E4</f>
        <v>2733.8111999999996</v>
      </c>
      <c r="AO4" s="18">
        <f>(Archetypes!$D$7)+(AN4)-(MAX(0,((Archetypes!$D$7)+(AN4)-(AP4)))*(IF(Archetypes!$D$27="",Assumptions!$B$11,Archetypes!$D$27)))</f>
        <v>1974.0665899354779</v>
      </c>
      <c r="AP4" s="18">
        <f>Archetypes!$D$33</f>
        <v>201.32916645159378</v>
      </c>
      <c r="AQ4" s="18">
        <f t="shared" ref="AQ4:AQ51" si="7">MAX(0,(AO4)-(AP4))</f>
        <v>1772.737423483884</v>
      </c>
    </row>
    <row r="5" spans="1:52" x14ac:dyDescent="0.25">
      <c r="A5" s="14">
        <v>1</v>
      </c>
      <c r="B5" s="14">
        <f t="shared" si="0"/>
        <v>1</v>
      </c>
      <c r="C5" s="14">
        <f t="shared" si="1"/>
        <v>1</v>
      </c>
      <c r="D5" s="15">
        <f>IF(C5&lt;Assumptions!$B$10,1,0)</f>
        <v>1</v>
      </c>
      <c r="E5" s="15">
        <v>1</v>
      </c>
      <c r="F5" s="18">
        <f t="shared" ref="F5:F51" si="8">G4</f>
        <v>7.5311999999999992</v>
      </c>
      <c r="G5" s="18">
        <f>MAX(Assumptions!$B$21,(F5)+(H5))</f>
        <v>14.368216158719999</v>
      </c>
      <c r="H5" s="18">
        <f>(((Archetypes!$B$11*(IF(F5&lt;0,1+Assumptions!$B$32*MIN(1,ABS(F5)/ABS(Assumptions!$B$21)),MAX(0.1,1-Assumptions!$B$31*(F5/50)))))-((Archetypes!$B$11*(IF(F5&lt;0,1+Assumptions!$B$32*MIN(1,ABS(F5)/ABS(Assumptions!$B$21)),MAX(0.1,1-Assumptions!$B$31*(F5/50)))))*J5)*Archetypes!$B$15)*Assumptions!$B$22+((Archetypes!$B$11*(IF(F5&lt;0,1+Assumptions!$B$32*MIN(1,ABS(F5)/ABS(Assumptions!$B$21)),MAX(0.1,1-Assumptions!$B$31*(F5/50)))))*J5*Archetypes!$B$15*Archetypes!$B$22)*Assumptions!$B$23+(Archetypes!$B$11*(IF(F5&lt;0,1+Assumptions!$B$32*MIN(1,ABS(F5)/ABS(Assumptions!$B$21)),MAX(0.1,1-Assumptions!$B$31*(F5/50)))))*Assumptions!$B$24+-((Archetypes!$B$11*(IF(F5&lt;0,1+Assumptions!$B$32*MIN(1,ABS(F5)/ABS(Assumptions!$B$21)),MAX(0.1,1-Assumptions!$B$31*(F5/50)))))*Archetypes!$B$16)*(Assumptions!$B$27*(1+Assumptions!$B$28*Archetypes!$B$14)/(1+Assumptions!$B$29*Archetypes!$B$12))+-(Archetypes!$B$11*(IF(F5&lt;0,1+Assumptions!$B$32*MIN(1,ABS(F5)/ABS(Assumptions!$B$21)),MAX(0.1,1-Assumptions!$B$31*(F5/50)))))*Archetypes!$B$17*((Archetypes!$B$31)/100)*Assumptions!$B$30+-Assumptions!$B$25*Assumptions!$B$26)*$E5</f>
        <v>6.8370161587200009</v>
      </c>
      <c r="I5" s="18">
        <f>(Archetypes!$B$11*(IF(F5&lt;0,1+Assumptions!$B$32*MIN(1,ABS(F5)/ABS(Assumptions!$B$21)),MAX(0.1,1-Assumptions!$B$31*(F5/50)))))*$E5</f>
        <v>9.0962560000000003</v>
      </c>
      <c r="J5" s="19">
        <f>Archetypes!$B$30</f>
        <v>2.1999999999999999E-2</v>
      </c>
      <c r="K5" s="18">
        <f t="shared" si="2"/>
        <v>0.20011763199999999</v>
      </c>
      <c r="L5" s="18">
        <f>((I5-K5)*Archetypes!$B$15)+(K5*Archetypes!$B$15*Archetypes!$B$22)</f>
        <v>0.91362795264000018</v>
      </c>
      <c r="M5" s="18">
        <f>I5*Archetypes!$B$16</f>
        <v>6.8221920000000003</v>
      </c>
      <c r="N5" s="18">
        <f>(IF(F5&lt;0,Assumptions!$B$8,IF(F5&lt;10,Assumptions!$B$34,IF(F5&lt;25,Assumptions!$B$35,Assumptions!$B$36))))*((((Archetypes!$B$5*Assumptions!$B$4+Archetypes!$B$6*Assumptions!$B$5)*60))+(Assumptions!$B$6*(((Archetypes!$B$11*(IF(F5&lt;0,1+Assumptions!$B$32*MIN(1,ABS(F5)/ABS(Assumptions!$B$21)),MAX(0.1,1-Assumptions!$B$31*(F5/50)))))-((Archetypes!$B$11*(IF(F5&lt;0,1+Assumptions!$B$32*MIN(1,ABS(F5)/ABS(Assumptions!$B$21)),MAX(0.1,1-Assumptions!$B$31*(F5/50)))))*J5)*Archetypes!$B$20)+((Archetypes!$B$11*(IF(F5&lt;0,1+Assumptions!$B$32*MIN(1,ABS(F5)/ABS(Assumptions!$B$21)),MAX(0.1,1-Assumptions!$B$31*(F5/50)))))*J5*Archetypes!$B$20*Archetypes!$B$21)*Assumptions!$B$18)*(IF($D5=1,1,Assumptions!$B$7)))+(((((Archetypes!$B$11*(IF(F5&lt;0,1+Assumptions!$B$32*MIN(1,ABS(F5)/ABS(Assumptions!$B$21)),MAX(0.1,1-Assumptions!$B$31*(F5/50)))))-((Archetypes!$B$11*(IF(F5&lt;0,1+Assumptions!$B$32*MIN(1,ABS(F5)/ABS(Assumptions!$B$21)),MAX(0.1,1-Assumptions!$B$31*(F5/50)))))*J5)*Archetypes!$B$15)*(Archetypes!$B$13*IF(F5&lt;0,1-Assumptions!$B$33*MIN(1,ABS(F5)/ABS(Assumptions!$B$21)),1))*5)+(((Archetypes!$B$11*(IF(F5&lt;0,1+Assumptions!$B$32*MIN(1,ABS(F5)/ABS(Assumptions!$B$21)),MAX(0.1,1-Assumptions!$B$31*(F5/50)))))*J5*Archetypes!$B$15*Archetypes!$B$22)*(Archetypes!$B$13*IF(F5&lt;0,1-Assumptions!$B$33*MIN(1,ABS(F5)/ABS(Assumptions!$B$21)),1))*5*Assumptions!$B$18))*IF(F5&lt;0,Assumptions!$B$9,1)))*$E5</f>
        <v>644.56398643200009</v>
      </c>
      <c r="O5" s="18">
        <f>(O4)+(N5)-(MAX(0,((O4)+(N5)-(P5)))*(IF(Archetypes!$B$27="",Assumptions!$B$11,Archetypes!$B$27)))</f>
        <v>966.86434114560006</v>
      </c>
      <c r="P5" s="18">
        <f>Archetypes!$B$33</f>
        <v>25.423199999999998</v>
      </c>
      <c r="Q5" s="18">
        <f t="shared" si="3"/>
        <v>941.44114114560011</v>
      </c>
      <c r="S5" s="18">
        <f t="shared" ref="S5:S51" si="9">T4</f>
        <v>10.139594857142857</v>
      </c>
      <c r="T5" s="18">
        <f>MAX(Assumptions!$B$21,(S5)+(U5))</f>
        <v>14.932129613977533</v>
      </c>
      <c r="U5" s="18">
        <f>(((Archetypes!$C$11*(IF(S5&lt;0,1+Assumptions!$B$32*MIN(1,ABS(S5)/ABS(Assumptions!$B$21)),MAX(0.1,1-Assumptions!$B$31*(S5/50)))))-((Archetypes!$C$11*(IF(S5&lt;0,1+Assumptions!$B$32*MIN(1,ABS(S5)/ABS(Assumptions!$B$21)),MAX(0.1,1-Assumptions!$B$31*(S5/50)))))*W5)*Archetypes!$C$15)*Assumptions!$B$22+((Archetypes!$C$11*(IF(S5&lt;0,1+Assumptions!$B$32*MIN(1,ABS(S5)/ABS(Assumptions!$B$21)),MAX(0.1,1-Assumptions!$B$31*(S5/50)))))*W5*Archetypes!$C$15*Archetypes!$C$22)*Assumptions!$B$23+(Archetypes!$C$11*(IF(S5&lt;0,1+Assumptions!$B$32*MIN(1,ABS(S5)/ABS(Assumptions!$B$21)),MAX(0.1,1-Assumptions!$B$31*(S5/50)))))*Assumptions!$B$24+-((Archetypes!$C$11*(IF(S5&lt;0,1+Assumptions!$B$32*MIN(1,ABS(S5)/ABS(Assumptions!$B$21)),MAX(0.1,1-Assumptions!$B$31*(S5/50)))))*Archetypes!$C$16)*(Assumptions!$B$27*(1+Assumptions!$B$28*Archetypes!$C$14)/(1+Assumptions!$B$29*Archetypes!$C$12))+-(Archetypes!$C$11*(IF(S5&lt;0,1+Assumptions!$B$32*MIN(1,ABS(S5)/ABS(Assumptions!$B$21)),MAX(0.1,1-Assumptions!$B$31*(S5/50)))))*Archetypes!$C$17*((Archetypes!$C$31)/100)*Assumptions!$B$30+-Assumptions!$B$25*Assumptions!$B$26)*$E5</f>
        <v>4.7925347568346766</v>
      </c>
      <c r="V5" s="18">
        <f>(Archetypes!$C$11*(IF(S5&lt;0,1+Assumptions!$B$32*MIN(1,ABS(S5)/ABS(Assumptions!$B$21)),MAX(0.1,1-Assumptions!$B$31*(S5/50)))))*$E5</f>
        <v>5.269949170285714</v>
      </c>
      <c r="W5" s="19">
        <f>Archetypes!$C$30</f>
        <v>3.7999999999999999E-2</v>
      </c>
      <c r="X5" s="18">
        <f t="shared" si="4"/>
        <v>0.20025806847085711</v>
      </c>
      <c r="Y5" s="18">
        <f>((V5-X5)*Archetypes!$C$15)+(X5*Archetypes!$C$15*Archetypes!$C$22)</f>
        <v>2.6650132954134853</v>
      </c>
      <c r="Z5" s="18">
        <f>V5*Archetypes!$C$16</f>
        <v>2.3714771266285712</v>
      </c>
      <c r="AA5" s="18">
        <f>(IF(S5&lt;0,Assumptions!$B$8,IF(S5&lt;10,Assumptions!$B$34,IF(S5&lt;25,Assumptions!$B$35,Assumptions!$B$36))))*((((Archetypes!$C$5*Assumptions!$B$4+Archetypes!$C$6*Assumptions!$B$5)*60))+(Assumptions!$B$6*(((Archetypes!$C$11*(IF(S5&lt;0,1+Assumptions!$B$32*MIN(1,ABS(S5)/ABS(Assumptions!$B$21)),MAX(0.1,1-Assumptions!$B$31*(S5/50)))))-((Archetypes!$C$11*(IF(S5&lt;0,1+Assumptions!$B$32*MIN(1,ABS(S5)/ABS(Assumptions!$B$21)),MAX(0.1,1-Assumptions!$B$31*(S5/50)))))*W5)*Archetypes!$C$20)+((Archetypes!$C$11*(IF(S5&lt;0,1+Assumptions!$B$32*MIN(1,ABS(S5)/ABS(Assumptions!$B$21)),MAX(0.1,1-Assumptions!$B$31*(S5/50)))))*W5*Archetypes!$C$20*Archetypes!$C$21)*Assumptions!$B$18)*(IF($D5=1,1,Assumptions!$B$7)))+(((((Archetypes!$C$11*(IF(S5&lt;0,1+Assumptions!$B$32*MIN(1,ABS(S5)/ABS(Assumptions!$B$21)),MAX(0.1,1-Assumptions!$B$31*(S5/50)))))-((Archetypes!$C$11*(IF(S5&lt;0,1+Assumptions!$B$32*MIN(1,ABS(S5)/ABS(Assumptions!$B$21)),MAX(0.1,1-Assumptions!$B$31*(S5/50)))))*W5)*Archetypes!$C$15)*(Archetypes!$C$13*IF(S5&lt;0,1-Assumptions!$B$33*MIN(1,ABS(S5)/ABS(Assumptions!$B$21)),1))*5)+(((Archetypes!$C$11*(IF(S5&lt;0,1+Assumptions!$B$32*MIN(1,ABS(S5)/ABS(Assumptions!$B$21)),MAX(0.1,1-Assumptions!$B$31*(S5/50)))))*W5*Archetypes!$C$15*Archetypes!$C$22)*(Archetypes!$C$13*IF(S5&lt;0,1-Assumptions!$B$33*MIN(1,ABS(S5)/ABS(Assumptions!$B$21)),1))*5*Assumptions!$B$18))*IF(S5&lt;0,Assumptions!$B$9,1)))*$E5</f>
        <v>1534.3974350229771</v>
      </c>
      <c r="AB5" s="18">
        <f>(AB4)+(AA5)-(MAX(0,((AB4)+(AA5)-(AC5)))*(IF(Archetypes!$C$27="",Assumptions!$B$11,Archetypes!$C$27)))</f>
        <v>2131.833763767233</v>
      </c>
      <c r="AC5" s="18">
        <f>Archetypes!$C$33</f>
        <v>90.34</v>
      </c>
      <c r="AD5" s="18">
        <f t="shared" si="5"/>
        <v>2041.4937637672331</v>
      </c>
      <c r="AF5" s="18">
        <f t="shared" ref="AF5:AF51" si="10">AG4</f>
        <v>18.4312352</v>
      </c>
      <c r="AG5" s="18">
        <f>MAX(Assumptions!$B$21,(AF5)+(AH5))</f>
        <v>21.682645127643134</v>
      </c>
      <c r="AH5" s="18">
        <f>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$15)*Assumptions!$B$22+((Archetypes!$D$11*(IF(AF5&lt;0,1+Assumptions!$B$32*MIN(1,ABS(AF5)/ABS(Assumptions!$B$21)),MAX(0.1,1-Assumptions!$B$31*(AF5/50)))))*AJ5*Archetypes!$D$15*Archetypes!$D$22)*Assumptions!$B$23+(Archetypes!$D$11*(IF(AF5&lt;0,1+Assumptions!$B$32*MIN(1,ABS(AF5)/ABS(Assumptions!$B$21)),MAX(0.1,1-Assumptions!$B$31*(AF5/50)))))*Assumptions!$B$24+-((Archetypes!$D$11*(IF(AF5&lt;0,1+Assumptions!$B$32*MIN(1,ABS(AF5)/ABS(Assumptions!$B$21)),MAX(0.1,1-Assumptions!$B$31*(AF5/50)))))*Archetypes!$D$16)*(Assumptions!$B$27*(1+Assumptions!$B$28*Archetypes!$D$14)/(1+Assumptions!$B$29*Archetypes!$D$12))+-(Archetypes!$D$11*(IF(AF5&lt;0,1+Assumptions!$B$32*MIN(1,ABS(AF5)/ABS(Assumptions!$B$21)),MAX(0.1,1-Assumptions!$B$31*(AF5/50)))))*Archetypes!$D$17*((Archetypes!$D$31)/100)*Assumptions!$B$30+-Assumptions!$B$25*Assumptions!$B$26)*$E5</f>
        <v>3.2514099276431359</v>
      </c>
      <c r="AI5" s="18">
        <f>(Archetypes!$D$11*(IF(AF5&lt;0,1+Assumptions!$B$32*MIN(1,ABS(AF5)/ABS(Assumptions!$B$21)),MAX(0.1,1-Assumptions!$B$31*(AF5/50)))))*$E5</f>
        <v>2.3364755328000002</v>
      </c>
      <c r="AJ5" s="19">
        <f>Archetypes!$D$30</f>
        <v>0.10400000000000001</v>
      </c>
      <c r="AK5" s="18">
        <f t="shared" si="6"/>
        <v>0.24299345541120004</v>
      </c>
      <c r="AL5" s="18">
        <f>((AI5-AK5)*Archetypes!$D$15)+(AK5*Archetypes!$D$15*Archetypes!$D$22)</f>
        <v>3.6505093724467201</v>
      </c>
      <c r="AM5" s="18">
        <f>AI5*Archetypes!$D$16</f>
        <v>0.46729510656000006</v>
      </c>
      <c r="AN5" s="18">
        <f>(IF(AF5&lt;0,Assumptions!$B$8,IF(AF5&lt;10,Assumptions!$B$34,IF(AF5&lt;25,Assumptions!$B$35,Assumptions!$B$36))))*((((Archetypes!$D$5*Assumptions!$B$4+Archetypes!$D$6*Assumptions!$B$5)*60))+(Assumptions!$B$6*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$20)+((Archetypes!$D$11*(IF(AF5&lt;0,1+Assumptions!$B$32*MIN(1,ABS(AF5)/ABS(Assumptions!$B$21)),MAX(0.1,1-Assumptions!$B$31*(AF5/50)))))*AJ5*Archetypes!$D$20*Archetypes!$D$21)*Assumptions!$B$18)*(IF($D5=1,1,Assumptions!$B$7)))+((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$15)*(Archetypes!$D$13*IF(AF5&lt;0,1-Assumptions!$B$33*MIN(1,ABS(AF5)/ABS(Assumptions!$B$21)),1))*5)+(((Archetypes!$D$11*(IF(AF5&lt;0,1+Assumptions!$B$32*MIN(1,ABS(AF5)/ABS(Assumptions!$B$21)),MAX(0.1,1-Assumptions!$B$31*(AF5/50)))))*AJ5*Archetypes!$D$15*Archetypes!$D$22)*(Archetypes!$D$13*IF(AF5&lt;0,1-Assumptions!$B$33*MIN(1,ABS(AF5)/ABS(Assumptions!$B$21)),1))*5*Assumptions!$B$18))*IF(AF5&lt;0,Assumptions!$B$9,1)))*$E5</f>
        <v>2656.6429948508162</v>
      </c>
      <c r="AO5" s="18">
        <f>(AO4)+(AN5)-(MAX(0,((AO4)+(AN5)-(AP5)))*(IF(Archetypes!$D$27="",Assumptions!$B$11,Archetypes!$D$27)))</f>
        <v>3301.8954592858836</v>
      </c>
      <c r="AP5" s="18">
        <f>Archetypes!$D$33</f>
        <v>201.32916645159378</v>
      </c>
      <c r="AQ5" s="18">
        <f t="shared" si="7"/>
        <v>3100.5662928342899</v>
      </c>
    </row>
    <row r="6" spans="1:52" x14ac:dyDescent="0.25">
      <c r="A6" s="14">
        <v>2</v>
      </c>
      <c r="B6" s="14">
        <f t="shared" si="0"/>
        <v>1</v>
      </c>
      <c r="C6" s="14">
        <f t="shared" si="1"/>
        <v>2</v>
      </c>
      <c r="D6" s="15">
        <f>IF(C6&lt;Assumptions!$B$10,1,0)</f>
        <v>0</v>
      </c>
      <c r="E6" s="15">
        <v>1</v>
      </c>
      <c r="F6" s="18">
        <f t="shared" si="8"/>
        <v>14.368216158719999</v>
      </c>
      <c r="G6" s="18">
        <f>MAX(Assumptions!$B$21,(F6)+(H6))</f>
        <v>20.575034455219679</v>
      </c>
      <c r="H6" s="18">
        <f>(((Archetypes!$B$11*(IF(F6&lt;0,1+Assumptions!$B$32*MIN(1,ABS(F6)/ABS(Assumptions!$B$21)),MAX(0.1,1-Assumptions!$B$31*(F6/50)))))-((Archetypes!$B$11*(IF(F6&lt;0,1+Assumptions!$B$32*MIN(1,ABS(F6)/ABS(Assumptions!$B$21)),MAX(0.1,1-Assumptions!$B$31*(F6/50)))))*J6)*Archetypes!$B$15)*Assumptions!$B$22+((Archetypes!$B$11*(IF(F6&lt;0,1+Assumptions!$B$32*MIN(1,ABS(F6)/ABS(Assumptions!$B$21)),MAX(0.1,1-Assumptions!$B$31*(F6/50)))))*J6*Archetypes!$B$15*Archetypes!$B$22)*Assumptions!$B$23+(Archetypes!$B$11*(IF(F6&lt;0,1+Assumptions!$B$32*MIN(1,ABS(F6)/ABS(Assumptions!$B$21)),MAX(0.1,1-Assumptions!$B$31*(F6/50)))))*Assumptions!$B$24+-((Archetypes!$B$11*(IF(F6&lt;0,1+Assumptions!$B$32*MIN(1,ABS(F6)/ABS(Assumptions!$B$21)),MAX(0.1,1-Assumptions!$B$31*(F6/50)))))*Archetypes!$B$16)*(Assumptions!$B$27*(1+Assumptions!$B$28*Archetypes!$B$14)/(1+Assumptions!$B$29*Archetypes!$B$12))+-(Archetypes!$B$11*(IF(F6&lt;0,1+Assumptions!$B$32*MIN(1,ABS(F6)/ABS(Assumptions!$B$21)),MAX(0.1,1-Assumptions!$B$31*(F6/50)))))*Archetypes!$B$17*((Archetypes!$B$31)/100)*Assumptions!$B$30+-Assumptions!$B$25*Assumptions!$B$26)*$E6</f>
        <v>6.2068182964996792</v>
      </c>
      <c r="I6" s="18">
        <f>(Archetypes!$B$11*(IF(F6&lt;0,1+Assumptions!$B$32*MIN(1,ABS(F6)/ABS(Assumptions!$B$21)),MAX(0.1,1-Assumptions!$B$31*(F6/50)))))*$E6</f>
        <v>8.2758140609535999</v>
      </c>
      <c r="J6" s="19">
        <f>Archetypes!$B$30</f>
        <v>2.1999999999999999E-2</v>
      </c>
      <c r="K6" s="18">
        <f t="shared" si="2"/>
        <v>0.18206790934097919</v>
      </c>
      <c r="L6" s="18">
        <f>((I6-K6)*Archetypes!$B$15)+(K6*Archetypes!$B$15*Archetypes!$B$22)</f>
        <v>0.83122276428217956</v>
      </c>
      <c r="M6" s="18">
        <f>I6*Archetypes!$B$16</f>
        <v>6.2068605457152</v>
      </c>
      <c r="N6" s="18">
        <f>(IF(F6&lt;0,Assumptions!$B$8,IF(F6&lt;10,Assumptions!$B$34,IF(F6&lt;25,Assumptions!$B$35,Assumptions!$B$36))))*((((Archetypes!$B$5*Assumptions!$B$4+Archetypes!$B$6*Assumptions!$B$5)*60))+(Assumptions!$B$6*(((Archetypes!$B$11*(IF(F6&lt;0,1+Assumptions!$B$32*MIN(1,ABS(F6)/ABS(Assumptions!$B$21)),MAX(0.1,1-Assumptions!$B$31*(F6/50)))))-((Archetypes!$B$11*(IF(F6&lt;0,1+Assumptions!$B$32*MIN(1,ABS(F6)/ABS(Assumptions!$B$21)),MAX(0.1,1-Assumptions!$B$31*(F6/50)))))*J6)*Archetypes!$B$20)+((Archetypes!$B$11*(IF(F6&lt;0,1+Assumptions!$B$32*MIN(1,ABS(F6)/ABS(Assumptions!$B$21)),MAX(0.1,1-Assumptions!$B$31*(F6/50)))))*J6*Archetypes!$B$20*Archetypes!$B$21)*Assumptions!$B$18)*(IF($D6=1,1,Assumptions!$B$7)))+(((((Archetypes!$B$11*(IF(F6&lt;0,1+Assumptions!$B$32*MIN(1,ABS(F6)/ABS(Assumptions!$B$21)),MAX(0.1,1-Assumptions!$B$31*(F6/50)))))-((Archetypes!$B$11*(IF(F6&lt;0,1+Assumptions!$B$32*MIN(1,ABS(F6)/ABS(Assumptions!$B$21)),MAX(0.1,1-Assumptions!$B$31*(F6/50)))))*J6)*Archetypes!$B$15)*(Archetypes!$B$13*IF(F6&lt;0,1-Assumptions!$B$33*MIN(1,ABS(F6)/ABS(Assumptions!$B$21)),1))*5)+(((Archetypes!$B$11*(IF(F6&lt;0,1+Assumptions!$B$32*MIN(1,ABS(F6)/ABS(Assumptions!$B$21)),MAX(0.1,1-Assumptions!$B$31*(F6/50)))))*J6*Archetypes!$B$15*Archetypes!$B$22)*(Archetypes!$B$13*IF(F6&lt;0,1-Assumptions!$B$33*MIN(1,ABS(F6)/ABS(Assumptions!$B$21)),1))*5*Assumptions!$B$18))*IF(F6&lt;0,Assumptions!$B$9,1)))*$E6</f>
        <v>457.28771855478612</v>
      </c>
      <c r="O6" s="18">
        <f>(O5)+(N6)-(MAX(0,((O5)+(N6)-(P6)))*(IF(Archetypes!$B$27="",Assumptions!$B$11,Archetypes!$B$27)))</f>
        <v>1144.4062877603089</v>
      </c>
      <c r="P6" s="18">
        <f>Archetypes!$B$33</f>
        <v>25.423199999999998</v>
      </c>
      <c r="Q6" s="18">
        <f t="shared" si="3"/>
        <v>1118.983087760309</v>
      </c>
      <c r="S6" s="18">
        <f t="shared" si="9"/>
        <v>14.932129613977533</v>
      </c>
      <c r="T6" s="18">
        <f>MAX(Assumptions!$B$21,(S6)+(U6))</f>
        <v>19.401040108653515</v>
      </c>
      <c r="U6" s="18">
        <f>(((Archetypes!$C$11*(IF(S6&lt;0,1+Assumptions!$B$32*MIN(1,ABS(S6)/ABS(Assumptions!$B$21)),MAX(0.1,1-Assumptions!$B$31*(S6/50)))))-((Archetypes!$C$11*(IF(S6&lt;0,1+Assumptions!$B$32*MIN(1,ABS(S6)/ABS(Assumptions!$B$21)),MAX(0.1,1-Assumptions!$B$31*(S6/50)))))*W6)*Archetypes!$C$15)*Assumptions!$B$22+((Archetypes!$C$11*(IF(S6&lt;0,1+Assumptions!$B$32*MIN(1,ABS(S6)/ABS(Assumptions!$B$21)),MAX(0.1,1-Assumptions!$B$31*(S6/50)))))*W6*Archetypes!$C$15*Archetypes!$C$22)*Assumptions!$B$23+(Archetypes!$C$11*(IF(S6&lt;0,1+Assumptions!$B$32*MIN(1,ABS(S6)/ABS(Assumptions!$B$21)),MAX(0.1,1-Assumptions!$B$31*(S6/50)))))*Assumptions!$B$24+-((Archetypes!$C$11*(IF(S6&lt;0,1+Assumptions!$B$32*MIN(1,ABS(S6)/ABS(Assumptions!$B$21)),MAX(0.1,1-Assumptions!$B$31*(S6/50)))))*Archetypes!$C$16)*(Assumptions!$B$27*(1+Assumptions!$B$28*Archetypes!$C$14)/(1+Assumptions!$B$29*Archetypes!$C$12))+-(Archetypes!$C$11*(IF(S6&lt;0,1+Assumptions!$B$32*MIN(1,ABS(S6)/ABS(Assumptions!$B$21)),MAX(0.1,1-Assumptions!$B$31*(S6/50)))))*Archetypes!$C$17*((Archetypes!$C$31)/100)*Assumptions!$B$30+-Assumptions!$B$25*Assumptions!$B$26)*$E6</f>
        <v>4.4689104946759812</v>
      </c>
      <c r="V6" s="18">
        <f>(Archetypes!$C$11*(IF(S6&lt;0,1+Assumptions!$B$32*MIN(1,ABS(S6)/ABS(Assumptions!$B$21)),MAX(0.1,1-Assumptions!$B$31*(S6/50)))))*$E6</f>
        <v>4.9248866677936176</v>
      </c>
      <c r="W6" s="19">
        <f>Archetypes!$C$30</f>
        <v>3.7999999999999999E-2</v>
      </c>
      <c r="X6" s="18">
        <f t="shared" si="4"/>
        <v>0.18714569337615747</v>
      </c>
      <c r="Y6" s="18">
        <f>((V6-X6)*Archetypes!$C$15)+(X6*Archetypes!$C$15*Archetypes!$C$22)</f>
        <v>2.4905151879032323</v>
      </c>
      <c r="Z6" s="18">
        <f>V6*Archetypes!$C$16</f>
        <v>2.2161990005071281</v>
      </c>
      <c r="AA6" s="18">
        <f>(IF(S6&lt;0,Assumptions!$B$8,IF(S6&lt;10,Assumptions!$B$34,IF(S6&lt;25,Assumptions!$B$35,Assumptions!$B$36))))*((((Archetypes!$C$5*Assumptions!$B$4+Archetypes!$C$6*Assumptions!$B$5)*60))+(Assumptions!$B$6*(((Archetypes!$C$11*(IF(S6&lt;0,1+Assumptions!$B$32*MIN(1,ABS(S6)/ABS(Assumptions!$B$21)),MAX(0.1,1-Assumptions!$B$31*(S6/50)))))-((Archetypes!$C$11*(IF(S6&lt;0,1+Assumptions!$B$32*MIN(1,ABS(S6)/ABS(Assumptions!$B$21)),MAX(0.1,1-Assumptions!$B$31*(S6/50)))))*W6)*Archetypes!$C$20)+((Archetypes!$C$11*(IF(S6&lt;0,1+Assumptions!$B$32*MIN(1,ABS(S6)/ABS(Assumptions!$B$21)),MAX(0.1,1-Assumptions!$B$31*(S6/50)))))*W6*Archetypes!$C$20*Archetypes!$C$21)*Assumptions!$B$18)*(IF($D6=1,1,Assumptions!$B$7)))+(((((Archetypes!$C$11*(IF(S6&lt;0,1+Assumptions!$B$32*MIN(1,ABS(S6)/ABS(Assumptions!$B$21)),MAX(0.1,1-Assumptions!$B$31*(S6/50)))))-((Archetypes!$C$11*(IF(S6&lt;0,1+Assumptions!$B$32*MIN(1,ABS(S6)/ABS(Assumptions!$B$21)),MAX(0.1,1-Assumptions!$B$31*(S6/50)))))*W6)*Archetypes!$C$15)*(Archetypes!$C$13*IF(S6&lt;0,1-Assumptions!$B$33*MIN(1,ABS(S6)/ABS(Assumptions!$B$21)),1))*5)+(((Archetypes!$C$11*(IF(S6&lt;0,1+Assumptions!$B$32*MIN(1,ABS(S6)/ABS(Assumptions!$B$21)),MAX(0.1,1-Assumptions!$B$31*(S6/50)))))*W6*Archetypes!$C$15*Archetypes!$C$22)*(Archetypes!$C$13*IF(S6&lt;0,1-Assumptions!$B$33*MIN(1,ABS(S6)/ABS(Assumptions!$B$21)),1))*5*Assumptions!$B$18))*IF(S6&lt;0,Assumptions!$B$9,1)))*$E6</f>
        <v>1168.3378335397867</v>
      </c>
      <c r="AB6" s="18">
        <f>(AB5)+(AA6)-(MAX(0,((AB5)+(AA6)-(AC6)))*(IF(Archetypes!$C$27="",Assumptions!$B$11,Archetypes!$C$27)))</f>
        <v>2497.7136979802644</v>
      </c>
      <c r="AC6" s="18">
        <f>Archetypes!$C$33</f>
        <v>90.34</v>
      </c>
      <c r="AD6" s="18">
        <f t="shared" si="5"/>
        <v>2407.3736979802643</v>
      </c>
      <c r="AF6" s="18">
        <f t="shared" si="10"/>
        <v>21.682645127643134</v>
      </c>
      <c r="AG6" s="18">
        <f>MAX(Assumptions!$B$21,(AF6)+(AH6))</f>
        <v>24.763654123347173</v>
      </c>
      <c r="AH6" s="18">
        <f>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$15)*Assumptions!$B$22+((Archetypes!$D$11*(IF(AF6&lt;0,1+Assumptions!$B$32*MIN(1,ABS(AF6)/ABS(Assumptions!$B$21)),MAX(0.1,1-Assumptions!$B$31*(AF6/50)))))*AJ6*Archetypes!$D$15*Archetypes!$D$22)*Assumptions!$B$23+(Archetypes!$D$11*(IF(AF6&lt;0,1+Assumptions!$B$32*MIN(1,ABS(AF6)/ABS(Assumptions!$B$21)),MAX(0.1,1-Assumptions!$B$31*(AF6/50)))))*Assumptions!$B$24+-((Archetypes!$D$11*(IF(AF6&lt;0,1+Assumptions!$B$32*MIN(1,ABS(AF6)/ABS(Assumptions!$B$21)),MAX(0.1,1-Assumptions!$B$31*(AF6/50)))))*Archetypes!$D$16)*(Assumptions!$B$27*(1+Assumptions!$B$28*Archetypes!$D$14)/(1+Assumptions!$B$29*Archetypes!$D$12))+-(Archetypes!$D$11*(IF(AF6&lt;0,1+Assumptions!$B$32*MIN(1,ABS(AF6)/ABS(Assumptions!$B$21)),MAX(0.1,1-Assumptions!$B$31*(AF6/50)))))*Archetypes!$D$17*((Archetypes!$D$31)/100)*Assumptions!$B$30+-Assumptions!$B$25*Assumptions!$B$26)*$E6</f>
        <v>3.0810089957040376</v>
      </c>
      <c r="AI6" s="18">
        <f>(Archetypes!$D$11*(IF(AF6&lt;0,1+Assumptions!$B$32*MIN(1,ABS(AF6)/ABS(Assumptions!$B$21)),MAX(0.1,1-Assumptions!$B$31*(AF6/50)))))*$E6</f>
        <v>2.2194247754048471</v>
      </c>
      <c r="AJ6" s="19">
        <f>Archetypes!$D$30</f>
        <v>0.10400000000000001</v>
      </c>
      <c r="AK6" s="18">
        <f t="shared" si="6"/>
        <v>0.23082017664210411</v>
      </c>
      <c r="AL6" s="18">
        <f>((AI6-AK6)*Archetypes!$D$15)+(AK6*Archetypes!$D$15*Archetypes!$D$22)</f>
        <v>3.4676292690925332</v>
      </c>
      <c r="AM6" s="18">
        <f>AI6*Archetypes!$D$16</f>
        <v>0.44388495508096942</v>
      </c>
      <c r="AN6" s="18">
        <f>(IF(AF6&lt;0,Assumptions!$B$8,IF(AF6&lt;10,Assumptions!$B$34,IF(AF6&lt;25,Assumptions!$B$35,Assumptions!$B$36))))*((((Archetypes!$D$5*Assumptions!$B$4+Archetypes!$D$6*Assumptions!$B$5)*60))+(Assumptions!$B$6*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$20)+((Archetypes!$D$11*(IF(AF6&lt;0,1+Assumptions!$B$32*MIN(1,ABS(AF6)/ABS(Assumptions!$B$21)),MAX(0.1,1-Assumptions!$B$31*(AF6/50)))))*AJ6*Archetypes!$D$20*Archetypes!$D$21)*Assumptions!$B$18)*(IF($D6=1,1,Assumptions!$B$7)))+((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$15)*(Archetypes!$D$13*IF(AF6&lt;0,1-Assumptions!$B$33*MIN(1,ABS(AF6)/ABS(Assumptions!$B$21)),1))*5)+(((Archetypes!$D$11*(IF(AF6&lt;0,1+Assumptions!$B$32*MIN(1,ABS(AF6)/ABS(Assumptions!$B$21)),MAX(0.1,1-Assumptions!$B$31*(AF6/50)))))*AJ6*Archetypes!$D$15*Archetypes!$D$22)*(Archetypes!$D$13*IF(AF6&lt;0,1-Assumptions!$B$33*MIN(1,ABS(AF6)/ABS(Assumptions!$B$21)),1))*5*Assumptions!$B$18))*IF(AF6&lt;0,Assumptions!$B$9,1)))*$E6</f>
        <v>1797.5929899103671</v>
      </c>
      <c r="AO6" s="18">
        <f>(AO5)+(AN6)-(MAX(0,((AO5)+(AN6)-(AP6)))*(IF(Archetypes!$D$27="",Assumptions!$B$11,Archetypes!$D$27)))</f>
        <v>3630.0406643728538</v>
      </c>
      <c r="AP6" s="18">
        <f>Archetypes!$D$33</f>
        <v>201.32916645159378</v>
      </c>
      <c r="AQ6" s="18">
        <f t="shared" si="7"/>
        <v>3428.7114979212602</v>
      </c>
    </row>
    <row r="7" spans="1:52" x14ac:dyDescent="0.25">
      <c r="A7" s="14">
        <v>3</v>
      </c>
      <c r="B7" s="14">
        <f t="shared" si="0"/>
        <v>1</v>
      </c>
      <c r="C7" s="14">
        <f t="shared" si="1"/>
        <v>3</v>
      </c>
      <c r="D7" s="15">
        <f>IF(C7&lt;Assumptions!$B$10,1,0)</f>
        <v>0</v>
      </c>
      <c r="E7" s="15">
        <v>1</v>
      </c>
      <c r="F7" s="18">
        <f t="shared" si="8"/>
        <v>20.575034455219679</v>
      </c>
      <c r="G7" s="18">
        <f>MAX(Assumptions!$B$21,(F7)+(H7))</f>
        <v>26.209742999330476</v>
      </c>
      <c r="H7" s="18">
        <f>(((Archetypes!$B$11*(IF(F7&lt;0,1+Assumptions!$B$32*MIN(1,ABS(F7)/ABS(Assumptions!$B$21)),MAX(0.1,1-Assumptions!$B$31*(F7/50)))))-((Archetypes!$B$11*(IF(F7&lt;0,1+Assumptions!$B$32*MIN(1,ABS(F7)/ABS(Assumptions!$B$21)),MAX(0.1,1-Assumptions!$B$31*(F7/50)))))*J7)*Archetypes!$B$15)*Assumptions!$B$22+((Archetypes!$B$11*(IF(F7&lt;0,1+Assumptions!$B$32*MIN(1,ABS(F7)/ABS(Assumptions!$B$21)),MAX(0.1,1-Assumptions!$B$31*(F7/50)))))*J7*Archetypes!$B$15*Archetypes!$B$22)*Assumptions!$B$23+(Archetypes!$B$11*(IF(F7&lt;0,1+Assumptions!$B$32*MIN(1,ABS(F7)/ABS(Assumptions!$B$21)),MAX(0.1,1-Assumptions!$B$31*(F7/50)))))*Assumptions!$B$24+-((Archetypes!$B$11*(IF(F7&lt;0,1+Assumptions!$B$32*MIN(1,ABS(F7)/ABS(Assumptions!$B$21)),MAX(0.1,1-Assumptions!$B$31*(F7/50)))))*Archetypes!$B$16)*(Assumptions!$B$27*(1+Assumptions!$B$28*Archetypes!$B$14)/(1+Assumptions!$B$29*Archetypes!$B$12))+-(Archetypes!$B$11*(IF(F7&lt;0,1+Assumptions!$B$32*MIN(1,ABS(F7)/ABS(Assumptions!$B$21)),MAX(0.1,1-Assumptions!$B$31*(F7/50)))))*Archetypes!$B$17*((Archetypes!$B$31)/100)*Assumptions!$B$30+-Assumptions!$B$25*Assumptions!$B$26)*$E7</f>
        <v>5.634708544110798</v>
      </c>
      <c r="I7" s="18">
        <f>(Archetypes!$B$11*(IF(F7&lt;0,1+Assumptions!$B$32*MIN(1,ABS(F7)/ABS(Assumptions!$B$21)),MAX(0.1,1-Assumptions!$B$31*(F7/50)))))*$E7</f>
        <v>7.5309958653736384</v>
      </c>
      <c r="J7" s="19">
        <f>Archetypes!$B$30</f>
        <v>2.1999999999999999E-2</v>
      </c>
      <c r="K7" s="18">
        <f t="shared" si="2"/>
        <v>0.16568190903822003</v>
      </c>
      <c r="L7" s="18">
        <f>((I7-K7)*Archetypes!$B$15)+(K7*Archetypes!$B$15*Archetypes!$B$22)</f>
        <v>0.75641322471812822</v>
      </c>
      <c r="M7" s="18">
        <f>I7*Archetypes!$B$16</f>
        <v>5.6482468990302284</v>
      </c>
      <c r="N7" s="18">
        <f>(IF(F7&lt;0,Assumptions!$B$8,IF(F7&lt;10,Assumptions!$B$34,IF(F7&lt;25,Assumptions!$B$35,Assumptions!$B$36))))*((((Archetypes!$B$5*Assumptions!$B$4+Archetypes!$B$6*Assumptions!$B$5)*60))+(Assumptions!$B$6*(((Archetypes!$B$11*(IF(F7&lt;0,1+Assumptions!$B$32*MIN(1,ABS(F7)/ABS(Assumptions!$B$21)),MAX(0.1,1-Assumptions!$B$31*(F7/50)))))-((Archetypes!$B$11*(IF(F7&lt;0,1+Assumptions!$B$32*MIN(1,ABS(F7)/ABS(Assumptions!$B$21)),MAX(0.1,1-Assumptions!$B$31*(F7/50)))))*J7)*Archetypes!$B$20)+((Archetypes!$B$11*(IF(F7&lt;0,1+Assumptions!$B$32*MIN(1,ABS(F7)/ABS(Assumptions!$B$21)),MAX(0.1,1-Assumptions!$B$31*(F7/50)))))*J7*Archetypes!$B$20*Archetypes!$B$21)*Assumptions!$B$18)*(IF($D7=1,1,Assumptions!$B$7)))+(((((Archetypes!$B$11*(IF(F7&lt;0,1+Assumptions!$B$32*MIN(1,ABS(F7)/ABS(Assumptions!$B$21)),MAX(0.1,1-Assumptions!$B$31*(F7/50)))))-((Archetypes!$B$11*(IF(F7&lt;0,1+Assumptions!$B$32*MIN(1,ABS(F7)/ABS(Assumptions!$B$21)),MAX(0.1,1-Assumptions!$B$31*(F7/50)))))*J7)*Archetypes!$B$15)*(Archetypes!$B$13*IF(F7&lt;0,1-Assumptions!$B$33*MIN(1,ABS(F7)/ABS(Assumptions!$B$21)),1))*5)+(((Archetypes!$B$11*(IF(F7&lt;0,1+Assumptions!$B$32*MIN(1,ABS(F7)/ABS(Assumptions!$B$21)),MAX(0.1,1-Assumptions!$B$31*(F7/50)))))*J7*Archetypes!$B$15*Archetypes!$B$22)*(Archetypes!$B$13*IF(F7&lt;0,1-Assumptions!$B$33*MIN(1,ABS(F7)/ABS(Assumptions!$B$21)),1))*5*Assumptions!$B$18))*IF(F7&lt;0,Assumptions!$B$9,1)))*$E7</f>
        <v>431.52199926962987</v>
      </c>
      <c r="O7" s="18">
        <f>(O6)+(N7)-(MAX(0,((O6)+(N7)-(P7)))*(IF(Archetypes!$B$27="",Assumptions!$B$11,Archetypes!$B$27)))</f>
        <v>1265.827269623951</v>
      </c>
      <c r="P7" s="18">
        <f>Archetypes!$B$33</f>
        <v>25.423199999999998</v>
      </c>
      <c r="Q7" s="18">
        <f t="shared" si="3"/>
        <v>1240.404069623951</v>
      </c>
      <c r="S7" s="18">
        <f t="shared" si="9"/>
        <v>19.401040108653515</v>
      </c>
      <c r="T7" s="18">
        <f>MAX(Assumptions!$B$21,(S7)+(U7))</f>
        <v>23.568179633503924</v>
      </c>
      <c r="U7" s="18">
        <f>(((Archetypes!$C$11*(IF(S7&lt;0,1+Assumptions!$B$32*MIN(1,ABS(S7)/ABS(Assumptions!$B$21)),MAX(0.1,1-Assumptions!$B$31*(S7/50)))))-((Archetypes!$C$11*(IF(S7&lt;0,1+Assumptions!$B$32*MIN(1,ABS(S7)/ABS(Assumptions!$B$21)),MAX(0.1,1-Assumptions!$B$31*(S7/50)))))*W7)*Archetypes!$C$15)*Assumptions!$B$22+((Archetypes!$C$11*(IF(S7&lt;0,1+Assumptions!$B$32*MIN(1,ABS(S7)/ABS(Assumptions!$B$21)),MAX(0.1,1-Assumptions!$B$31*(S7/50)))))*W7*Archetypes!$C$15*Archetypes!$C$22)*Assumptions!$B$23+(Archetypes!$C$11*(IF(S7&lt;0,1+Assumptions!$B$32*MIN(1,ABS(S7)/ABS(Assumptions!$B$21)),MAX(0.1,1-Assumptions!$B$31*(S7/50)))))*Assumptions!$B$24+-((Archetypes!$C$11*(IF(S7&lt;0,1+Assumptions!$B$32*MIN(1,ABS(S7)/ABS(Assumptions!$B$21)),MAX(0.1,1-Assumptions!$B$31*(S7/50)))))*Archetypes!$C$16)*(Assumptions!$B$27*(1+Assumptions!$B$28*Archetypes!$C$14)/(1+Assumptions!$B$29*Archetypes!$C$12))+-(Archetypes!$C$11*(IF(S7&lt;0,1+Assumptions!$B$32*MIN(1,ABS(S7)/ABS(Assumptions!$B$21)),MAX(0.1,1-Assumptions!$B$31*(S7/50)))))*Archetypes!$C$17*((Archetypes!$C$31)/100)*Assumptions!$B$30+-Assumptions!$B$25*Assumptions!$B$26)*$E7</f>
        <v>4.1671395248504108</v>
      </c>
      <c r="V7" s="18">
        <f>(Archetypes!$C$11*(IF(S7&lt;0,1+Assumptions!$B$32*MIN(1,ABS(S7)/ABS(Assumptions!$B$21)),MAX(0.1,1-Assumptions!$B$31*(S7/50)))))*$E7</f>
        <v>4.6031251121769472</v>
      </c>
      <c r="W7" s="19">
        <f>Archetypes!$C$30</f>
        <v>3.7999999999999999E-2</v>
      </c>
      <c r="X7" s="18">
        <f t="shared" si="4"/>
        <v>0.17491875426272399</v>
      </c>
      <c r="Y7" s="18">
        <f>((V7-X7)*Archetypes!$C$15)+(X7*Archetypes!$C$15*Archetypes!$C$22)</f>
        <v>2.3278003692278819</v>
      </c>
      <c r="Z7" s="18">
        <f>V7*Archetypes!$C$16</f>
        <v>2.0714063004796262</v>
      </c>
      <c r="AA7" s="18">
        <f>(IF(S7&lt;0,Assumptions!$B$8,IF(S7&lt;10,Assumptions!$B$34,IF(S7&lt;25,Assumptions!$B$35,Assumptions!$B$36))))*((((Archetypes!$C$5*Assumptions!$B$4+Archetypes!$C$6*Assumptions!$B$5)*60))+(Assumptions!$B$6*(((Archetypes!$C$11*(IF(S7&lt;0,1+Assumptions!$B$32*MIN(1,ABS(S7)/ABS(Assumptions!$B$21)),MAX(0.1,1-Assumptions!$B$31*(S7/50)))))-((Archetypes!$C$11*(IF(S7&lt;0,1+Assumptions!$B$32*MIN(1,ABS(S7)/ABS(Assumptions!$B$21)),MAX(0.1,1-Assumptions!$B$31*(S7/50)))))*W7)*Archetypes!$C$20)+((Archetypes!$C$11*(IF(S7&lt;0,1+Assumptions!$B$32*MIN(1,ABS(S7)/ABS(Assumptions!$B$21)),MAX(0.1,1-Assumptions!$B$31*(S7/50)))))*W7*Archetypes!$C$20*Archetypes!$C$21)*Assumptions!$B$18)*(IF($D7=1,1,Assumptions!$B$7)))+(((((Archetypes!$C$11*(IF(S7&lt;0,1+Assumptions!$B$32*MIN(1,ABS(S7)/ABS(Assumptions!$B$21)),MAX(0.1,1-Assumptions!$B$31*(S7/50)))))-((Archetypes!$C$11*(IF(S7&lt;0,1+Assumptions!$B$32*MIN(1,ABS(S7)/ABS(Assumptions!$B$21)),MAX(0.1,1-Assumptions!$B$31*(S7/50)))))*W7)*Archetypes!$C$15)*(Archetypes!$C$13*IF(S7&lt;0,1-Assumptions!$B$33*MIN(1,ABS(S7)/ABS(Assumptions!$B$21)),1))*5)+(((Archetypes!$C$11*(IF(S7&lt;0,1+Assumptions!$B$32*MIN(1,ABS(S7)/ABS(Assumptions!$B$21)),MAX(0.1,1-Assumptions!$B$31*(S7/50)))))*W7*Archetypes!$C$15*Archetypes!$C$22)*(Archetypes!$C$13*IF(S7&lt;0,1-Assumptions!$B$33*MIN(1,ABS(S7)/ABS(Assumptions!$B$21)),1))*5*Assumptions!$B$18))*IF(S7&lt;0,Assumptions!$B$9,1)))*$E7</f>
        <v>1140.4182294212171</v>
      </c>
      <c r="AB7" s="18">
        <f>(AB6)+(AA7)-(MAX(0,((AB6)+(AA7)-(AC7)))*(IF(Archetypes!$C$27="",Assumptions!$B$11,Archetypes!$C$27)))</f>
        <v>2751.1839455511108</v>
      </c>
      <c r="AC7" s="18">
        <f>Archetypes!$C$33</f>
        <v>90.34</v>
      </c>
      <c r="AD7" s="18">
        <f t="shared" si="5"/>
        <v>2660.8439455511107</v>
      </c>
      <c r="AF7" s="18">
        <f t="shared" si="10"/>
        <v>24.763654123347173</v>
      </c>
      <c r="AG7" s="18">
        <f>MAX(Assumptions!$B$21,(AF7)+(AH7))</f>
        <v>27.683192613681474</v>
      </c>
      <c r="AH7" s="18">
        <f>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$15)*Assumptions!$B$22+((Archetypes!$D$11*(IF(AF7&lt;0,1+Assumptions!$B$32*MIN(1,ABS(AF7)/ABS(Assumptions!$B$21)),MAX(0.1,1-Assumptions!$B$31*(AF7/50)))))*AJ7*Archetypes!$D$15*Archetypes!$D$22)*Assumptions!$B$23+(Archetypes!$D$11*(IF(AF7&lt;0,1+Assumptions!$B$32*MIN(1,ABS(AF7)/ABS(Assumptions!$B$21)),MAX(0.1,1-Assumptions!$B$31*(AF7/50)))))*Assumptions!$B$24+-((Archetypes!$D$11*(IF(AF7&lt;0,1+Assumptions!$B$32*MIN(1,ABS(AF7)/ABS(Assumptions!$B$21)),MAX(0.1,1-Assumptions!$B$31*(AF7/50)))))*Archetypes!$D$16)*(Assumptions!$B$27*(1+Assumptions!$B$28*Archetypes!$D$14)/(1+Assumptions!$B$29*Archetypes!$D$12))+-(Archetypes!$D$11*(IF(AF7&lt;0,1+Assumptions!$B$32*MIN(1,ABS(AF7)/ABS(Assumptions!$B$21)),MAX(0.1,1-Assumptions!$B$31*(AF7/50)))))*Archetypes!$D$17*((Archetypes!$D$31)/100)*Assumptions!$B$30+-Assumptions!$B$25*Assumptions!$B$26)*$E7</f>
        <v>2.9195384903343018</v>
      </c>
      <c r="AI7" s="18">
        <f>(Archetypes!$D$11*(IF(AF7&lt;0,1+Assumptions!$B$32*MIN(1,ABS(AF7)/ABS(Assumptions!$B$21)),MAX(0.1,1-Assumptions!$B$31*(AF7/50)))))*$E7</f>
        <v>2.1085084515595018</v>
      </c>
      <c r="AJ7" s="19">
        <f>Archetypes!$D$30</f>
        <v>0.10400000000000001</v>
      </c>
      <c r="AK7" s="18">
        <f t="shared" si="6"/>
        <v>0.21928487896218821</v>
      </c>
      <c r="AL7" s="18">
        <f>((AI7-AK7)*Archetypes!$D$15)+(AK7*Archetypes!$D$15*Archetypes!$D$22)</f>
        <v>3.2943336047165657</v>
      </c>
      <c r="AM7" s="18">
        <f>AI7*Archetypes!$D$16</f>
        <v>0.42170169031190041</v>
      </c>
      <c r="AN7" s="18">
        <f>(IF(AF7&lt;0,Assumptions!$B$8,IF(AF7&lt;10,Assumptions!$B$34,IF(AF7&lt;25,Assumptions!$B$35,Assumptions!$B$36))))*((((Archetypes!$D$5*Assumptions!$B$4+Archetypes!$D$6*Assumptions!$B$5)*60))+(Assumptions!$B$6*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$20)+((Archetypes!$D$11*(IF(AF7&lt;0,1+Assumptions!$B$32*MIN(1,ABS(AF7)/ABS(Assumptions!$B$21)),MAX(0.1,1-Assumptions!$B$31*(AF7/50)))))*AJ7*Archetypes!$D$20*Archetypes!$D$21)*Assumptions!$B$18)*(IF($D7=1,1,Assumptions!$B$7)))+((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$15)*(Archetypes!$D$13*IF(AF7&lt;0,1-Assumptions!$B$33*MIN(1,ABS(AF7)/ABS(Assumptions!$B$21)),1))*5)+(((Archetypes!$D$11*(IF(AF7&lt;0,1+Assumptions!$B$32*MIN(1,ABS(AF7)/ABS(Assumptions!$B$21)),MAX(0.1,1-Assumptions!$B$31*(AF7/50)))))*AJ7*Archetypes!$D$15*Archetypes!$D$22)*(Archetypes!$D$13*IF(AF7&lt;0,1-Assumptions!$B$33*MIN(1,ABS(AF7)/ABS(Assumptions!$B$21)),1))*5*Assumptions!$B$18))*IF(AF7&lt;0,Assumptions!$B$9,1)))*$E7</f>
        <v>1767.578200805388</v>
      </c>
      <c r="AO7" s="18">
        <f>(AO6)+(AN7)-(MAX(0,((AO6)+(AN7)-(AP7)))*(IF(Archetypes!$D$27="",Assumptions!$B$11,Archetypes!$D$27)))</f>
        <v>3838.7319555602471</v>
      </c>
      <c r="AP7" s="18">
        <f>Archetypes!$D$33</f>
        <v>201.32916645159378</v>
      </c>
      <c r="AQ7" s="18">
        <f t="shared" si="7"/>
        <v>3637.4027891086535</v>
      </c>
    </row>
    <row r="8" spans="1:52" x14ac:dyDescent="0.25">
      <c r="A8" s="14">
        <v>4</v>
      </c>
      <c r="B8" s="14">
        <f t="shared" si="0"/>
        <v>1</v>
      </c>
      <c r="C8" s="14">
        <f t="shared" si="1"/>
        <v>4</v>
      </c>
      <c r="D8" s="15">
        <f>IF(C8&lt;Assumptions!$B$10,1,0)</f>
        <v>0</v>
      </c>
      <c r="E8" s="15">
        <v>1</v>
      </c>
      <c r="F8" s="18">
        <f t="shared" si="8"/>
        <v>26.209742999330476</v>
      </c>
      <c r="G8" s="18">
        <f>MAX(Assumptions!$B$21,(F8)+(H8))</f>
        <v>31.325075664212989</v>
      </c>
      <c r="H8" s="18">
        <f>(((Archetypes!$B$11*(IF(F8&lt;0,1+Assumptions!$B$32*MIN(1,ABS(F8)/ABS(Assumptions!$B$21)),MAX(0.1,1-Assumptions!$B$31*(F8/50)))))-((Archetypes!$B$11*(IF(F8&lt;0,1+Assumptions!$B$32*MIN(1,ABS(F8)/ABS(Assumptions!$B$21)),MAX(0.1,1-Assumptions!$B$31*(F8/50)))))*J8)*Archetypes!$B$15)*Assumptions!$B$22+((Archetypes!$B$11*(IF(F8&lt;0,1+Assumptions!$B$32*MIN(1,ABS(F8)/ABS(Assumptions!$B$21)),MAX(0.1,1-Assumptions!$B$31*(F8/50)))))*J8*Archetypes!$B$15*Archetypes!$B$22)*Assumptions!$B$23+(Archetypes!$B$11*(IF(F8&lt;0,1+Assumptions!$B$32*MIN(1,ABS(F8)/ABS(Assumptions!$B$21)),MAX(0.1,1-Assumptions!$B$31*(F8/50)))))*Assumptions!$B$24+-((Archetypes!$B$11*(IF(F8&lt;0,1+Assumptions!$B$32*MIN(1,ABS(F8)/ABS(Assumptions!$B$21)),MAX(0.1,1-Assumptions!$B$31*(F8/50)))))*Archetypes!$B$16)*(Assumptions!$B$27*(1+Assumptions!$B$28*Archetypes!$B$14)/(1+Assumptions!$B$29*Archetypes!$B$12))+-(Archetypes!$B$11*(IF(F8&lt;0,1+Assumptions!$B$32*MIN(1,ABS(F8)/ABS(Assumptions!$B$21)),MAX(0.1,1-Assumptions!$B$31*(F8/50)))))*Archetypes!$B$17*((Archetypes!$B$31)/100)*Assumptions!$B$30+-Assumptions!$B$25*Assumptions!$B$26)*$E8</f>
        <v>5.1153326648825139</v>
      </c>
      <c r="I8" s="18">
        <f>(Archetypes!$B$11*(IF(F8&lt;0,1+Assumptions!$B$32*MIN(1,ABS(F8)/ABS(Assumptions!$B$21)),MAX(0.1,1-Assumptions!$B$31*(F8/50)))))*$E8</f>
        <v>6.8548308400803437</v>
      </c>
      <c r="J8" s="19">
        <f>Archetypes!$B$30</f>
        <v>2.1999999999999999E-2</v>
      </c>
      <c r="K8" s="18">
        <f t="shared" si="2"/>
        <v>0.15080627848176756</v>
      </c>
      <c r="L8" s="18">
        <f>((I8-K8)*Archetypes!$B$15)+(K8*Archetypes!$B$15*Archetypes!$B$22)</f>
        <v>0.68849920957766975</v>
      </c>
      <c r="M8" s="18">
        <f>I8*Archetypes!$B$16</f>
        <v>5.141123130060258</v>
      </c>
      <c r="N8" s="18">
        <f>(IF(F8&lt;0,Assumptions!$B$8,IF(F8&lt;10,Assumptions!$B$34,IF(F8&lt;25,Assumptions!$B$35,Assumptions!$B$36))))*((((Archetypes!$B$5*Assumptions!$B$4+Archetypes!$B$6*Assumptions!$B$5)*60))+(Assumptions!$B$6*(((Archetypes!$B$11*(IF(F8&lt;0,1+Assumptions!$B$32*MIN(1,ABS(F8)/ABS(Assumptions!$B$21)),MAX(0.1,1-Assumptions!$B$31*(F8/50)))))-((Archetypes!$B$11*(IF(F8&lt;0,1+Assumptions!$B$32*MIN(1,ABS(F8)/ABS(Assumptions!$B$21)),MAX(0.1,1-Assumptions!$B$31*(F8/50)))))*J8)*Archetypes!$B$20)+((Archetypes!$B$11*(IF(F8&lt;0,1+Assumptions!$B$32*MIN(1,ABS(F8)/ABS(Assumptions!$B$21)),MAX(0.1,1-Assumptions!$B$31*(F8/50)))))*J8*Archetypes!$B$20*Archetypes!$B$21)*Assumptions!$B$18)*(IF($D8=1,1,Assumptions!$B$7)))+(((((Archetypes!$B$11*(IF(F8&lt;0,1+Assumptions!$B$32*MIN(1,ABS(F8)/ABS(Assumptions!$B$21)),MAX(0.1,1-Assumptions!$B$31*(F8/50)))))-((Archetypes!$B$11*(IF(F8&lt;0,1+Assumptions!$B$32*MIN(1,ABS(F8)/ABS(Assumptions!$B$21)),MAX(0.1,1-Assumptions!$B$31*(F8/50)))))*J8)*Archetypes!$B$15)*(Archetypes!$B$13*IF(F8&lt;0,1-Assumptions!$B$33*MIN(1,ABS(F8)/ABS(Assumptions!$B$21)),1))*5)+(((Archetypes!$B$11*(IF(F8&lt;0,1+Assumptions!$B$32*MIN(1,ABS(F8)/ABS(Assumptions!$B$21)),MAX(0.1,1-Assumptions!$B$31*(F8/50)))))*J8*Archetypes!$B$15*Archetypes!$B$22)*(Archetypes!$B$13*IF(F8&lt;0,1-Assumptions!$B$33*MIN(1,ABS(F8)/ABS(Assumptions!$B$21)),1))*5*Assumptions!$B$18))*IF(F8&lt;0,Assumptions!$B$9,1)))*$E8</f>
        <v>365.17003867908278</v>
      </c>
      <c r="O8" s="18">
        <f>(O7)+(N8)-(MAX(0,((O7)+(N8)-(P8)))*(IF(Archetypes!$B$27="",Assumptions!$B$11,Archetypes!$B$27)))</f>
        <v>1309.882486642427</v>
      </c>
      <c r="P8" s="18">
        <f>Archetypes!$B$33</f>
        <v>25.423199999999998</v>
      </c>
      <c r="Q8" s="18">
        <f t="shared" si="3"/>
        <v>1284.4592866424271</v>
      </c>
      <c r="S8" s="18">
        <f t="shared" si="9"/>
        <v>23.568179633503924</v>
      </c>
      <c r="T8" s="18">
        <f>MAX(Assumptions!$B$21,(S8)+(U8))</f>
        <v>27.453925799209923</v>
      </c>
      <c r="U8" s="18">
        <f>(((Archetypes!$C$11*(IF(S8&lt;0,1+Assumptions!$B$32*MIN(1,ABS(S8)/ABS(Assumptions!$B$21)),MAX(0.1,1-Assumptions!$B$31*(S8/50)))))-((Archetypes!$C$11*(IF(S8&lt;0,1+Assumptions!$B$32*MIN(1,ABS(S8)/ABS(Assumptions!$B$21)),MAX(0.1,1-Assumptions!$B$31*(S8/50)))))*W8)*Archetypes!$C$15)*Assumptions!$B$22+((Archetypes!$C$11*(IF(S8&lt;0,1+Assumptions!$B$32*MIN(1,ABS(S8)/ABS(Assumptions!$B$21)),MAX(0.1,1-Assumptions!$B$31*(S8/50)))))*W8*Archetypes!$C$15*Archetypes!$C$22)*Assumptions!$B$23+(Archetypes!$C$11*(IF(S8&lt;0,1+Assumptions!$B$32*MIN(1,ABS(S8)/ABS(Assumptions!$B$21)),MAX(0.1,1-Assumptions!$B$31*(S8/50)))))*Assumptions!$B$24+-((Archetypes!$C$11*(IF(S8&lt;0,1+Assumptions!$B$32*MIN(1,ABS(S8)/ABS(Assumptions!$B$21)),MAX(0.1,1-Assumptions!$B$31*(S8/50)))))*Archetypes!$C$16)*(Assumptions!$B$27*(1+Assumptions!$B$28*Archetypes!$C$14)/(1+Assumptions!$B$29*Archetypes!$C$12))+-(Archetypes!$C$11*(IF(S8&lt;0,1+Assumptions!$B$32*MIN(1,ABS(S8)/ABS(Assumptions!$B$21)),MAX(0.1,1-Assumptions!$B$31*(S8/50)))))*Archetypes!$C$17*((Archetypes!$C$31)/100)*Assumptions!$B$30+-Assumptions!$B$25*Assumptions!$B$26)*$E8</f>
        <v>3.8857461657060006</v>
      </c>
      <c r="V8" s="18">
        <f>(Archetypes!$C$11*(IF(S8&lt;0,1+Assumptions!$B$32*MIN(1,ABS(S8)/ABS(Assumptions!$B$21)),MAX(0.1,1-Assumptions!$B$31*(S8/50)))))*$E8</f>
        <v>4.3030910663877178</v>
      </c>
      <c r="W8" s="19">
        <f>Archetypes!$C$30</f>
        <v>3.7999999999999999E-2</v>
      </c>
      <c r="X8" s="18">
        <f t="shared" si="4"/>
        <v>0.16351746052273328</v>
      </c>
      <c r="Y8" s="18">
        <f>((V8-X8)*Archetypes!$C$15)+(X8*Archetypes!$C$15*Archetypes!$C$22)</f>
        <v>2.1760731522722687</v>
      </c>
      <c r="Z8" s="18">
        <f>V8*Archetypes!$C$16</f>
        <v>1.936390979874473</v>
      </c>
      <c r="AA8" s="18">
        <f>(IF(S8&lt;0,Assumptions!$B$8,IF(S8&lt;10,Assumptions!$B$34,IF(S8&lt;25,Assumptions!$B$35,Assumptions!$B$36))))*((((Archetypes!$C$5*Assumptions!$B$4+Archetypes!$C$6*Assumptions!$B$5)*60))+(Assumptions!$B$6*(((Archetypes!$C$11*(IF(S8&lt;0,1+Assumptions!$B$32*MIN(1,ABS(S8)/ABS(Assumptions!$B$21)),MAX(0.1,1-Assumptions!$B$31*(S8/50)))))-((Archetypes!$C$11*(IF(S8&lt;0,1+Assumptions!$B$32*MIN(1,ABS(S8)/ABS(Assumptions!$B$21)),MAX(0.1,1-Assumptions!$B$31*(S8/50)))))*W8)*Archetypes!$C$20)+((Archetypes!$C$11*(IF(S8&lt;0,1+Assumptions!$B$32*MIN(1,ABS(S8)/ABS(Assumptions!$B$21)),MAX(0.1,1-Assumptions!$B$31*(S8/50)))))*W8*Archetypes!$C$20*Archetypes!$C$21)*Assumptions!$B$18)*(IF($D8=1,1,Assumptions!$B$7)))+(((((Archetypes!$C$11*(IF(S8&lt;0,1+Assumptions!$B$32*MIN(1,ABS(S8)/ABS(Assumptions!$B$21)),MAX(0.1,1-Assumptions!$B$31*(S8/50)))))-((Archetypes!$C$11*(IF(S8&lt;0,1+Assumptions!$B$32*MIN(1,ABS(S8)/ABS(Assumptions!$B$21)),MAX(0.1,1-Assumptions!$B$31*(S8/50)))))*W8)*Archetypes!$C$15)*(Archetypes!$C$13*IF(S8&lt;0,1-Assumptions!$B$33*MIN(1,ABS(S8)/ABS(Assumptions!$B$21)),1))*5)+(((Archetypes!$C$11*(IF(S8&lt;0,1+Assumptions!$B$32*MIN(1,ABS(S8)/ABS(Assumptions!$B$21)),MAX(0.1,1-Assumptions!$B$31*(S8/50)))))*W8*Archetypes!$C$15*Archetypes!$C$22)*(Archetypes!$C$13*IF(S8&lt;0,1-Assumptions!$B$33*MIN(1,ABS(S8)/ABS(Assumptions!$B$21)),1))*5*Assumptions!$B$18))*IF(S8&lt;0,Assumptions!$B$9,1)))*$E8</f>
        <v>1114.3839452306352</v>
      </c>
      <c r="AB8" s="18">
        <f>(AB7)+(AA8)-(MAX(0,((AB7)+(AA8)-(AC8)))*(IF(Archetypes!$C$27="",Assumptions!$B$11,Archetypes!$C$27)))</f>
        <v>2921.7609180863096</v>
      </c>
      <c r="AC8" s="18">
        <f>Archetypes!$C$33</f>
        <v>90.34</v>
      </c>
      <c r="AD8" s="18">
        <f t="shared" si="5"/>
        <v>2831.4209180863095</v>
      </c>
      <c r="AF8" s="18">
        <f t="shared" si="10"/>
        <v>27.683192613681474</v>
      </c>
      <c r="AG8" s="18">
        <f>MAX(Assumptions!$B$21,(AF8)+(AH8))</f>
        <v>30.449722996562016</v>
      </c>
      <c r="AH8" s="18">
        <f>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$15)*Assumptions!$B$22+((Archetypes!$D$11*(IF(AF8&lt;0,1+Assumptions!$B$32*MIN(1,ABS(AF8)/ABS(Assumptions!$B$21)),MAX(0.1,1-Assumptions!$B$31*(AF8/50)))))*AJ8*Archetypes!$D$15*Archetypes!$D$22)*Assumptions!$B$23+(Archetypes!$D$11*(IF(AF8&lt;0,1+Assumptions!$B$32*MIN(1,ABS(AF8)/ABS(Assumptions!$B$21)),MAX(0.1,1-Assumptions!$B$31*(AF8/50)))))*Assumptions!$B$24+-((Archetypes!$D$11*(IF(AF8&lt;0,1+Assumptions!$B$32*MIN(1,ABS(AF8)/ABS(Assumptions!$B$21)),MAX(0.1,1-Assumptions!$B$31*(AF8/50)))))*Archetypes!$D$16)*(Assumptions!$B$27*(1+Assumptions!$B$28*Archetypes!$D$14)/(1+Assumptions!$B$29*Archetypes!$D$12))+-(Archetypes!$D$11*(IF(AF8&lt;0,1+Assumptions!$B$32*MIN(1,ABS(AF8)/ABS(Assumptions!$B$21)),MAX(0.1,1-Assumptions!$B$31*(AF8/50)))))*Archetypes!$D$17*((Archetypes!$D$31)/100)*Assumptions!$B$30+-Assumptions!$B$25*Assumptions!$B$26)*$E8</f>
        <v>2.7665303828805445</v>
      </c>
      <c r="AI8" s="18">
        <f>(Archetypes!$D$11*(IF(AF8&lt;0,1+Assumptions!$B$32*MIN(1,ABS(AF8)/ABS(Assumptions!$B$21)),MAX(0.1,1-Assumptions!$B$31*(AF8/50)))))*$E8</f>
        <v>2.0034050659074669</v>
      </c>
      <c r="AJ8" s="19">
        <f>Archetypes!$D$30</f>
        <v>0.10400000000000001</v>
      </c>
      <c r="AK8" s="18">
        <f t="shared" si="6"/>
        <v>0.20835412685437657</v>
      </c>
      <c r="AL8" s="18">
        <f>((AI8-AK8)*Archetypes!$D$15)+(AK8*Archetypes!$D$15*Archetypes!$D$22)</f>
        <v>3.1301200749738265</v>
      </c>
      <c r="AM8" s="18">
        <f>AI8*Archetypes!$D$16</f>
        <v>0.40068101318149341</v>
      </c>
      <c r="AN8" s="18">
        <f>(IF(AF8&lt;0,Assumptions!$B$8,IF(AF8&lt;10,Assumptions!$B$34,IF(AF8&lt;25,Assumptions!$B$35,Assumptions!$B$36))))*((((Archetypes!$D$5*Assumptions!$B$4+Archetypes!$D$6*Assumptions!$B$5)*60))+(Assumptions!$B$6*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$20)+((Archetypes!$D$11*(IF(AF8&lt;0,1+Assumptions!$B$32*MIN(1,ABS(AF8)/ABS(Assumptions!$B$21)),MAX(0.1,1-Assumptions!$B$31*(AF8/50)))))*AJ8*Archetypes!$D$20*Archetypes!$D$21)*Assumptions!$B$18)*(IF($D8=1,1,Assumptions!$B$7)))+((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$15)*(Archetypes!$D$13*IF(AF8&lt;0,1-Assumptions!$B$33*MIN(1,ABS(AF8)/ABS(Assumptions!$B$21)),1))*5)+(((Archetypes!$D$11*(IF(AF8&lt;0,1+Assumptions!$B$32*MIN(1,ABS(AF8)/ABS(Assumptions!$B$21)),MAX(0.1,1-Assumptions!$B$31*(AF8/50)))))*AJ8*Archetypes!$D$15*Archetypes!$D$22)*(Archetypes!$D$13*IF(AF8&lt;0,1-Assumptions!$B$33*MIN(1,ABS(AF8)/ABS(Assumptions!$B$21)),1))*5*Assumptions!$B$18))*IF(AF8&lt;0,Assumptions!$B$9,1)))*$E8</f>
        <v>1556.0694430701808</v>
      </c>
      <c r="AO8" s="18">
        <f>(AO7)+(AN8)-(MAX(0,((AO7)+(AN8)-(AP8)))*(IF(Archetypes!$D$27="",Assumptions!$B$11,Archetypes!$D$27)))</f>
        <v>3836.7597289767773</v>
      </c>
      <c r="AP8" s="18">
        <f>Archetypes!$D$33</f>
        <v>201.32916645159378</v>
      </c>
      <c r="AQ8" s="18">
        <f t="shared" si="7"/>
        <v>3635.4305625251836</v>
      </c>
    </row>
    <row r="9" spans="1:52" x14ac:dyDescent="0.25">
      <c r="A9" s="14">
        <v>5</v>
      </c>
      <c r="B9" s="14">
        <f t="shared" si="0"/>
        <v>1</v>
      </c>
      <c r="C9" s="14">
        <f t="shared" si="1"/>
        <v>5</v>
      </c>
      <c r="D9" s="15">
        <f>IF(C9&lt;Assumptions!$B$10,1,0)</f>
        <v>0</v>
      </c>
      <c r="E9" s="15">
        <v>1</v>
      </c>
      <c r="F9" s="18">
        <f t="shared" si="8"/>
        <v>31.325075664212989</v>
      </c>
      <c r="G9" s="18">
        <f>MAX(Assumptions!$B$21,(F9)+(H9))</f>
        <v>35.968905609909555</v>
      </c>
      <c r="H9" s="18">
        <f>(((Archetypes!$B$11*(IF(F9&lt;0,1+Assumptions!$B$32*MIN(1,ABS(F9)/ABS(Assumptions!$B$21)),MAX(0.1,1-Assumptions!$B$31*(F9/50)))))-((Archetypes!$B$11*(IF(F9&lt;0,1+Assumptions!$B$32*MIN(1,ABS(F9)/ABS(Assumptions!$B$21)),MAX(0.1,1-Assumptions!$B$31*(F9/50)))))*J9)*Archetypes!$B$15)*Assumptions!$B$22+((Archetypes!$B$11*(IF(F9&lt;0,1+Assumptions!$B$32*MIN(1,ABS(F9)/ABS(Assumptions!$B$21)),MAX(0.1,1-Assumptions!$B$31*(F9/50)))))*J9*Archetypes!$B$15*Archetypes!$B$22)*Assumptions!$B$23+(Archetypes!$B$11*(IF(F9&lt;0,1+Assumptions!$B$32*MIN(1,ABS(F9)/ABS(Assumptions!$B$21)),MAX(0.1,1-Assumptions!$B$31*(F9/50)))))*Assumptions!$B$24+-((Archetypes!$B$11*(IF(F9&lt;0,1+Assumptions!$B$32*MIN(1,ABS(F9)/ABS(Assumptions!$B$21)),MAX(0.1,1-Assumptions!$B$31*(F9/50)))))*Archetypes!$B$16)*(Assumptions!$B$27*(1+Assumptions!$B$28*Archetypes!$B$14)/(1+Assumptions!$B$29*Archetypes!$B$12))+-(Archetypes!$B$11*(IF(F9&lt;0,1+Assumptions!$B$32*MIN(1,ABS(F9)/ABS(Assumptions!$B$21)),MAX(0.1,1-Assumptions!$B$31*(F9/50)))))*Archetypes!$B$17*((Archetypes!$B$31)/100)*Assumptions!$B$30+-Assumptions!$B$25*Assumptions!$B$26)*$E9</f>
        <v>4.6438299456965675</v>
      </c>
      <c r="I9" s="18">
        <f>(Archetypes!$B$11*(IF(F9&lt;0,1+Assumptions!$B$32*MIN(1,ABS(F9)/ABS(Assumptions!$B$21)),MAX(0.1,1-Assumptions!$B$31*(F9/50)))))*$E9</f>
        <v>6.2409909202944425</v>
      </c>
      <c r="J9" s="19">
        <f>Archetypes!$B$30</f>
        <v>2.1999999999999999E-2</v>
      </c>
      <c r="K9" s="18">
        <f t="shared" si="2"/>
        <v>0.13730180024647773</v>
      </c>
      <c r="L9" s="18">
        <f>((I9-K9)*Archetypes!$B$15)+(K9*Archetypes!$B$15*Archetypes!$B$22)</f>
        <v>0.62684512803437387</v>
      </c>
      <c r="M9" s="18">
        <f>I9*Archetypes!$B$16</f>
        <v>4.6807431902208316</v>
      </c>
      <c r="N9" s="18">
        <f>(IF(F9&lt;0,Assumptions!$B$8,IF(F9&lt;10,Assumptions!$B$34,IF(F9&lt;25,Assumptions!$B$35,Assumptions!$B$36))))*((((Archetypes!$B$5*Assumptions!$B$4+Archetypes!$B$6*Assumptions!$B$5)*60))+(Assumptions!$B$6*(((Archetypes!$B$11*(IF(F9&lt;0,1+Assumptions!$B$32*MIN(1,ABS(F9)/ABS(Assumptions!$B$21)),MAX(0.1,1-Assumptions!$B$31*(F9/50)))))-((Archetypes!$B$11*(IF(F9&lt;0,1+Assumptions!$B$32*MIN(1,ABS(F9)/ABS(Assumptions!$B$21)),MAX(0.1,1-Assumptions!$B$31*(F9/50)))))*J9)*Archetypes!$B$20)+((Archetypes!$B$11*(IF(F9&lt;0,1+Assumptions!$B$32*MIN(1,ABS(F9)/ABS(Assumptions!$B$21)),MAX(0.1,1-Assumptions!$B$31*(F9/50)))))*J9*Archetypes!$B$20*Archetypes!$B$21)*Assumptions!$B$18)*(IF($D9=1,1,Assumptions!$B$7)))+(((((Archetypes!$B$11*(IF(F9&lt;0,1+Assumptions!$B$32*MIN(1,ABS(F9)/ABS(Assumptions!$B$21)),MAX(0.1,1-Assumptions!$B$31*(F9/50)))))-((Archetypes!$B$11*(IF(F9&lt;0,1+Assumptions!$B$32*MIN(1,ABS(F9)/ABS(Assumptions!$B$21)),MAX(0.1,1-Assumptions!$B$31*(F9/50)))))*J9)*Archetypes!$B$15)*(Archetypes!$B$13*IF(F9&lt;0,1-Assumptions!$B$33*MIN(1,ABS(F9)/ABS(Assumptions!$B$21)),1))*5)+(((Archetypes!$B$11*(IF(F9&lt;0,1+Assumptions!$B$32*MIN(1,ABS(F9)/ABS(Assumptions!$B$21)),MAX(0.1,1-Assumptions!$B$31*(F9/50)))))*J9*Archetypes!$B$15*Archetypes!$B$22)*(Archetypes!$B$13*IF(F9&lt;0,1-Assumptions!$B$33*MIN(1,ABS(F9)/ABS(Assumptions!$B$21)),1))*5*Assumptions!$B$18))*IF(F9&lt;0,Assumptions!$B$9,1)))*$E9</f>
        <v>346.17052686586158</v>
      </c>
      <c r="O9" s="18">
        <f>(O8)+(N9)-(MAX(0,((O8)+(N9)-(P9)))*(IF(Archetypes!$B$27="",Assumptions!$B$11,Archetypes!$B$27)))</f>
        <v>1329.9270508066309</v>
      </c>
      <c r="P9" s="18">
        <f>Archetypes!$B$33</f>
        <v>25.423199999999998</v>
      </c>
      <c r="Q9" s="18">
        <f t="shared" si="3"/>
        <v>1304.5038508066309</v>
      </c>
      <c r="S9" s="18">
        <f t="shared" si="9"/>
        <v>27.453925799209923</v>
      </c>
      <c r="T9" s="18">
        <f>MAX(Assumptions!$B$21,(S9)+(U9))</f>
        <v>31.077280182776168</v>
      </c>
      <c r="U9" s="18">
        <f>(((Archetypes!$C$11*(IF(S9&lt;0,1+Assumptions!$B$32*MIN(1,ABS(S9)/ABS(Assumptions!$B$21)),MAX(0.1,1-Assumptions!$B$31*(S9/50)))))-((Archetypes!$C$11*(IF(S9&lt;0,1+Assumptions!$B$32*MIN(1,ABS(S9)/ABS(Assumptions!$B$21)),MAX(0.1,1-Assumptions!$B$31*(S9/50)))))*W9)*Archetypes!$C$15)*Assumptions!$B$22+((Archetypes!$C$11*(IF(S9&lt;0,1+Assumptions!$B$32*MIN(1,ABS(S9)/ABS(Assumptions!$B$21)),MAX(0.1,1-Assumptions!$B$31*(S9/50)))))*W9*Archetypes!$C$15*Archetypes!$C$22)*Assumptions!$B$23+(Archetypes!$C$11*(IF(S9&lt;0,1+Assumptions!$B$32*MIN(1,ABS(S9)/ABS(Assumptions!$B$21)),MAX(0.1,1-Assumptions!$B$31*(S9/50)))))*Assumptions!$B$24+-((Archetypes!$C$11*(IF(S9&lt;0,1+Assumptions!$B$32*MIN(1,ABS(S9)/ABS(Assumptions!$B$21)),MAX(0.1,1-Assumptions!$B$31*(S9/50)))))*Archetypes!$C$16)*(Assumptions!$B$27*(1+Assumptions!$B$28*Archetypes!$C$14)/(1+Assumptions!$B$29*Archetypes!$C$12))+-(Archetypes!$C$11*(IF(S9&lt;0,1+Assumptions!$B$32*MIN(1,ABS(S9)/ABS(Assumptions!$B$21)),MAX(0.1,1-Assumptions!$B$31*(S9/50)))))*Archetypes!$C$17*((Archetypes!$C$31)/100)*Assumptions!$B$30+-Assumptions!$B$25*Assumptions!$B$26)*$E9</f>
        <v>3.6233543835662432</v>
      </c>
      <c r="V9" s="18">
        <f>(Archetypes!$C$11*(IF(S9&lt;0,1+Assumptions!$B$32*MIN(1,ABS(S9)/ABS(Assumptions!$B$21)),MAX(0.1,1-Assumptions!$B$31*(S9/50)))))*$E9</f>
        <v>4.0233173424568855</v>
      </c>
      <c r="W9" s="19">
        <f>Archetypes!$C$30</f>
        <v>3.7999999999999999E-2</v>
      </c>
      <c r="X9" s="18">
        <f t="shared" si="4"/>
        <v>0.15288605901336164</v>
      </c>
      <c r="Y9" s="18">
        <f>((V9-X9)*Archetypes!$C$15)+(X9*Archetypes!$C$15*Archetypes!$C$22)</f>
        <v>2.034591580080447</v>
      </c>
      <c r="Z9" s="18">
        <f>V9*Archetypes!$C$16</f>
        <v>1.8104928041055985</v>
      </c>
      <c r="AA9" s="18">
        <f>(IF(S9&lt;0,Assumptions!$B$8,IF(S9&lt;10,Assumptions!$B$34,IF(S9&lt;25,Assumptions!$B$35,Assumptions!$B$36))))*((((Archetypes!$C$5*Assumptions!$B$4+Archetypes!$C$6*Assumptions!$B$5)*60))+(Assumptions!$B$6*(((Archetypes!$C$11*(IF(S9&lt;0,1+Assumptions!$B$32*MIN(1,ABS(S9)/ABS(Assumptions!$B$21)),MAX(0.1,1-Assumptions!$B$31*(S9/50)))))-((Archetypes!$C$11*(IF(S9&lt;0,1+Assumptions!$B$32*MIN(1,ABS(S9)/ABS(Assumptions!$B$21)),MAX(0.1,1-Assumptions!$B$31*(S9/50)))))*W9)*Archetypes!$C$20)+((Archetypes!$C$11*(IF(S9&lt;0,1+Assumptions!$B$32*MIN(1,ABS(S9)/ABS(Assumptions!$B$21)),MAX(0.1,1-Assumptions!$B$31*(S9/50)))))*W9*Archetypes!$C$20*Archetypes!$C$21)*Assumptions!$B$18)*(IF($D9=1,1,Assumptions!$B$7)))+(((((Archetypes!$C$11*(IF(S9&lt;0,1+Assumptions!$B$32*MIN(1,ABS(S9)/ABS(Assumptions!$B$21)),MAX(0.1,1-Assumptions!$B$31*(S9/50)))))-((Archetypes!$C$11*(IF(S9&lt;0,1+Assumptions!$B$32*MIN(1,ABS(S9)/ABS(Assumptions!$B$21)),MAX(0.1,1-Assumptions!$B$31*(S9/50)))))*W9)*Archetypes!$C$15)*(Archetypes!$C$13*IF(S9&lt;0,1-Assumptions!$B$33*MIN(1,ABS(S9)/ABS(Assumptions!$B$21)),1))*5)+(((Archetypes!$C$11*(IF(S9&lt;0,1+Assumptions!$B$32*MIN(1,ABS(S9)/ABS(Assumptions!$B$21)),MAX(0.1,1-Assumptions!$B$31*(S9/50)))))*W9*Archetypes!$C$15*Archetypes!$C$22)*(Archetypes!$C$13*IF(S9&lt;0,1-Assumptions!$B$33*MIN(1,ABS(S9)/ABS(Assumptions!$B$21)),1))*5*Assumptions!$B$18))*IF(S9&lt;0,Assumptions!$B$9,1)))*$E9</f>
        <v>975.35949551152794</v>
      </c>
      <c r="AB9" s="18">
        <f>(AB8)+(AA9)-(MAX(0,((AB8)+(AA9)-(AC9)))*(IF(Archetypes!$C$27="",Assumptions!$B$11,Archetypes!$C$27)))</f>
        <v>2945.4253101983786</v>
      </c>
      <c r="AC9" s="18">
        <f>Archetypes!$C$33</f>
        <v>90.34</v>
      </c>
      <c r="AD9" s="18">
        <f t="shared" si="5"/>
        <v>2855.0853101983785</v>
      </c>
      <c r="AF9" s="18">
        <f t="shared" si="10"/>
        <v>30.449722996562016</v>
      </c>
      <c r="AG9" s="18">
        <f>MAX(Assumptions!$B$21,(AF9)+(AH9))</f>
        <v>33.071264169846835</v>
      </c>
      <c r="AH9" s="18">
        <f>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$15)*Assumptions!$B$22+((Archetypes!$D$11*(IF(AF9&lt;0,1+Assumptions!$B$32*MIN(1,ABS(AF9)/ABS(Assumptions!$B$21)),MAX(0.1,1-Assumptions!$B$31*(AF9/50)))))*AJ9*Archetypes!$D$15*Archetypes!$D$22)*Assumptions!$B$23+(Archetypes!$D$11*(IF(AF9&lt;0,1+Assumptions!$B$32*MIN(1,ABS(AF9)/ABS(Assumptions!$B$21)),MAX(0.1,1-Assumptions!$B$31*(AF9/50)))))*Assumptions!$B$24+-((Archetypes!$D$11*(IF(AF9&lt;0,1+Assumptions!$B$32*MIN(1,ABS(AF9)/ABS(Assumptions!$B$21)),MAX(0.1,1-Assumptions!$B$31*(AF9/50)))))*Archetypes!$D$16)*(Assumptions!$B$27*(1+Assumptions!$B$28*Archetypes!$D$14)/(1+Assumptions!$B$29*Archetypes!$D$12))+-(Archetypes!$D$11*(IF(AF9&lt;0,1+Assumptions!$B$32*MIN(1,ABS(AF9)/ABS(Assumptions!$B$21)),MAX(0.1,1-Assumptions!$B$31*(AF9/50)))))*Archetypes!$D$17*((Archetypes!$D$31)/100)*Assumptions!$B$30+-Assumptions!$B$25*Assumptions!$B$26)*$E9</f>
        <v>2.6215411732848195</v>
      </c>
      <c r="AI9" s="18">
        <f>(Archetypes!$D$11*(IF(AF9&lt;0,1+Assumptions!$B$32*MIN(1,ABS(AF9)/ABS(Assumptions!$B$21)),MAX(0.1,1-Assumptions!$B$31*(AF9/50)))))*$E9</f>
        <v>1.9038099721237676</v>
      </c>
      <c r="AJ9" s="19">
        <f>Archetypes!$D$30</f>
        <v>0.10400000000000001</v>
      </c>
      <c r="AK9" s="18">
        <f t="shared" si="6"/>
        <v>0.19799623710087186</v>
      </c>
      <c r="AL9" s="18">
        <f>((AI9-AK9)*Archetypes!$D$15)+(AK9*Archetypes!$D$15*Archetypes!$D$22)</f>
        <v>2.9745127004461742</v>
      </c>
      <c r="AM9" s="18">
        <f>AI9*Archetypes!$D$16</f>
        <v>0.38076199442475356</v>
      </c>
      <c r="AN9" s="18">
        <f>(IF(AF9&lt;0,Assumptions!$B$8,IF(AF9&lt;10,Assumptions!$B$34,IF(AF9&lt;25,Assumptions!$B$35,Assumptions!$B$36))))*((((Archetypes!$D$5*Assumptions!$B$4+Archetypes!$D$6*Assumptions!$B$5)*60))+(Assumptions!$B$6*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$20)+((Archetypes!$D$11*(IF(AF9&lt;0,1+Assumptions!$B$32*MIN(1,ABS(AF9)/ABS(Assumptions!$B$21)),MAX(0.1,1-Assumptions!$B$31*(AF9/50)))))*AJ9*Archetypes!$D$20*Archetypes!$D$21)*Assumptions!$B$18)*(IF($D9=1,1,Assumptions!$B$7)))+((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$15)*(Archetypes!$D$13*IF(AF9&lt;0,1-Assumptions!$B$33*MIN(1,ABS(AF9)/ABS(Assumptions!$B$21)),1))*5)+(((Archetypes!$D$11*(IF(AF9&lt;0,1+Assumptions!$B$32*MIN(1,ABS(AF9)/ABS(Assumptions!$B$21)),MAX(0.1,1-Assumptions!$B$31*(AF9/50)))))*AJ9*Archetypes!$D$15*Archetypes!$D$22)*(Archetypes!$D$13*IF(AF9&lt;0,1-Assumptions!$B$33*MIN(1,ABS(AF9)/ABS(Assumptions!$B$21)),1))*5*Assumptions!$B$18))*IF(AF9&lt;0,Assumptions!$B$9,1)))*$E9</f>
        <v>1531.9552299755369</v>
      </c>
      <c r="AO9" s="18">
        <f>(AO8)+(AN9)-(MAX(0,((AO8)+(AN9)-(AP9)))*(IF(Archetypes!$D$27="",Assumptions!$B$11,Archetypes!$D$27)))</f>
        <v>3818.4992212020979</v>
      </c>
      <c r="AP9" s="18">
        <f>Archetypes!$D$33</f>
        <v>201.32916645159378</v>
      </c>
      <c r="AQ9" s="18">
        <f t="shared" si="7"/>
        <v>3617.1700547505043</v>
      </c>
    </row>
    <row r="10" spans="1:52" x14ac:dyDescent="0.25">
      <c r="A10" s="14">
        <v>6</v>
      </c>
      <c r="B10" s="14">
        <f t="shared" si="0"/>
        <v>1</v>
      </c>
      <c r="C10" s="14">
        <f t="shared" si="1"/>
        <v>6</v>
      </c>
      <c r="D10" s="15">
        <f>IF(C10&lt;Assumptions!$B$10,1,0)</f>
        <v>0</v>
      </c>
      <c r="E10" s="15">
        <v>1</v>
      </c>
      <c r="F10" s="18">
        <f t="shared" si="8"/>
        <v>35.968905609909555</v>
      </c>
      <c r="G10" s="18">
        <f>MAX(Assumptions!$B$21,(F10)+(H10))</f>
        <v>40.184693316659505</v>
      </c>
      <c r="H10" s="18">
        <f>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$15)*Assumptions!$B$22+((Archetypes!$B$11*(IF(F10&lt;0,1+Assumptions!$B$32*MIN(1,ABS(F10)/ABS(Assumptions!$B$21)),MAX(0.1,1-Assumptions!$B$31*(F10/50)))))*J10*Archetypes!$B$15*Archetypes!$B$22)*Assumptions!$B$23+(Archetypes!$B$11*(IF(F10&lt;0,1+Assumptions!$B$32*MIN(1,ABS(F10)/ABS(Assumptions!$B$21)),MAX(0.1,1-Assumptions!$B$31*(F10/50)))))*Assumptions!$B$24+-((Archetypes!$B$11*(IF(F10&lt;0,1+Assumptions!$B$32*MIN(1,ABS(F10)/ABS(Assumptions!$B$21)),MAX(0.1,1-Assumptions!$B$31*(F10/50)))))*Archetypes!$B$16)*(Assumptions!$B$27*(1+Assumptions!$B$28*Archetypes!$B$14)/(1+Assumptions!$B$29*Archetypes!$B$12))+-(Archetypes!$B$11*(IF(F10&lt;0,1+Assumptions!$B$32*MIN(1,ABS(F10)/ABS(Assumptions!$B$21)),MAX(0.1,1-Assumptions!$B$31*(F10/50)))))*Archetypes!$B$17*((Archetypes!$B$31)/100)*Assumptions!$B$30+-Assumptions!$B$25*Assumptions!$B$26)*$E10</f>
        <v>4.2157877067499507</v>
      </c>
      <c r="I10" s="18">
        <f>(Archetypes!$B$11*(IF(F10&lt;0,1+Assumptions!$B$32*MIN(1,ABS(F10)/ABS(Assumptions!$B$21)),MAX(0.1,1-Assumptions!$B$31*(F10/50)))))*$E10</f>
        <v>5.683731326810852</v>
      </c>
      <c r="J10" s="19">
        <f>Archetypes!$B$30</f>
        <v>2.1999999999999999E-2</v>
      </c>
      <c r="K10" s="18">
        <f t="shared" si="2"/>
        <v>0.12504208918983875</v>
      </c>
      <c r="L10" s="18">
        <f>((I10-K10)*Archetypes!$B$15)+(K10*Archetypes!$B$15*Archetypes!$B$22)</f>
        <v>0.57087397446488197</v>
      </c>
      <c r="M10" s="18">
        <f>I10*Archetypes!$B$16</f>
        <v>4.2627984951081395</v>
      </c>
      <c r="N10" s="18">
        <f>(IF(F10&lt;0,Assumptions!$B$8,IF(F10&lt;10,Assumptions!$B$34,IF(F10&lt;25,Assumptions!$B$35,Assumptions!$B$36))))*((((Archetypes!$B$5*Assumptions!$B$4+Archetypes!$B$6*Assumptions!$B$5)*60))+(Assumptions!$B$6*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$20)+((Archetypes!$B$11*(IF(F10&lt;0,1+Assumptions!$B$32*MIN(1,ABS(F10)/ABS(Assumptions!$B$21)),MAX(0.1,1-Assumptions!$B$31*(F10/50)))))*J10*Archetypes!$B$20*Archetypes!$B$21)*Assumptions!$B$18)*(IF($D10=1,1,Assumptions!$B$7)))+((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$15)*(Archetypes!$B$13*IF(F10&lt;0,1-Assumptions!$B$33*MIN(1,ABS(F10)/ABS(Assumptions!$B$21)),1))*5)+(((Archetypes!$B$11*(IF(F10&lt;0,1+Assumptions!$B$32*MIN(1,ABS(F10)/ABS(Assumptions!$B$21)),MAX(0.1,1-Assumptions!$B$31*(F10/50)))))*J10*Archetypes!$B$15*Archetypes!$B$22)*(Archetypes!$B$13*IF(F10&lt;0,1-Assumptions!$B$33*MIN(1,ABS(F10)/ABS(Assumptions!$B$21)),1))*5*Assumptions!$B$18))*IF(F10&lt;0,Assumptions!$B$9,1)))*$E10</f>
        <v>328.9222836543168</v>
      </c>
      <c r="O10" s="18">
        <f>(O9)+(N10)-(MAX(0,((O9)+(N10)-(P10)))*(IF(Archetypes!$B$27="",Assumptions!$B$11,Archetypes!$B$27)))</f>
        <v>1332.164107568758</v>
      </c>
      <c r="P10" s="18">
        <f>Archetypes!$B$33</f>
        <v>25.423199999999998</v>
      </c>
      <c r="Q10" s="18">
        <f t="shared" si="3"/>
        <v>1306.7409075687581</v>
      </c>
      <c r="S10" s="18">
        <f t="shared" si="9"/>
        <v>31.077280182776168</v>
      </c>
      <c r="T10" s="18">
        <f>MAX(Assumptions!$B$21,(S10)+(U10))</f>
        <v>34.455961246603032</v>
      </c>
      <c r="U10" s="18">
        <f>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$15)*Assumptions!$B$22+((Archetypes!$C$11*(IF(S10&lt;0,1+Assumptions!$B$32*MIN(1,ABS(S10)/ABS(Assumptions!$B$21)),MAX(0.1,1-Assumptions!$B$31*(S10/50)))))*W10*Archetypes!$C$15*Archetypes!$C$22)*Assumptions!$B$23+(Archetypes!$C$11*(IF(S10&lt;0,1+Assumptions!$B$32*MIN(1,ABS(S10)/ABS(Assumptions!$B$21)),MAX(0.1,1-Assumptions!$B$31*(S10/50)))))*Assumptions!$B$24+-((Archetypes!$C$11*(IF(S10&lt;0,1+Assumptions!$B$32*MIN(1,ABS(S10)/ABS(Assumptions!$B$21)),MAX(0.1,1-Assumptions!$B$31*(S10/50)))))*Archetypes!$C$16)*(Assumptions!$B$27*(1+Assumptions!$B$28*Archetypes!$C$14)/(1+Assumptions!$B$29*Archetypes!$C$12))+-(Archetypes!$C$11*(IF(S10&lt;0,1+Assumptions!$B$32*MIN(1,ABS(S10)/ABS(Assumptions!$B$21)),MAX(0.1,1-Assumptions!$B$31*(S10/50)))))*Archetypes!$C$17*((Archetypes!$C$31)/100)*Assumptions!$B$30+-Assumptions!$B$25*Assumptions!$B$26)*$E10</f>
        <v>3.3786810638268641</v>
      </c>
      <c r="V10" s="18">
        <f>(Archetypes!$C$11*(IF(S10&lt;0,1+Assumptions!$B$32*MIN(1,ABS(S10)/ABS(Assumptions!$B$21)),MAX(0.1,1-Assumptions!$B$31*(S10/50)))))*$E10</f>
        <v>3.7624358268401159</v>
      </c>
      <c r="W10" s="19">
        <f>Archetypes!$C$30</f>
        <v>3.7999999999999999E-2</v>
      </c>
      <c r="X10" s="18">
        <f t="shared" si="4"/>
        <v>0.1429725614199244</v>
      </c>
      <c r="Y10" s="18">
        <f>((V10-X10)*Archetypes!$C$15)+(X10*Archetypes!$C$15*Archetypes!$C$22)</f>
        <v>1.9026637976330467</v>
      </c>
      <c r="Z10" s="18">
        <f>V10*Archetypes!$C$16</f>
        <v>1.6930961220780523</v>
      </c>
      <c r="AA10" s="18">
        <f>(IF(S10&lt;0,Assumptions!$B$8,IF(S10&lt;10,Assumptions!$B$34,IF(S10&lt;25,Assumptions!$B$35,Assumptions!$B$36))))*((((Archetypes!$C$5*Assumptions!$B$4+Archetypes!$C$6*Assumptions!$B$5)*60))+(Assumptions!$B$6*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$20)+((Archetypes!$C$11*(IF(S10&lt;0,1+Assumptions!$B$32*MIN(1,ABS(S10)/ABS(Assumptions!$B$21)),MAX(0.1,1-Assumptions!$B$31*(S10/50)))))*W10*Archetypes!$C$20*Archetypes!$C$21)*Assumptions!$B$18)*(IF($D10=1,1,Assumptions!$B$7)))+((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$15)*(Archetypes!$C$13*IF(S10&lt;0,1-Assumptions!$B$33*MIN(1,ABS(S10)/ABS(Assumptions!$B$21)),1))*5)+(((Archetypes!$C$11*(IF(S10&lt;0,1+Assumptions!$B$32*MIN(1,ABS(S10)/ABS(Assumptions!$B$21)),MAX(0.1,1-Assumptions!$B$31*(S10/50)))))*W10*Archetypes!$C$15*Archetypes!$C$22)*(Archetypes!$C$13*IF(S10&lt;0,1-Assumptions!$B$33*MIN(1,ABS(S10)/ABS(Assumptions!$B$21)),1))*5*Assumptions!$B$18))*IF(S10&lt;0,Assumptions!$B$9,1)))*$E10</f>
        <v>955.10535901913408</v>
      </c>
      <c r="AB10" s="18">
        <f>(AB9)+(AA10)-(MAX(0,((AB9)+(AA10)-(AC10)))*(IF(Archetypes!$C$27="",Assumptions!$B$11,Archetypes!$C$27)))</f>
        <v>2947.9830019131346</v>
      </c>
      <c r="AC10" s="18">
        <f>Archetypes!$C$33</f>
        <v>90.34</v>
      </c>
      <c r="AD10" s="18">
        <f t="shared" si="5"/>
        <v>2857.6430019131344</v>
      </c>
      <c r="AF10" s="18">
        <f t="shared" si="10"/>
        <v>33.071264169846835</v>
      </c>
      <c r="AG10" s="18">
        <f>MAX(Assumptions!$B$21,(AF10)+(AH10))</f>
        <v>35.555414774428968</v>
      </c>
      <c r="AH10" s="18">
        <f>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$15)*Assumptions!$B$22+((Archetypes!$D$11*(IF(AF10&lt;0,1+Assumptions!$B$32*MIN(1,ABS(AF10)/ABS(Assumptions!$B$21)),MAX(0.1,1-Assumptions!$B$31*(AF10/50)))))*AJ10*Archetypes!$D$15*Archetypes!$D$22)*Assumptions!$B$23+(Archetypes!$D$11*(IF(AF10&lt;0,1+Assumptions!$B$32*MIN(1,ABS(AF10)/ABS(Assumptions!$B$21)),MAX(0.1,1-Assumptions!$B$31*(AF10/50)))))*Assumptions!$B$24+-((Archetypes!$D$11*(IF(AF10&lt;0,1+Assumptions!$B$32*MIN(1,ABS(AF10)/ABS(Assumptions!$B$21)),MAX(0.1,1-Assumptions!$B$31*(AF10/50)))))*Archetypes!$D$16)*(Assumptions!$B$27*(1+Assumptions!$B$28*Archetypes!$D$14)/(1+Assumptions!$B$29*Archetypes!$D$12))+-(Archetypes!$D$11*(IF(AF10&lt;0,1+Assumptions!$B$32*MIN(1,ABS(AF10)/ABS(Assumptions!$B$21)),MAX(0.1,1-Assumptions!$B$31*(AF10/50)))))*Archetypes!$D$17*((Archetypes!$D$31)/100)*Assumptions!$B$30+-Assumptions!$B$25*Assumptions!$B$26)*$E10</f>
        <v>2.4841506045821329</v>
      </c>
      <c r="AI10" s="18">
        <f>(Archetypes!$D$11*(IF(AF10&lt;0,1+Assumptions!$B$32*MIN(1,ABS(AF10)/ABS(Assumptions!$B$21)),MAX(0.1,1-Assumptions!$B$31*(AF10/50)))))*$E10</f>
        <v>1.8094344898855141</v>
      </c>
      <c r="AJ10" s="19">
        <f>Archetypes!$D$30</f>
        <v>0.10400000000000001</v>
      </c>
      <c r="AK10" s="18">
        <f t="shared" si="6"/>
        <v>0.18818118694809349</v>
      </c>
      <c r="AL10" s="18">
        <f>((AI10-AK10)*Archetypes!$D$15)+(AK10*Archetypes!$D$15*Archetypes!$D$22)</f>
        <v>2.8270604469971277</v>
      </c>
      <c r="AM10" s="18">
        <f>AI10*Archetypes!$D$16</f>
        <v>0.36188689797710283</v>
      </c>
      <c r="AN10" s="18">
        <f>(IF(AF10&lt;0,Assumptions!$B$8,IF(AF10&lt;10,Assumptions!$B$34,IF(AF10&lt;25,Assumptions!$B$35,Assumptions!$B$36))))*((((Archetypes!$D$5*Assumptions!$B$4+Archetypes!$D$6*Assumptions!$B$5)*60))+(Assumptions!$B$6*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$20)+((Archetypes!$D$11*(IF(AF10&lt;0,1+Assumptions!$B$32*MIN(1,ABS(AF10)/ABS(Assumptions!$B$21)),MAX(0.1,1-Assumptions!$B$31*(AF10/50)))))*AJ10*Archetypes!$D$20*Archetypes!$D$21)*Assumptions!$B$18)*(IF($D10=1,1,Assumptions!$B$7)))+((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$15)*(Archetypes!$D$13*IF(AF10&lt;0,1-Assumptions!$B$33*MIN(1,ABS(AF10)/ABS(Assumptions!$B$21)),1))*5)+(((Archetypes!$D$11*(IF(AF10&lt;0,1+Assumptions!$B$32*MIN(1,ABS(AF10)/ABS(Assumptions!$B$21)),MAX(0.1,1-Assumptions!$B$31*(AF10/50)))))*AJ10*Archetypes!$D$15*Archetypes!$D$22)*(Archetypes!$D$13*IF(AF10&lt;0,1-Assumptions!$B$33*MIN(1,ABS(AF10)/ABS(Assumptions!$B$21)),1))*5*Assumptions!$B$18))*IF(AF10&lt;0,Assumptions!$B$9,1)))*$E10</f>
        <v>1509.1048022773052</v>
      </c>
      <c r="AO10" s="18">
        <f>(AO9)+(AN10)-(MAX(0,((AO9)+(AN10)-(AP10)))*(IF(Archetypes!$D$27="",Assumptions!$B$11,Archetypes!$D$27)))</f>
        <v>3789.7215663710604</v>
      </c>
      <c r="AP10" s="18">
        <f>Archetypes!$D$33</f>
        <v>201.32916645159378</v>
      </c>
      <c r="AQ10" s="18">
        <f t="shared" si="7"/>
        <v>3588.3923999194667</v>
      </c>
    </row>
    <row r="11" spans="1:52" x14ac:dyDescent="0.25">
      <c r="A11" s="14">
        <v>7</v>
      </c>
      <c r="B11" s="14">
        <f t="shared" si="0"/>
        <v>1</v>
      </c>
      <c r="C11" s="14">
        <f t="shared" si="1"/>
        <v>7</v>
      </c>
      <c r="D11" s="15">
        <f>IF(C11&lt;Assumptions!$B$10,1,0)</f>
        <v>0</v>
      </c>
      <c r="E11" s="15">
        <v>1</v>
      </c>
      <c r="F11" s="18">
        <f t="shared" si="8"/>
        <v>40.184693316659505</v>
      </c>
      <c r="G11" s="18">
        <f>MAX(Assumptions!$B$21,(F11)+(H11))</f>
        <v>44.011893321012408</v>
      </c>
      <c r="H11" s="18">
        <f>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$15)*Assumptions!$B$22+((Archetypes!$B$11*(IF(F11&lt;0,1+Assumptions!$B$32*MIN(1,ABS(F11)/ABS(Assumptions!$B$21)),MAX(0.1,1-Assumptions!$B$31*(F11/50)))))*J11*Archetypes!$B$15*Archetypes!$B$22)*Assumptions!$B$23+(Archetypes!$B$11*(IF(F11&lt;0,1+Assumptions!$B$32*MIN(1,ABS(F11)/ABS(Assumptions!$B$21)),MAX(0.1,1-Assumptions!$B$31*(F11/50)))))*Assumptions!$B$24+-((Archetypes!$B$11*(IF(F11&lt;0,1+Assumptions!$B$32*MIN(1,ABS(F11)/ABS(Assumptions!$B$21)),MAX(0.1,1-Assumptions!$B$31*(F11/50)))))*Archetypes!$B$16)*(Assumptions!$B$27*(1+Assumptions!$B$28*Archetypes!$B$14)/(1+Assumptions!$B$29*Archetypes!$B$12))+-(Archetypes!$B$11*(IF(F11&lt;0,1+Assumptions!$B$32*MIN(1,ABS(F11)/ABS(Assumptions!$B$21)),MAX(0.1,1-Assumptions!$B$31*(F11/50)))))*Archetypes!$B$17*((Archetypes!$B$31)/100)*Assumptions!$B$30+-Assumptions!$B$25*Assumptions!$B$26)*$E11</f>
        <v>3.8272000043528998</v>
      </c>
      <c r="I11" s="18">
        <f>(Archetypes!$B$11*(IF(F11&lt;0,1+Assumptions!$B$32*MIN(1,ABS(F11)/ABS(Assumptions!$B$21)),MAX(0.1,1-Assumptions!$B$31*(F11/50)))))*$E11</f>
        <v>5.1778368020008596</v>
      </c>
      <c r="J11" s="19">
        <f>Archetypes!$B$30</f>
        <v>2.1999999999999999E-2</v>
      </c>
      <c r="K11" s="18">
        <f t="shared" si="2"/>
        <v>0.1139124096440189</v>
      </c>
      <c r="L11" s="18">
        <f>((I11-K11)*Archetypes!$B$15)+(K11*Archetypes!$B$15*Archetypes!$B$22)</f>
        <v>0.52006192839296639</v>
      </c>
      <c r="M11" s="18">
        <f>I11*Archetypes!$B$16</f>
        <v>3.8833776015006447</v>
      </c>
      <c r="N11" s="18">
        <f>(IF(F11&lt;0,Assumptions!$B$8,IF(F11&lt;10,Assumptions!$B$34,IF(F11&lt;25,Assumptions!$B$35,Assumptions!$B$36))))*((((Archetypes!$B$5*Assumptions!$B$4+Archetypes!$B$6*Assumptions!$B$5)*60))+(Assumptions!$B$6*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$20)+((Archetypes!$B$11*(IF(F11&lt;0,1+Assumptions!$B$32*MIN(1,ABS(F11)/ABS(Assumptions!$B$21)),MAX(0.1,1-Assumptions!$B$31*(F11/50)))))*J11*Archetypes!$B$20*Archetypes!$B$21)*Assumptions!$B$18)*(IF($D11=1,1,Assumptions!$B$7)))+((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$15)*(Archetypes!$B$13*IF(F11&lt;0,1-Assumptions!$B$33*MIN(1,ABS(F11)/ABS(Assumptions!$B$21)),1))*5)+(((Archetypes!$B$11*(IF(F11&lt;0,1+Assumptions!$B$32*MIN(1,ABS(F11)/ABS(Assumptions!$B$21)),MAX(0.1,1-Assumptions!$B$31*(F11/50)))))*J11*Archetypes!$B$15*Archetypes!$B$22)*(Archetypes!$B$13*IF(F11&lt;0,1-Assumptions!$B$33*MIN(1,ABS(F11)/ABS(Assumptions!$B$21)),1))*5*Assumptions!$B$18))*IF(F11&lt;0,Assumptions!$B$9,1)))*$E11</f>
        <v>313.26388691185042</v>
      </c>
      <c r="O11" s="18">
        <f>(O10)+(N11)-(MAX(0,((O10)+(N11)-(P11)))*(IF(Archetypes!$B$27="",Assumptions!$B$11,Archetypes!$B$27)))</f>
        <v>1321.4270355844867</v>
      </c>
      <c r="P11" s="18">
        <f>Archetypes!$B$33</f>
        <v>25.423199999999998</v>
      </c>
      <c r="Q11" s="18">
        <f t="shared" si="3"/>
        <v>1296.0038355844868</v>
      </c>
      <c r="S11" s="18">
        <f t="shared" si="9"/>
        <v>34.455961246603032</v>
      </c>
      <c r="T11" s="18">
        <f>MAX(Assumptions!$B$21,(S11)+(U11))</f>
        <v>37.606490983036558</v>
      </c>
      <c r="U11" s="18">
        <f>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$15)*Assumptions!$B$22+((Archetypes!$C$11*(IF(S11&lt;0,1+Assumptions!$B$32*MIN(1,ABS(S11)/ABS(Assumptions!$B$21)),MAX(0.1,1-Assumptions!$B$31*(S11/50)))))*W11*Archetypes!$C$15*Archetypes!$C$22)*Assumptions!$B$23+(Archetypes!$C$11*(IF(S11&lt;0,1+Assumptions!$B$32*MIN(1,ABS(S11)/ABS(Assumptions!$B$21)),MAX(0.1,1-Assumptions!$B$31*(S11/50)))))*Assumptions!$B$24+-((Archetypes!$C$11*(IF(S11&lt;0,1+Assumptions!$B$32*MIN(1,ABS(S11)/ABS(Assumptions!$B$21)),MAX(0.1,1-Assumptions!$B$31*(S11/50)))))*Archetypes!$C$16)*(Assumptions!$B$27*(1+Assumptions!$B$28*Archetypes!$C$14)/(1+Assumptions!$B$29*Archetypes!$C$12))+-(Archetypes!$C$11*(IF(S11&lt;0,1+Assumptions!$B$32*MIN(1,ABS(S11)/ABS(Assumptions!$B$21)),MAX(0.1,1-Assumptions!$B$31*(S11/50)))))*Archetypes!$C$17*((Archetypes!$C$31)/100)*Assumptions!$B$30+-Assumptions!$B$25*Assumptions!$B$26)*$E11</f>
        <v>3.150529736433529</v>
      </c>
      <c r="V11" s="18">
        <f>(Archetypes!$C$11*(IF(S11&lt;0,1+Assumptions!$B$32*MIN(1,ABS(S11)/ABS(Assumptions!$B$21)),MAX(0.1,1-Assumptions!$B$31*(S11/50)))))*$E11</f>
        <v>3.5191707902445817</v>
      </c>
      <c r="W11" s="19">
        <f>Archetypes!$C$30</f>
        <v>3.7999999999999999E-2</v>
      </c>
      <c r="X11" s="18">
        <f t="shared" si="4"/>
        <v>0.1337284900292941</v>
      </c>
      <c r="Y11" s="18">
        <f>((V11-X11)*Archetypes!$C$15)+(X11*Archetypes!$C$15*Archetypes!$C$22)</f>
        <v>1.7796446686266849</v>
      </c>
      <c r="Z11" s="18">
        <f>V11*Archetypes!$C$16</f>
        <v>1.5836268556100619</v>
      </c>
      <c r="AA11" s="18">
        <f>(IF(S11&lt;0,Assumptions!$B$8,IF(S11&lt;10,Assumptions!$B$34,IF(S11&lt;25,Assumptions!$B$35,Assumptions!$B$36))))*((((Archetypes!$C$5*Assumptions!$B$4+Archetypes!$C$6*Assumptions!$B$5)*60))+(Assumptions!$B$6*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$20)+((Archetypes!$C$11*(IF(S11&lt;0,1+Assumptions!$B$32*MIN(1,ABS(S11)/ABS(Assumptions!$B$21)),MAX(0.1,1-Assumptions!$B$31*(S11/50)))))*W11*Archetypes!$C$20*Archetypes!$C$21)*Assumptions!$B$18)*(IF($D11=1,1,Assumptions!$B$7)))+((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$15)*(Archetypes!$C$13*IF(S11&lt;0,1-Assumptions!$B$33*MIN(1,ABS(S11)/ABS(Assumptions!$B$21)),1))*5)+(((Archetypes!$C$11*(IF(S11&lt;0,1+Assumptions!$B$32*MIN(1,ABS(S11)/ABS(Assumptions!$B$21)),MAX(0.1,1-Assumptions!$B$31*(S11/50)))))*W11*Archetypes!$C$15*Archetypes!$C$22)*(Archetypes!$C$13*IF(S11&lt;0,1-Assumptions!$B$33*MIN(1,ABS(S11)/ABS(Assumptions!$B$21)),1))*5*Assumptions!$B$18))*IF(S11&lt;0,Assumptions!$B$9,1)))*$E11</f>
        <v>936.21891839345562</v>
      </c>
      <c r="AB11" s="18">
        <f>(AB10)+(AA11)-(MAX(0,((AB10)+(AA11)-(AC11)))*(IF(Archetypes!$C$27="",Assumptions!$B$11,Archetypes!$C$27)))</f>
        <v>2935.7364402299427</v>
      </c>
      <c r="AC11" s="18">
        <f>Archetypes!$C$33</f>
        <v>90.34</v>
      </c>
      <c r="AD11" s="18">
        <f t="shared" si="5"/>
        <v>2845.3964402299425</v>
      </c>
      <c r="AF11" s="18">
        <f t="shared" si="10"/>
        <v>35.555414774428968</v>
      </c>
      <c r="AG11" s="18">
        <f>MAX(Assumptions!$B$21,(AF11)+(AH11))</f>
        <v>37.909375219197969</v>
      </c>
      <c r="AH11" s="18">
        <f>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$15)*Assumptions!$B$22+((Archetypes!$D$11*(IF(AF11&lt;0,1+Assumptions!$B$32*MIN(1,ABS(AF11)/ABS(Assumptions!$B$21)),MAX(0.1,1-Assumptions!$B$31*(AF11/50)))))*AJ11*Archetypes!$D$15*Archetypes!$D$22)*Assumptions!$B$23+(Archetypes!$D$11*(IF(AF11&lt;0,1+Assumptions!$B$32*MIN(1,ABS(AF11)/ABS(Assumptions!$B$21)),MAX(0.1,1-Assumptions!$B$31*(AF11/50)))))*Assumptions!$B$24+-((Archetypes!$D$11*(IF(AF11&lt;0,1+Assumptions!$B$32*MIN(1,ABS(AF11)/ABS(Assumptions!$B$21)),MAX(0.1,1-Assumptions!$B$31*(AF11/50)))))*Archetypes!$D$16)*(Assumptions!$B$27*(1+Assumptions!$B$28*Archetypes!$D$14)/(1+Assumptions!$B$29*Archetypes!$D$12))+-(Archetypes!$D$11*(IF(AF11&lt;0,1+Assumptions!$B$32*MIN(1,ABS(AF11)/ABS(Assumptions!$B$21)),MAX(0.1,1-Assumptions!$B$31*(AF11/50)))))*Archetypes!$D$17*((Archetypes!$D$31)/100)*Assumptions!$B$30+-Assumptions!$B$25*Assumptions!$B$26)*$E11</f>
        <v>2.3539604447689984</v>
      </c>
      <c r="AI11" s="18">
        <f>(Archetypes!$D$11*(IF(AF11&lt;0,1+Assumptions!$B$32*MIN(1,ABS(AF11)/ABS(Assumptions!$B$21)),MAX(0.1,1-Assumptions!$B$31*(AF11/50)))))*$E11</f>
        <v>1.720005068120557</v>
      </c>
      <c r="AJ11" s="19">
        <f>Archetypes!$D$30</f>
        <v>0.10400000000000001</v>
      </c>
      <c r="AK11" s="18">
        <f t="shared" si="6"/>
        <v>0.17888052708453794</v>
      </c>
      <c r="AL11" s="18">
        <f>((AI11-AK11)*Archetypes!$D$15)+(AK11*Archetypes!$D$15*Archetypes!$D$22)</f>
        <v>2.6873359184315579</v>
      </c>
      <c r="AM11" s="18">
        <f>AI11*Archetypes!$D$16</f>
        <v>0.3440010136241114</v>
      </c>
      <c r="AN11" s="18">
        <f>(IF(AF11&lt;0,Assumptions!$B$8,IF(AF11&lt;10,Assumptions!$B$34,IF(AF11&lt;25,Assumptions!$B$35,Assumptions!$B$36))))*((((Archetypes!$D$5*Assumptions!$B$4+Archetypes!$D$6*Assumptions!$B$5)*60))+(Assumptions!$B$6*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$20)+((Archetypes!$D$11*(IF(AF11&lt;0,1+Assumptions!$B$32*MIN(1,ABS(AF11)/ABS(Assumptions!$B$21)),MAX(0.1,1-Assumptions!$B$31*(AF11/50)))))*AJ11*Archetypes!$D$20*Archetypes!$D$21)*Assumptions!$B$18)*(IF($D11=1,1,Assumptions!$B$7)))+((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$15)*(Archetypes!$D$13*IF(AF11&lt;0,1-Assumptions!$B$33*MIN(1,ABS(AF11)/ABS(Assumptions!$B$21)),1))*5)+(((Archetypes!$D$11*(IF(AF11&lt;0,1+Assumptions!$B$32*MIN(1,ABS(AF11)/ABS(Assumptions!$B$21)),MAX(0.1,1-Assumptions!$B$31*(AF11/50)))))*AJ11*Archetypes!$D$15*Archetypes!$D$22)*(Archetypes!$D$13*IF(AF11&lt;0,1-Assumptions!$B$33*MIN(1,ABS(AF11)/ABS(Assumptions!$B$21)),1))*5*Assumptions!$B$18))*IF(AF11&lt;0,Assumptions!$B$9,1)))*$E11</f>
        <v>1487.4519271060194</v>
      </c>
      <c r="AO11" s="18">
        <f>(AO10)+(AN11)-(MAX(0,((AO10)+(AN11)-(AP11)))*(IF(Archetypes!$D$27="",Assumptions!$B$11,Archetypes!$D$27)))</f>
        <v>3754.4201953694337</v>
      </c>
      <c r="AP11" s="18">
        <f>Archetypes!$D$33</f>
        <v>201.32916645159378</v>
      </c>
      <c r="AQ11" s="18">
        <f t="shared" si="7"/>
        <v>3553.09102891784</v>
      </c>
    </row>
    <row r="12" spans="1:52" x14ac:dyDescent="0.25">
      <c r="A12" s="14">
        <v>8</v>
      </c>
      <c r="B12" s="14">
        <f t="shared" si="0"/>
        <v>1</v>
      </c>
      <c r="C12" s="14">
        <f t="shared" si="1"/>
        <v>8</v>
      </c>
      <c r="D12" s="15">
        <f>IF(C12&lt;Assumptions!$B$10,1,0)</f>
        <v>0</v>
      </c>
      <c r="E12" s="15">
        <v>1</v>
      </c>
      <c r="F12" s="18">
        <f t="shared" si="8"/>
        <v>44.011893321012408</v>
      </c>
      <c r="G12" s="18">
        <f>MAX(Assumptions!$B$21,(F12)+(H12))</f>
        <v>47.48632346128408</v>
      </c>
      <c r="H12" s="18">
        <f>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$15)*Assumptions!$B$22+((Archetypes!$B$11*(IF(F12&lt;0,1+Assumptions!$B$32*MIN(1,ABS(F12)/ABS(Assumptions!$B$21)),MAX(0.1,1-Assumptions!$B$31*(F12/50)))))*J12*Archetypes!$B$15*Archetypes!$B$22)*Assumptions!$B$23+(Archetypes!$B$11*(IF(F12&lt;0,1+Assumptions!$B$32*MIN(1,ABS(F12)/ABS(Assumptions!$B$21)),MAX(0.1,1-Assumptions!$B$31*(F12/50)))))*Assumptions!$B$24+-((Archetypes!$B$11*(IF(F12&lt;0,1+Assumptions!$B$32*MIN(1,ABS(F12)/ABS(Assumptions!$B$21)),MAX(0.1,1-Assumptions!$B$31*(F12/50)))))*Archetypes!$B$16)*(Assumptions!$B$27*(1+Assumptions!$B$28*Archetypes!$B$14)/(1+Assumptions!$B$29*Archetypes!$B$12))+-(Archetypes!$B$11*(IF(F12&lt;0,1+Assumptions!$B$32*MIN(1,ABS(F12)/ABS(Assumptions!$B$21)),MAX(0.1,1-Assumptions!$B$31*(F12/50)))))*Archetypes!$B$17*((Archetypes!$B$31)/100)*Assumptions!$B$30+-Assumptions!$B$25*Assumptions!$B$26)*$E12</f>
        <v>3.4744301402716733</v>
      </c>
      <c r="I12" s="18">
        <f>(Archetypes!$B$11*(IF(F12&lt;0,1+Assumptions!$B$32*MIN(1,ABS(F12)/ABS(Assumptions!$B$21)),MAX(0.1,1-Assumptions!$B$31*(F12/50)))))*$E12</f>
        <v>4.7185728014785111</v>
      </c>
      <c r="J12" s="19">
        <f>Archetypes!$B$30</f>
        <v>2.1999999999999999E-2</v>
      </c>
      <c r="K12" s="18">
        <f t="shared" si="2"/>
        <v>0.10380860163252724</v>
      </c>
      <c r="L12" s="18">
        <f>((I12-K12)*Archetypes!$B$15)+(K12*Archetypes!$B$15*Archetypes!$B$22)</f>
        <v>0.4739334521805017</v>
      </c>
      <c r="M12" s="18">
        <f>I12*Archetypes!$B$16</f>
        <v>3.5389296011088831</v>
      </c>
      <c r="N12" s="18">
        <f>(IF(F12&lt;0,Assumptions!$B$8,IF(F12&lt;10,Assumptions!$B$34,IF(F12&lt;25,Assumptions!$B$35,Assumptions!$B$36))))*((((Archetypes!$B$5*Assumptions!$B$4+Archetypes!$B$6*Assumptions!$B$5)*60))+(Assumptions!$B$6*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$20)+((Archetypes!$B$11*(IF(F12&lt;0,1+Assumptions!$B$32*MIN(1,ABS(F12)/ABS(Assumptions!$B$21)),MAX(0.1,1-Assumptions!$B$31*(F12/50)))))*J12*Archetypes!$B$20*Archetypes!$B$21)*Assumptions!$B$18)*(IF($D12=1,1,Assumptions!$B$7)))+((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$15)*(Archetypes!$B$13*IF(F12&lt;0,1-Assumptions!$B$33*MIN(1,ABS(F12)/ABS(Assumptions!$B$21)),1))*5)+(((Archetypes!$B$11*(IF(F12&lt;0,1+Assumptions!$B$32*MIN(1,ABS(F12)/ABS(Assumptions!$B$21)),MAX(0.1,1-Assumptions!$B$31*(F12/50)))))*J12*Archetypes!$B$15*Archetypes!$B$22)*(Archetypes!$B$13*IF(F12&lt;0,1-Assumptions!$B$33*MIN(1,ABS(F12)/ABS(Assumptions!$B$21)),1))*5*Assumptions!$B$18))*IF(F12&lt;0,Assumptions!$B$9,1)))*$E12</f>
        <v>299.0487934940827</v>
      </c>
      <c r="O12" s="18">
        <f>(O11)+(N12)-(MAX(0,((O11)+(N12)-(P12)))*(IF(Archetypes!$B$27="",Assumptions!$B$11,Archetypes!$B$27)))</f>
        <v>1301.4653032628555</v>
      </c>
      <c r="P12" s="18">
        <f>Archetypes!$B$33</f>
        <v>25.423199999999998</v>
      </c>
      <c r="Q12" s="18">
        <f t="shared" si="3"/>
        <v>1276.0421032628556</v>
      </c>
      <c r="S12" s="18">
        <f t="shared" si="9"/>
        <v>37.606490983036558</v>
      </c>
      <c r="T12" s="18">
        <f>MAX(Assumptions!$B$21,(S12)+(U12))</f>
        <v>40.544275708094162</v>
      </c>
      <c r="U12" s="18">
        <f>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$15)*Assumptions!$B$22+((Archetypes!$C$11*(IF(S12&lt;0,1+Assumptions!$B$32*MIN(1,ABS(S12)/ABS(Assumptions!$B$21)),MAX(0.1,1-Assumptions!$B$31*(S12/50)))))*W12*Archetypes!$C$15*Archetypes!$C$22)*Assumptions!$B$23+(Archetypes!$C$11*(IF(S12&lt;0,1+Assumptions!$B$32*MIN(1,ABS(S12)/ABS(Assumptions!$B$21)),MAX(0.1,1-Assumptions!$B$31*(S12/50)))))*Assumptions!$B$24+-((Archetypes!$C$11*(IF(S12&lt;0,1+Assumptions!$B$32*MIN(1,ABS(S12)/ABS(Assumptions!$B$21)),MAX(0.1,1-Assumptions!$B$31*(S12/50)))))*Archetypes!$C$16)*(Assumptions!$B$27*(1+Assumptions!$B$28*Archetypes!$C$14)/(1+Assumptions!$B$29*Archetypes!$C$12))+-(Archetypes!$C$11*(IF(S12&lt;0,1+Assumptions!$B$32*MIN(1,ABS(S12)/ABS(Assumptions!$B$21)),MAX(0.1,1-Assumptions!$B$31*(S12/50)))))*Archetypes!$C$17*((Archetypes!$C$31)/100)*Assumptions!$B$30+-Assumptions!$B$25*Assumptions!$B$26)*$E12</f>
        <v>2.9377847250576012</v>
      </c>
      <c r="V12" s="18">
        <f>(Archetypes!$C$11*(IF(S12&lt;0,1+Assumptions!$B$32*MIN(1,ABS(S12)/ABS(Assumptions!$B$21)),MAX(0.1,1-Assumptions!$B$31*(S12/50)))))*$E12</f>
        <v>3.2923326492213683</v>
      </c>
      <c r="W12" s="19">
        <f>Archetypes!$C$30</f>
        <v>3.7999999999999999E-2</v>
      </c>
      <c r="X12" s="18">
        <f t="shared" si="4"/>
        <v>0.125108640670412</v>
      </c>
      <c r="Y12" s="18">
        <f>((V12-X12)*Archetypes!$C$15)+(X12*Archetypes!$C$15*Archetypes!$C$22)</f>
        <v>1.664932620711246</v>
      </c>
      <c r="Z12" s="18">
        <f>V12*Archetypes!$C$16</f>
        <v>1.4815496921496158</v>
      </c>
      <c r="AA12" s="18">
        <f>(IF(S12&lt;0,Assumptions!$B$8,IF(S12&lt;10,Assumptions!$B$34,IF(S12&lt;25,Assumptions!$B$35,Assumptions!$B$36))))*((((Archetypes!$C$5*Assumptions!$B$4+Archetypes!$C$6*Assumptions!$B$5)*60))+(Assumptions!$B$6*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$20)+((Archetypes!$C$11*(IF(S12&lt;0,1+Assumptions!$B$32*MIN(1,ABS(S12)/ABS(Assumptions!$B$21)),MAX(0.1,1-Assumptions!$B$31*(S12/50)))))*W12*Archetypes!$C$20*Archetypes!$C$21)*Assumptions!$B$18)*(IF($D12=1,1,Assumptions!$B$7)))+((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$15)*(Archetypes!$C$13*IF(S12&lt;0,1-Assumptions!$B$33*MIN(1,ABS(S12)/ABS(Assumptions!$B$21)),1))*5)+(((Archetypes!$C$11*(IF(S12&lt;0,1+Assumptions!$B$32*MIN(1,ABS(S12)/ABS(Assumptions!$B$21)),MAX(0.1,1-Assumptions!$B$31*(S12/50)))))*W12*Archetypes!$C$15*Archetypes!$C$22)*(Archetypes!$C$13*IF(S12&lt;0,1-Assumptions!$B$33*MIN(1,ABS(S12)/ABS(Assumptions!$B$21)),1))*5*Assumptions!$B$18))*IF(S12&lt;0,Assumptions!$B$9,1)))*$E12</f>
        <v>918.60781758739404</v>
      </c>
      <c r="AB12" s="18">
        <f>(AB11)+(AA12)-(MAX(0,((AB11)+(AA12)-(AC12)))*(IF(Archetypes!$C$27="",Assumptions!$B$11,Archetypes!$C$27)))</f>
        <v>2913.3431933630027</v>
      </c>
      <c r="AC12" s="18">
        <f>Archetypes!$C$33</f>
        <v>90.34</v>
      </c>
      <c r="AD12" s="18">
        <f t="shared" si="5"/>
        <v>2823.0031933630025</v>
      </c>
      <c r="AF12" s="18">
        <f t="shared" si="10"/>
        <v>37.909375219197969</v>
      </c>
      <c r="AG12" s="18">
        <f>MAX(Assumptions!$B$21,(AF12)+(AH12))</f>
        <v>40.139968551710169</v>
      </c>
      <c r="AH12" s="18">
        <f>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$15)*Assumptions!$B$22+((Archetypes!$D$11*(IF(AF12&lt;0,1+Assumptions!$B$32*MIN(1,ABS(AF12)/ABS(Assumptions!$B$21)),MAX(0.1,1-Assumptions!$B$31*(AF12/50)))))*AJ12*Archetypes!$D$15*Archetypes!$D$22)*Assumptions!$B$23+(Archetypes!$D$11*(IF(AF12&lt;0,1+Assumptions!$B$32*MIN(1,ABS(AF12)/ABS(Assumptions!$B$21)),MAX(0.1,1-Assumptions!$B$31*(AF12/50)))))*Assumptions!$B$24+-((Archetypes!$D$11*(IF(AF12&lt;0,1+Assumptions!$B$32*MIN(1,ABS(AF12)/ABS(Assumptions!$B$21)),MAX(0.1,1-Assumptions!$B$31*(AF12/50)))))*Archetypes!$D$16)*(Assumptions!$B$27*(1+Assumptions!$B$28*Archetypes!$D$14)/(1+Assumptions!$B$29*Archetypes!$D$12))+-(Archetypes!$D$11*(IF(AF12&lt;0,1+Assumptions!$B$32*MIN(1,ABS(AF12)/ABS(Assumptions!$B$21)),MAX(0.1,1-Assumptions!$B$31*(AF12/50)))))*Archetypes!$D$17*((Archetypes!$D$31)/100)*Assumptions!$B$30+-Assumptions!$B$25*Assumptions!$B$26)*$E12</f>
        <v>2.2305933325122029</v>
      </c>
      <c r="AI12" s="18">
        <f>(Archetypes!$D$11*(IF(AF12&lt;0,1+Assumptions!$B$32*MIN(1,ABS(AF12)/ABS(Assumptions!$B$21)),MAX(0.1,1-Assumptions!$B$31*(AF12/50)))))*$E12</f>
        <v>1.6352624921088732</v>
      </c>
      <c r="AJ12" s="19">
        <f>Archetypes!$D$30</f>
        <v>0.10400000000000001</v>
      </c>
      <c r="AK12" s="18">
        <f t="shared" si="6"/>
        <v>0.17006729917932284</v>
      </c>
      <c r="AL12" s="18">
        <f>((AI12-AK12)*Archetypes!$D$15)+(AK12*Archetypes!$D$15*Archetypes!$D$22)</f>
        <v>2.5549341176709035</v>
      </c>
      <c r="AM12" s="18">
        <f>AI12*Archetypes!$D$16</f>
        <v>0.32705249842177464</v>
      </c>
      <c r="AN12" s="18">
        <f>(IF(AF12&lt;0,Assumptions!$B$8,IF(AF12&lt;10,Assumptions!$B$34,IF(AF12&lt;25,Assumptions!$B$35,Assumptions!$B$36))))*((((Archetypes!$D$5*Assumptions!$B$4+Archetypes!$D$6*Assumptions!$B$5)*60))+(Assumptions!$B$6*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$20)+((Archetypes!$D$11*(IF(AF12&lt;0,1+Assumptions!$B$32*MIN(1,ABS(AF12)/ABS(Assumptions!$B$21)),MAX(0.1,1-Assumptions!$B$31*(AF12/50)))))*AJ12*Archetypes!$D$20*Archetypes!$D$21)*Assumptions!$B$18)*(IF($D12=1,1,Assumptions!$B$7)))+((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$15)*(Archetypes!$D$13*IF(AF12&lt;0,1-Assumptions!$B$33*MIN(1,ABS(AF12)/ABS(Assumptions!$B$21)),1))*5)+(((Archetypes!$D$11*(IF(AF12&lt;0,1+Assumptions!$B$32*MIN(1,ABS(AF12)/ABS(Assumptions!$B$21)),MAX(0.1,1-Assumptions!$B$31*(AF12/50)))))*AJ12*Archetypes!$D$15*Archetypes!$D$22)*(Archetypes!$D$13*IF(AF12&lt;0,1-Assumptions!$B$33*MIN(1,ABS(AF12)/ABS(Assumptions!$B$21)),1))*5*Assumptions!$B$18))*IF(AF12&lt;0,Assumptions!$B$9,1)))*$E12</f>
        <v>1466.9338427456307</v>
      </c>
      <c r="AO12" s="18">
        <f>(AO11)+(AN12)-(MAX(0,((AO11)+(AN12)-(AP12)))*(IF(Archetypes!$D$27="",Assumptions!$B$11,Archetypes!$D$27)))</f>
        <v>3715.3465766160234</v>
      </c>
      <c r="AP12" s="18">
        <f>Archetypes!$D$33</f>
        <v>201.32916645159378</v>
      </c>
      <c r="AQ12" s="18">
        <f t="shared" si="7"/>
        <v>3514.0174101644297</v>
      </c>
    </row>
    <row r="13" spans="1:52" x14ac:dyDescent="0.25">
      <c r="A13" s="14">
        <v>9</v>
      </c>
      <c r="B13" s="14">
        <f t="shared" si="0"/>
        <v>1</v>
      </c>
      <c r="C13" s="14">
        <f t="shared" si="1"/>
        <v>9</v>
      </c>
      <c r="D13" s="15">
        <f>IF(C13&lt;Assumptions!$B$10,1,0)</f>
        <v>0</v>
      </c>
      <c r="E13" s="15">
        <v>1</v>
      </c>
      <c r="F13" s="18">
        <f t="shared" si="8"/>
        <v>47.48632346128408</v>
      </c>
      <c r="G13" s="18">
        <f>MAX(Assumptions!$B$21,(F13)+(H13))</f>
        <v>50.640500088034301</v>
      </c>
      <c r="H13" s="18">
        <f>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$15)*Assumptions!$B$22+((Archetypes!$B$11*(IF(F13&lt;0,1+Assumptions!$B$32*MIN(1,ABS(F13)/ABS(Assumptions!$B$21)),MAX(0.1,1-Assumptions!$B$31*(F13/50)))))*J13*Archetypes!$B$15*Archetypes!$B$22)*Assumptions!$B$23+(Archetypes!$B$11*(IF(F13&lt;0,1+Assumptions!$B$32*MIN(1,ABS(F13)/ABS(Assumptions!$B$21)),MAX(0.1,1-Assumptions!$B$31*(F13/50)))))*Assumptions!$B$24+-((Archetypes!$B$11*(IF(F13&lt;0,1+Assumptions!$B$32*MIN(1,ABS(F13)/ABS(Assumptions!$B$21)),MAX(0.1,1-Assumptions!$B$31*(F13/50)))))*Archetypes!$B$16)*(Assumptions!$B$27*(1+Assumptions!$B$28*Archetypes!$B$14)/(1+Assumptions!$B$29*Archetypes!$B$12))+-(Archetypes!$B$11*(IF(F13&lt;0,1+Assumptions!$B$32*MIN(1,ABS(F13)/ABS(Assumptions!$B$21)),MAX(0.1,1-Assumptions!$B$31*(F13/50)))))*Archetypes!$B$17*((Archetypes!$B$31)/100)*Assumptions!$B$30+-Assumptions!$B$25*Assumptions!$B$26)*$E13</f>
        <v>3.1541766267502176</v>
      </c>
      <c r="I13" s="18">
        <f>(Archetypes!$B$11*(IF(F13&lt;0,1+Assumptions!$B$32*MIN(1,ABS(F13)/ABS(Assumptions!$B$21)),MAX(0.1,1-Assumptions!$B$31*(F13/50)))))*$E13</f>
        <v>4.3016411846459102</v>
      </c>
      <c r="J13" s="19">
        <f>Archetypes!$B$30</f>
        <v>2.1999999999999999E-2</v>
      </c>
      <c r="K13" s="18">
        <f t="shared" si="2"/>
        <v>9.4636106062210013E-2</v>
      </c>
      <c r="L13" s="18">
        <f>((I13-K13)*Archetypes!$B$15)+(K13*Archetypes!$B$15*Archetypes!$B$22)</f>
        <v>0.43205684058583527</v>
      </c>
      <c r="M13" s="18">
        <f>I13*Archetypes!$B$16</f>
        <v>3.2262308884844328</v>
      </c>
      <c r="N13" s="18">
        <f>(IF(F13&lt;0,Assumptions!$B$8,IF(F13&lt;10,Assumptions!$B$34,IF(F13&lt;25,Assumptions!$B$35,Assumptions!$B$36))))*((((Archetypes!$B$5*Assumptions!$B$4+Archetypes!$B$6*Assumptions!$B$5)*60))+(Assumptions!$B$6*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$20)+((Archetypes!$B$11*(IF(F13&lt;0,1+Assumptions!$B$32*MIN(1,ABS(F13)/ABS(Assumptions!$B$21)),MAX(0.1,1-Assumptions!$B$31*(F13/50)))))*J13*Archetypes!$B$20*Archetypes!$B$21)*Assumptions!$B$18)*(IF($D13=1,1,Assumptions!$B$7)))+((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$15)*(Archetypes!$B$13*IF(F13&lt;0,1-Assumptions!$B$33*MIN(1,ABS(F13)/ABS(Assumptions!$B$21)),1))*5)+(((Archetypes!$B$11*(IF(F13&lt;0,1+Assumptions!$B$32*MIN(1,ABS(F13)/ABS(Assumptions!$B$21)),MAX(0.1,1-Assumptions!$B$31*(F13/50)))))*J13*Archetypes!$B$15*Archetypes!$B$22)*(Archetypes!$B$13*IF(F13&lt;0,1-Assumptions!$B$33*MIN(1,ABS(F13)/ABS(Assumptions!$B$21)),1))*5*Assumptions!$B$18))*IF(F13&lt;0,Assumptions!$B$9,1)))*$E13</f>
        <v>286.14396778304177</v>
      </c>
      <c r="O13" s="18">
        <f>(O12)+(N13)-(MAX(0,((O12)+(N13)-(P13)))*(IF(Archetypes!$B$27="",Assumptions!$B$11,Archetypes!$B$27)))</f>
        <v>1275.1720568367177</v>
      </c>
      <c r="P13" s="18">
        <f>Archetypes!$B$33</f>
        <v>25.423199999999998</v>
      </c>
      <c r="Q13" s="18">
        <f t="shared" si="3"/>
        <v>1249.7488568367178</v>
      </c>
      <c r="S13" s="18">
        <f t="shared" si="9"/>
        <v>40.544275708094162</v>
      </c>
      <c r="T13" s="18">
        <f>MAX(Assumptions!$B$21,(S13)+(U13))</f>
        <v>43.283681399453158</v>
      </c>
      <c r="U13" s="18">
        <f>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$15)*Assumptions!$B$22+((Archetypes!$C$11*(IF(S13&lt;0,1+Assumptions!$B$32*MIN(1,ABS(S13)/ABS(Assumptions!$B$21)),MAX(0.1,1-Assumptions!$B$31*(S13/50)))))*W13*Archetypes!$C$15*Archetypes!$C$22)*Assumptions!$B$23+(Archetypes!$C$11*(IF(S13&lt;0,1+Assumptions!$B$32*MIN(1,ABS(S13)/ABS(Assumptions!$B$21)),MAX(0.1,1-Assumptions!$B$31*(S13/50)))))*Assumptions!$B$24+-((Archetypes!$C$11*(IF(S13&lt;0,1+Assumptions!$B$32*MIN(1,ABS(S13)/ABS(Assumptions!$B$21)),MAX(0.1,1-Assumptions!$B$31*(S13/50)))))*Archetypes!$C$16)*(Assumptions!$B$27*(1+Assumptions!$B$28*Archetypes!$C$14)/(1+Assumptions!$B$29*Archetypes!$C$12))+-(Archetypes!$C$11*(IF(S13&lt;0,1+Assumptions!$B$32*MIN(1,ABS(S13)/ABS(Assumptions!$B$21)),MAX(0.1,1-Assumptions!$B$31*(S13/50)))))*Archetypes!$C$17*((Archetypes!$C$31)/100)*Assumptions!$B$30+-Assumptions!$B$25*Assumptions!$B$26)*$E13</f>
        <v>2.7394056913589937</v>
      </c>
      <c r="V13" s="18">
        <f>(Archetypes!$C$11*(IF(S13&lt;0,1+Assumptions!$B$32*MIN(1,ABS(S13)/ABS(Assumptions!$B$21)),MAX(0.1,1-Assumptions!$B$31*(S13/50)))))*$E13</f>
        <v>3.0808121490172207</v>
      </c>
      <c r="W13" s="19">
        <f>Archetypes!$C$30</f>
        <v>3.7999999999999999E-2</v>
      </c>
      <c r="X13" s="18">
        <f t="shared" si="4"/>
        <v>0.11707086166265439</v>
      </c>
      <c r="Y13" s="18">
        <f>((V13-X13)*Archetypes!$C$15)+(X13*Archetypes!$C$15*Archetypes!$C$22)</f>
        <v>1.5579667037580085</v>
      </c>
      <c r="Z13" s="18">
        <f>V13*Archetypes!$C$16</f>
        <v>1.3863654670577494</v>
      </c>
      <c r="AA13" s="18">
        <f>(IF(S13&lt;0,Assumptions!$B$8,IF(S13&lt;10,Assumptions!$B$34,IF(S13&lt;25,Assumptions!$B$35,Assumptions!$B$36))))*((((Archetypes!$C$5*Assumptions!$B$4+Archetypes!$C$6*Assumptions!$B$5)*60))+(Assumptions!$B$6*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$20)+((Archetypes!$C$11*(IF(S13&lt;0,1+Assumptions!$B$32*MIN(1,ABS(S13)/ABS(Assumptions!$B$21)),MAX(0.1,1-Assumptions!$B$31*(S13/50)))))*W13*Archetypes!$C$20*Archetypes!$C$21)*Assumptions!$B$18)*(IF($D13=1,1,Assumptions!$B$7)))+((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$15)*(Archetypes!$C$13*IF(S13&lt;0,1-Assumptions!$B$33*MIN(1,ABS(S13)/ABS(Assumptions!$B$21)),1))*5)+(((Archetypes!$C$11*(IF(S13&lt;0,1+Assumptions!$B$32*MIN(1,ABS(S13)/ABS(Assumptions!$B$21)),MAX(0.1,1-Assumptions!$B$31*(S13/50)))))*W13*Archetypes!$C$15*Archetypes!$C$22)*(Archetypes!$C$13*IF(S13&lt;0,1-Assumptions!$B$33*MIN(1,ABS(S13)/ABS(Assumptions!$B$21)),1))*5*Assumptions!$B$18))*IF(S13&lt;0,Assumptions!$B$9,1)))*$E13</f>
        <v>902.18593705689455</v>
      </c>
      <c r="AB13" s="18">
        <f>(AB12)+(AA13)-(MAX(0,((AB12)+(AA13)-(AC13)))*(IF(Archetypes!$C$27="",Assumptions!$B$11,Archetypes!$C$27)))</f>
        <v>2884.2318478149227</v>
      </c>
      <c r="AC13" s="18">
        <f>Archetypes!$C$33</f>
        <v>90.34</v>
      </c>
      <c r="AD13" s="18">
        <f t="shared" si="5"/>
        <v>2793.8918478149226</v>
      </c>
      <c r="AF13" s="18">
        <f t="shared" si="10"/>
        <v>40.139968551710169</v>
      </c>
      <c r="AG13" s="18">
        <f>MAX(Assumptions!$B$21,(AF13)+(AH13))</f>
        <v>42.253660235062206</v>
      </c>
      <c r="AH13" s="18">
        <f>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$15)*Assumptions!$B$22+((Archetypes!$D$11*(IF(AF13&lt;0,1+Assumptions!$B$32*MIN(1,ABS(AF13)/ABS(Assumptions!$B$21)),MAX(0.1,1-Assumptions!$B$31*(AF13/50)))))*AJ13*Archetypes!$D$15*Archetypes!$D$22)*Assumptions!$B$23+(Archetypes!$D$11*(IF(AF13&lt;0,1+Assumptions!$B$32*MIN(1,ABS(AF13)/ABS(Assumptions!$B$21)),MAX(0.1,1-Assumptions!$B$31*(AF13/50)))))*Assumptions!$B$24+-((Archetypes!$D$11*(IF(AF13&lt;0,1+Assumptions!$B$32*MIN(1,ABS(AF13)/ABS(Assumptions!$B$21)),MAX(0.1,1-Assumptions!$B$31*(AF13/50)))))*Archetypes!$D$16)*(Assumptions!$B$27*(1+Assumptions!$B$28*Archetypes!$D$14)/(1+Assumptions!$B$29*Archetypes!$D$12))+-(Archetypes!$D$11*(IF(AF13&lt;0,1+Assumptions!$B$32*MIN(1,ABS(AF13)/ABS(Assumptions!$B$21)),MAX(0.1,1-Assumptions!$B$31*(AF13/50)))))*Archetypes!$D$17*((Archetypes!$D$31)/100)*Assumptions!$B$30+-Assumptions!$B$25*Assumptions!$B$26)*$E13</f>
        <v>2.1136916833520374</v>
      </c>
      <c r="AI13" s="18">
        <f>(Archetypes!$D$11*(IF(AF13&lt;0,1+Assumptions!$B$32*MIN(1,ABS(AF13)/ABS(Assumptions!$B$21)),MAX(0.1,1-Assumptions!$B$31*(AF13/50)))))*$E13</f>
        <v>1.554961132138434</v>
      </c>
      <c r="AJ13" s="19">
        <f>Archetypes!$D$30</f>
        <v>0.10400000000000001</v>
      </c>
      <c r="AK13" s="18">
        <f t="shared" si="6"/>
        <v>0.16171595774239717</v>
      </c>
      <c r="AL13" s="18">
        <f>((AI13-AK13)*Archetypes!$D$15)+(AK13*Archetypes!$D$15*Archetypes!$D$22)</f>
        <v>2.4294712728530894</v>
      </c>
      <c r="AM13" s="18">
        <f>AI13*Archetypes!$D$16</f>
        <v>0.31099222642768681</v>
      </c>
      <c r="AN13" s="18">
        <f>(IF(AF13&lt;0,Assumptions!$B$8,IF(AF13&lt;10,Assumptions!$B$34,IF(AF13&lt;25,Assumptions!$B$35,Assumptions!$B$36))))*((((Archetypes!$D$5*Assumptions!$B$4+Archetypes!$D$6*Assumptions!$B$5)*60))+(Assumptions!$B$6*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$20)+((Archetypes!$D$11*(IF(AF13&lt;0,1+Assumptions!$B$32*MIN(1,ABS(AF13)/ABS(Assumptions!$B$21)),MAX(0.1,1-Assumptions!$B$31*(AF13/50)))))*AJ13*Archetypes!$D$20*Archetypes!$D$21)*Assumptions!$B$18)*(IF($D13=1,1,Assumptions!$B$7)))+((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$15)*(Archetypes!$D$13*IF(AF13&lt;0,1-Assumptions!$B$33*MIN(1,ABS(AF13)/ABS(Assumptions!$B$21)),1))*5)+(((Archetypes!$D$11*(IF(AF13&lt;0,1+Assumptions!$B$32*MIN(1,ABS(AF13)/ABS(Assumptions!$B$21)),MAX(0.1,1-Assumptions!$B$31*(AF13/50)))))*AJ13*Archetypes!$D$15*Archetypes!$D$22)*(Archetypes!$D$13*IF(AF13&lt;0,1-Assumptions!$B$33*MIN(1,ABS(AF13)/ABS(Assumptions!$B$21)),1))*5*Assumptions!$B$18))*IF(AF13&lt;0,Assumptions!$B$9,1)))*$E13</f>
        <v>1447.4910767161878</v>
      </c>
      <c r="AO13" s="18">
        <f>(AO12)+(AN13)-(MAX(0,((AO12)+(AN13)-(AP13)))*(IF(Archetypes!$D$27="",Assumptions!$B$11,Archetypes!$D$27)))</f>
        <v>3674.3851072680263</v>
      </c>
      <c r="AP13" s="18">
        <f>Archetypes!$D$33</f>
        <v>201.32916645159378</v>
      </c>
      <c r="AQ13" s="18">
        <f t="shared" si="7"/>
        <v>3473.0559408164327</v>
      </c>
    </row>
    <row r="14" spans="1:52" x14ac:dyDescent="0.25">
      <c r="A14" s="14">
        <v>10</v>
      </c>
      <c r="B14" s="14">
        <f t="shared" si="0"/>
        <v>1</v>
      </c>
      <c r="C14" s="14">
        <f t="shared" si="1"/>
        <v>10</v>
      </c>
      <c r="D14" s="15">
        <f>IF(C14&lt;Assumptions!$B$10,1,0)</f>
        <v>0</v>
      </c>
      <c r="E14" s="15">
        <v>1</v>
      </c>
      <c r="F14" s="18">
        <f t="shared" si="8"/>
        <v>50.640500088034301</v>
      </c>
      <c r="G14" s="18">
        <f>MAX(Assumptions!$B$21,(F14)+(H14))</f>
        <v>53.503942376719792</v>
      </c>
      <c r="H14" s="18">
        <f>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$15)*Assumptions!$B$22+((Archetypes!$B$11*(IF(F14&lt;0,1+Assumptions!$B$32*MIN(1,ABS(F14)/ABS(Assumptions!$B$21)),MAX(0.1,1-Assumptions!$B$31*(F14/50)))))*J14*Archetypes!$B$15*Archetypes!$B$22)*Assumptions!$B$23+(Archetypes!$B$11*(IF(F14&lt;0,1+Assumptions!$B$32*MIN(1,ABS(F14)/ABS(Assumptions!$B$21)),MAX(0.1,1-Assumptions!$B$31*(F14/50)))))*Assumptions!$B$24+-((Archetypes!$B$11*(IF(F14&lt;0,1+Assumptions!$B$32*MIN(1,ABS(F14)/ABS(Assumptions!$B$21)),MAX(0.1,1-Assumptions!$B$31*(F14/50)))))*Archetypes!$B$16)*(Assumptions!$B$27*(1+Assumptions!$B$28*Archetypes!$B$14)/(1+Assumptions!$B$29*Archetypes!$B$12))+-(Archetypes!$B$11*(IF(F14&lt;0,1+Assumptions!$B$32*MIN(1,ABS(F14)/ABS(Assumptions!$B$21)),MAX(0.1,1-Assumptions!$B$31*(F14/50)))))*Archetypes!$B$17*((Archetypes!$B$31)/100)*Assumptions!$B$30+-Assumptions!$B$25*Assumptions!$B$26)*$E14</f>
        <v>2.863442288685492</v>
      </c>
      <c r="I14" s="18">
        <f>(Archetypes!$B$11*(IF(F14&lt;0,1+Assumptions!$B$32*MIN(1,ABS(F14)/ABS(Assumptions!$B$21)),MAX(0.1,1-Assumptions!$B$31*(F14/50)))))*$E14</f>
        <v>3.9231399894358843</v>
      </c>
      <c r="J14" s="19">
        <f>Archetypes!$B$30</f>
        <v>2.1999999999999999E-2</v>
      </c>
      <c r="K14" s="18">
        <f t="shared" si="2"/>
        <v>8.6309079767589447E-2</v>
      </c>
      <c r="L14" s="18">
        <f>((I14-K14)*Archetypes!$B$15)+(K14*Archetypes!$B$15*Archetypes!$B$22)</f>
        <v>0.39404018053894024</v>
      </c>
      <c r="M14" s="18">
        <f>I14*Archetypes!$B$16</f>
        <v>2.942354992076913</v>
      </c>
      <c r="N14" s="18">
        <f>(IF(F14&lt;0,Assumptions!$B$8,IF(F14&lt;10,Assumptions!$B$34,IF(F14&lt;25,Assumptions!$B$35,Assumptions!$B$36))))*((((Archetypes!$B$5*Assumptions!$B$4+Archetypes!$B$6*Assumptions!$B$5)*60))+(Assumptions!$B$6*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$20)+((Archetypes!$B$11*(IF(F14&lt;0,1+Assumptions!$B$32*MIN(1,ABS(F14)/ABS(Assumptions!$B$21)),MAX(0.1,1-Assumptions!$B$31*(F14/50)))))*J14*Archetypes!$B$20*Archetypes!$B$21)*Assumptions!$B$18)*(IF($D14=1,1,Assumptions!$B$7)))+((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$15)*(Archetypes!$B$13*IF(F14&lt;0,1-Assumptions!$B$33*MIN(1,ABS(F14)/ABS(Assumptions!$B$21)),1))*5)+(((Archetypes!$B$11*(IF(F14&lt;0,1+Assumptions!$B$32*MIN(1,ABS(F14)/ABS(Assumptions!$B$21)),MAX(0.1,1-Assumptions!$B$31*(F14/50)))))*J14*Archetypes!$B$15*Archetypes!$B$22)*(Archetypes!$B$13*IF(F14&lt;0,1-Assumptions!$B$33*MIN(1,ABS(F14)/ABS(Assumptions!$B$21)),1))*5*Assumptions!$B$18))*IF(F14&lt;0,Assumptions!$B$9,1)))*$E14</f>
        <v>274.42863663902051</v>
      </c>
      <c r="O14" s="18">
        <f>(O13)+(N14)-(MAX(0,((O13)+(N14)-(P14)))*(IF(Archetypes!$B$27="",Assumptions!$B$11,Archetypes!$B$27)))</f>
        <v>1244.7651947805907</v>
      </c>
      <c r="P14" s="18">
        <f>Archetypes!$B$33</f>
        <v>25.423199999999998</v>
      </c>
      <c r="Q14" s="18">
        <f t="shared" si="3"/>
        <v>1219.3419947805908</v>
      </c>
      <c r="S14" s="18">
        <f t="shared" si="9"/>
        <v>43.283681399453158</v>
      </c>
      <c r="T14" s="18">
        <f>MAX(Assumptions!$B$21,(S14)+(U14))</f>
        <v>45.838103947110362</v>
      </c>
      <c r="U14" s="18">
        <f>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$15)*Assumptions!$B$22+((Archetypes!$C$11*(IF(S14&lt;0,1+Assumptions!$B$32*MIN(1,ABS(S14)/ABS(Assumptions!$B$21)),MAX(0.1,1-Assumptions!$B$31*(S14/50)))))*W14*Archetypes!$C$15*Archetypes!$C$22)*Assumptions!$B$23+(Archetypes!$C$11*(IF(S14&lt;0,1+Assumptions!$B$32*MIN(1,ABS(S14)/ABS(Assumptions!$B$21)),MAX(0.1,1-Assumptions!$B$31*(S14/50)))))*Assumptions!$B$24+-((Archetypes!$C$11*(IF(S14&lt;0,1+Assumptions!$B$32*MIN(1,ABS(S14)/ABS(Assumptions!$B$21)),MAX(0.1,1-Assumptions!$B$31*(S14/50)))))*Archetypes!$C$16)*(Assumptions!$B$27*(1+Assumptions!$B$28*Archetypes!$C$14)/(1+Assumptions!$B$29*Archetypes!$C$12))+-(Archetypes!$C$11*(IF(S14&lt;0,1+Assumptions!$B$32*MIN(1,ABS(S14)/ABS(Assumptions!$B$21)),MAX(0.1,1-Assumptions!$B$31*(S14/50)))))*Archetypes!$C$17*((Archetypes!$C$31)/100)*Assumptions!$B$30+-Assumptions!$B$25*Assumptions!$B$26)*$E14</f>
        <v>2.5544225476572011</v>
      </c>
      <c r="V14" s="18">
        <f>(Archetypes!$C$11*(IF(S14&lt;0,1+Assumptions!$B$32*MIN(1,ABS(S14)/ABS(Assumptions!$B$21)),MAX(0.1,1-Assumptions!$B$31*(S14/50)))))*$E14</f>
        <v>2.8835749392393728</v>
      </c>
      <c r="W14" s="19">
        <f>Archetypes!$C$30</f>
        <v>3.7999999999999999E-2</v>
      </c>
      <c r="X14" s="18">
        <f t="shared" si="4"/>
        <v>0.10957584769109617</v>
      </c>
      <c r="Y14" s="18">
        <f>((V14-X14)*Archetypes!$C$15)+(X14*Archetypes!$C$15*Archetypes!$C$22)</f>
        <v>1.4582238467733508</v>
      </c>
      <c r="Z14" s="18">
        <f>V14*Archetypes!$C$16</f>
        <v>1.2976087226577178</v>
      </c>
      <c r="AA14" s="18">
        <f>(IF(S14&lt;0,Assumptions!$B$8,IF(S14&lt;10,Assumptions!$B$34,IF(S14&lt;25,Assumptions!$B$35,Assumptions!$B$36))))*((((Archetypes!$C$5*Assumptions!$B$4+Archetypes!$C$6*Assumptions!$B$5)*60))+(Assumptions!$B$6*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$20)+((Archetypes!$C$11*(IF(S14&lt;0,1+Assumptions!$B$32*MIN(1,ABS(S14)/ABS(Assumptions!$B$21)),MAX(0.1,1-Assumptions!$B$31*(S14/50)))))*W14*Archetypes!$C$20*Archetypes!$C$21)*Assumptions!$B$18)*(IF($D14=1,1,Assumptions!$B$7)))+((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$15)*(Archetypes!$C$13*IF(S14&lt;0,1-Assumptions!$B$33*MIN(1,ABS(S14)/ABS(Assumptions!$B$21)),1))*5)+(((Archetypes!$C$11*(IF(S14&lt;0,1+Assumptions!$B$32*MIN(1,ABS(S14)/ABS(Assumptions!$B$21)),MAX(0.1,1-Assumptions!$B$31*(S14/50)))))*W14*Archetypes!$C$15*Archetypes!$C$22)*(Archetypes!$C$13*IF(S14&lt;0,1-Assumptions!$B$33*MIN(1,ABS(S14)/ABS(Assumptions!$B$21)),1))*5*Assumptions!$B$18))*IF(S14&lt;0,Assumptions!$B$9,1)))*$E14</f>
        <v>886.87297263020889</v>
      </c>
      <c r="AB14" s="18">
        <f>(AB13)+(AA14)-(MAX(0,((AB13)+(AA14)-(AC14)))*(IF(Archetypes!$C$27="",Assumptions!$B$11,Archetypes!$C$27)))</f>
        <v>2850.9136153338486</v>
      </c>
      <c r="AC14" s="18">
        <f>Archetypes!$C$33</f>
        <v>90.34</v>
      </c>
      <c r="AD14" s="18">
        <f t="shared" si="5"/>
        <v>2760.5736153338485</v>
      </c>
      <c r="AF14" s="18">
        <f t="shared" si="10"/>
        <v>42.253660235062206</v>
      </c>
      <c r="AG14" s="18">
        <f>MAX(Assumptions!$B$21,(AF14)+(AH14))</f>
        <v>44.256576888291789</v>
      </c>
      <c r="AH14" s="18">
        <f>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$15)*Assumptions!$B$22+((Archetypes!$D$11*(IF(AF14&lt;0,1+Assumptions!$B$32*MIN(1,ABS(AF14)/ABS(Assumptions!$B$21)),MAX(0.1,1-Assumptions!$B$31*(AF14/50)))))*AJ14*Archetypes!$D$15*Archetypes!$D$22)*Assumptions!$B$23+(Archetypes!$D$11*(IF(AF14&lt;0,1+Assumptions!$B$32*MIN(1,ABS(AF14)/ABS(Assumptions!$B$21)),MAX(0.1,1-Assumptions!$B$31*(AF14/50)))))*Assumptions!$B$24+-((Archetypes!$D$11*(IF(AF14&lt;0,1+Assumptions!$B$32*MIN(1,ABS(AF14)/ABS(Assumptions!$B$21)),MAX(0.1,1-Assumptions!$B$31*(AF14/50)))))*Archetypes!$D$16)*(Assumptions!$B$27*(1+Assumptions!$B$28*Archetypes!$D$14)/(1+Assumptions!$B$29*Archetypes!$D$12))+-(Archetypes!$D$11*(IF(AF14&lt;0,1+Assumptions!$B$32*MIN(1,ABS(AF14)/ABS(Assumptions!$B$21)),MAX(0.1,1-Assumptions!$B$31*(AF14/50)))))*Archetypes!$D$17*((Archetypes!$D$31)/100)*Assumptions!$B$30+-Assumptions!$B$25*Assumptions!$B$26)*$E14</f>
        <v>2.0029166532295841</v>
      </c>
      <c r="AI14" s="18">
        <f>(Archetypes!$D$11*(IF(AF14&lt;0,1+Assumptions!$B$32*MIN(1,ABS(AF14)/ABS(Assumptions!$B$21)),MAX(0.1,1-Assumptions!$B$31*(AF14/50)))))*$E14</f>
        <v>1.4788682315377604</v>
      </c>
      <c r="AJ14" s="19">
        <f>Archetypes!$D$30</f>
        <v>0.10400000000000001</v>
      </c>
      <c r="AK14" s="18">
        <f t="shared" si="6"/>
        <v>0.1538022960799271</v>
      </c>
      <c r="AL14" s="18">
        <f>((AI14-AK14)*Archetypes!$D$15)+(AK14*Archetypes!$D$15*Archetypes!$D$22)</f>
        <v>2.3105837249545971</v>
      </c>
      <c r="AM14" s="18">
        <f>AI14*Archetypes!$D$16</f>
        <v>0.2957736463075521</v>
      </c>
      <c r="AN14" s="18">
        <f>(IF(AF14&lt;0,Assumptions!$B$8,IF(AF14&lt;10,Assumptions!$B$34,IF(AF14&lt;25,Assumptions!$B$35,Assumptions!$B$36))))*((((Archetypes!$D$5*Assumptions!$B$4+Archetypes!$D$6*Assumptions!$B$5)*60))+(Assumptions!$B$6*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$20)+((Archetypes!$D$11*(IF(AF14&lt;0,1+Assumptions!$B$32*MIN(1,ABS(AF14)/ABS(Assumptions!$B$21)),MAX(0.1,1-Assumptions!$B$31*(AF14/50)))))*AJ14*Archetypes!$D$20*Archetypes!$D$21)*Assumptions!$B$18)*(IF($D14=1,1,Assumptions!$B$7)))+((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$15)*(Archetypes!$D$13*IF(AF14&lt;0,1-Assumptions!$B$33*MIN(1,ABS(AF14)/ABS(Assumptions!$B$21)),1))*5)+(((Archetypes!$D$11*(IF(AF14&lt;0,1+Assumptions!$B$32*MIN(1,ABS(AF14)/ABS(Assumptions!$B$21)),MAX(0.1,1-Assumptions!$B$31*(AF14/50)))))*AJ14*Archetypes!$D$15*Archetypes!$D$22)*(Archetypes!$D$13*IF(AF14&lt;0,1-Assumptions!$B$33*MIN(1,ABS(AF14)/ABS(Assumptions!$B$21)),1))*5*Assumptions!$B$18))*IF(AF14&lt;0,Assumptions!$B$9,1)))*$E14</f>
        <v>1429.0672733905012</v>
      </c>
      <c r="AO14" s="18">
        <f>(AO13)+(AN14)-(MAX(0,((AO13)+(AN14)-(AP14)))*(IF(Archetypes!$D$27="",Assumptions!$B$11,Archetypes!$D$27)))</f>
        <v>3632.8154163964473</v>
      </c>
      <c r="AP14" s="18">
        <f>Archetypes!$D$33</f>
        <v>201.32916645159378</v>
      </c>
      <c r="AQ14" s="18">
        <f t="shared" si="7"/>
        <v>3431.4862499448536</v>
      </c>
    </row>
    <row r="15" spans="1:52" x14ac:dyDescent="0.25">
      <c r="A15" s="14">
        <v>11</v>
      </c>
      <c r="B15" s="14">
        <f t="shared" si="0"/>
        <v>1</v>
      </c>
      <c r="C15" s="14">
        <f t="shared" si="1"/>
        <v>11</v>
      </c>
      <c r="D15" s="15">
        <f>IF(C15&lt;Assumptions!$B$10,1,0)</f>
        <v>0</v>
      </c>
      <c r="E15" s="15">
        <v>1</v>
      </c>
      <c r="F15" s="18">
        <f t="shared" si="8"/>
        <v>53.503942376719792</v>
      </c>
      <c r="G15" s="18">
        <f>MAX(Assumptions!$B$21,(F15)+(H15))</f>
        <v>56.103448590511071</v>
      </c>
      <c r="H15" s="18">
        <f>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$15)*Assumptions!$B$22+((Archetypes!$B$11*(IF(F15&lt;0,1+Assumptions!$B$32*MIN(1,ABS(F15)/ABS(Assumptions!$B$21)),MAX(0.1,1-Assumptions!$B$31*(F15/50)))))*J15*Archetypes!$B$15*Archetypes!$B$22)*Assumptions!$B$23+(Archetypes!$B$11*(IF(F15&lt;0,1+Assumptions!$B$32*MIN(1,ABS(F15)/ABS(Assumptions!$B$21)),MAX(0.1,1-Assumptions!$B$31*(F15/50)))))*Assumptions!$B$24+-((Archetypes!$B$11*(IF(F15&lt;0,1+Assumptions!$B$32*MIN(1,ABS(F15)/ABS(Assumptions!$B$21)),MAX(0.1,1-Assumptions!$B$31*(F15/50)))))*Archetypes!$B$16)*(Assumptions!$B$27*(1+Assumptions!$B$28*Archetypes!$B$14)/(1+Assumptions!$B$29*Archetypes!$B$12))+-(Archetypes!$B$11*(IF(F15&lt;0,1+Assumptions!$B$32*MIN(1,ABS(F15)/ABS(Assumptions!$B$21)),MAX(0.1,1-Assumptions!$B$31*(F15/50)))))*Archetypes!$B$17*((Archetypes!$B$31)/100)*Assumptions!$B$30+-Assumptions!$B$25*Assumptions!$B$26)*$E15</f>
        <v>2.5995062137912788</v>
      </c>
      <c r="I15" s="18">
        <f>(Archetypes!$B$11*(IF(F15&lt;0,1+Assumptions!$B$32*MIN(1,ABS(F15)/ABS(Assumptions!$B$21)),MAX(0.1,1-Assumptions!$B$31*(F15/50)))))*$E15</f>
        <v>3.5795269147936248</v>
      </c>
      <c r="J15" s="19">
        <f>Archetypes!$B$30</f>
        <v>2.1999999999999999E-2</v>
      </c>
      <c r="K15" s="18">
        <f t="shared" si="2"/>
        <v>7.8749592125459747E-2</v>
      </c>
      <c r="L15" s="18">
        <f>((I15-K15)*Archetypes!$B$15)+(K15*Archetypes!$B$15*Archetypes!$B$22)</f>
        <v>0.35952768332187168</v>
      </c>
      <c r="M15" s="18">
        <f>I15*Archetypes!$B$16</f>
        <v>2.6846451860952185</v>
      </c>
      <c r="N15" s="18">
        <f>(IF(F15&lt;0,Assumptions!$B$8,IF(F15&lt;10,Assumptions!$B$34,IF(F15&lt;25,Assumptions!$B$35,Assumptions!$B$36))))*((((Archetypes!$B$5*Assumptions!$B$4+Archetypes!$B$6*Assumptions!$B$5)*60))+(Assumptions!$B$6*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$20)+((Archetypes!$B$11*(IF(F15&lt;0,1+Assumptions!$B$32*MIN(1,ABS(F15)/ABS(Assumptions!$B$21)),MAX(0.1,1-Assumptions!$B$31*(F15/50)))))*J15*Archetypes!$B$20*Archetypes!$B$21)*Assumptions!$B$18)*(IF($D15=1,1,Assumptions!$B$7)))+((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$15)*(Archetypes!$B$13*IF(F15&lt;0,1-Assumptions!$B$33*MIN(1,ABS(F15)/ABS(Assumptions!$B$21)),1))*5)+(((Archetypes!$B$11*(IF(F15&lt;0,1+Assumptions!$B$32*MIN(1,ABS(F15)/ABS(Assumptions!$B$21)),MAX(0.1,1-Assumptions!$B$31*(F15/50)))))*J15*Archetypes!$B$15*Archetypes!$B$22)*(Archetypes!$B$13*IF(F15&lt;0,1-Assumptions!$B$33*MIN(1,ABS(F15)/ABS(Assumptions!$B$21)),1))*5*Assumptions!$B$18))*IF(F15&lt;0,Assumptions!$B$9,1)))*$E15</f>
        <v>263.79315911400084</v>
      </c>
      <c r="O15" s="18">
        <f>(O14)+(N15)-(MAX(0,((O14)+(N15)-(P15)))*(IF(Archetypes!$B$27="",Assumptions!$B$11,Archetypes!$B$27)))</f>
        <v>1211.9313231156732</v>
      </c>
      <c r="P15" s="18">
        <f>Archetypes!$B$33</f>
        <v>25.423199999999998</v>
      </c>
      <c r="Q15" s="18">
        <f t="shared" si="3"/>
        <v>1186.5081231156732</v>
      </c>
      <c r="S15" s="18">
        <f t="shared" si="9"/>
        <v>45.838103947110362</v>
      </c>
      <c r="T15" s="18">
        <f>MAX(Assumptions!$B$21,(S15)+(U15))</f>
        <v>48.220034660243428</v>
      </c>
      <c r="U15" s="18">
        <f>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$15)*Assumptions!$B$22+((Archetypes!$C$11*(IF(S15&lt;0,1+Assumptions!$B$32*MIN(1,ABS(S15)/ABS(Assumptions!$B$21)),MAX(0.1,1-Assumptions!$B$31*(S15/50)))))*W15*Archetypes!$C$15*Archetypes!$C$22)*Assumptions!$B$23+(Archetypes!$C$11*(IF(S15&lt;0,1+Assumptions!$B$32*MIN(1,ABS(S15)/ABS(Assumptions!$B$21)),MAX(0.1,1-Assumptions!$B$31*(S15/50)))))*Assumptions!$B$24+-((Archetypes!$C$11*(IF(S15&lt;0,1+Assumptions!$B$32*MIN(1,ABS(S15)/ABS(Assumptions!$B$21)),MAX(0.1,1-Assumptions!$B$31*(S15/50)))))*Archetypes!$C$16)*(Assumptions!$B$27*(1+Assumptions!$B$28*Archetypes!$C$14)/(1+Assumptions!$B$29*Archetypes!$C$12))+-(Archetypes!$C$11*(IF(S15&lt;0,1+Assumptions!$B$32*MIN(1,ABS(S15)/ABS(Assumptions!$B$21)),MAX(0.1,1-Assumptions!$B$31*(S15/50)))))*Archetypes!$C$17*((Archetypes!$C$31)/100)*Assumptions!$B$30+-Assumptions!$B$25*Assumptions!$B$26)*$E15</f>
        <v>2.3819307131330651</v>
      </c>
      <c r="V15" s="18">
        <f>(Archetypes!$C$11*(IF(S15&lt;0,1+Assumptions!$B$32*MIN(1,ABS(S15)/ABS(Assumptions!$B$21)),MAX(0.1,1-Assumptions!$B$31*(S15/50)))))*$E15</f>
        <v>2.6996565158080541</v>
      </c>
      <c r="W15" s="19">
        <f>Archetypes!$C$30</f>
        <v>3.7999999999999999E-2</v>
      </c>
      <c r="X15" s="18">
        <f t="shared" si="4"/>
        <v>0.10258694760070605</v>
      </c>
      <c r="Y15" s="18">
        <f>((V15-X15)*Archetypes!$C$15)+(X15*Archetypes!$C$15*Archetypes!$C$22)</f>
        <v>1.3652163000441331</v>
      </c>
      <c r="Z15" s="18">
        <f>V15*Archetypes!$C$16</f>
        <v>1.2148454321136244</v>
      </c>
      <c r="AA15" s="18">
        <f>(IF(S15&lt;0,Assumptions!$B$8,IF(S15&lt;10,Assumptions!$B$34,IF(S15&lt;25,Assumptions!$B$35,Assumptions!$B$36))))*((((Archetypes!$C$5*Assumptions!$B$4+Archetypes!$C$6*Assumptions!$B$5)*60))+(Assumptions!$B$6*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$20)+((Archetypes!$C$11*(IF(S15&lt;0,1+Assumptions!$B$32*MIN(1,ABS(S15)/ABS(Assumptions!$B$21)),MAX(0.1,1-Assumptions!$B$31*(S15/50)))))*W15*Archetypes!$C$20*Archetypes!$C$21)*Assumptions!$B$18)*(IF($D15=1,1,Assumptions!$B$7)))+((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$15)*(Archetypes!$C$13*IF(S15&lt;0,1-Assumptions!$B$33*MIN(1,ABS(S15)/ABS(Assumptions!$B$21)),1))*5)+(((Archetypes!$C$11*(IF(S15&lt;0,1+Assumptions!$B$32*MIN(1,ABS(S15)/ABS(Assumptions!$B$21)),MAX(0.1,1-Assumptions!$B$31*(S15/50)))))*W15*Archetypes!$C$15*Archetypes!$C$22)*(Archetypes!$C$13*IF(S15&lt;0,1-Assumptions!$B$33*MIN(1,ABS(S15)/ABS(Assumptions!$B$21)),1))*5*Assumptions!$B$18))*IF(S15&lt;0,Assumptions!$B$9,1)))*$E15</f>
        <v>872.59404281474463</v>
      </c>
      <c r="AB15" s="18">
        <f>(AB14)+(AA15)-(MAX(0,((AB14)+(AA15)-(AC15)))*(IF(Archetypes!$C$27="",Assumptions!$B$11,Archetypes!$C$27)))</f>
        <v>2815.2157436114449</v>
      </c>
      <c r="AC15" s="18">
        <f>Archetypes!$C$33</f>
        <v>90.34</v>
      </c>
      <c r="AD15" s="18">
        <f t="shared" si="5"/>
        <v>2724.8757436114447</v>
      </c>
      <c r="AF15" s="18">
        <f t="shared" si="10"/>
        <v>44.256576888291789</v>
      </c>
      <c r="AG15" s="18">
        <f>MAX(Assumptions!$B$21,(AF15)+(AH15))</f>
        <v>46.154524044625589</v>
      </c>
      <c r="AH15" s="18">
        <f>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$15)*Assumptions!$B$22+((Archetypes!$D$11*(IF(AF15&lt;0,1+Assumptions!$B$32*MIN(1,ABS(AF15)/ABS(Assumptions!$B$21)),MAX(0.1,1-Assumptions!$B$31*(AF15/50)))))*AJ15*Archetypes!$D$15*Archetypes!$D$22)*Assumptions!$B$23+(Archetypes!$D$11*(IF(AF15&lt;0,1+Assumptions!$B$32*MIN(1,ABS(AF15)/ABS(Assumptions!$B$21)),MAX(0.1,1-Assumptions!$B$31*(AF15/50)))))*Assumptions!$B$24+-((Archetypes!$D$11*(IF(AF15&lt;0,1+Assumptions!$B$32*MIN(1,ABS(AF15)/ABS(Assumptions!$B$21)),MAX(0.1,1-Assumptions!$B$31*(AF15/50)))))*Archetypes!$D$16)*(Assumptions!$B$27*(1+Assumptions!$B$28*Archetypes!$D$14)/(1+Assumptions!$B$29*Archetypes!$D$12))+-(Archetypes!$D$11*(IF(AF15&lt;0,1+Assumptions!$B$32*MIN(1,ABS(AF15)/ABS(Assumptions!$B$21)),MAX(0.1,1-Assumptions!$B$31*(AF15/50)))))*Archetypes!$D$17*((Archetypes!$D$31)/100)*Assumptions!$B$30+-Assumptions!$B$25*Assumptions!$B$26)*$E15</f>
        <v>1.8979471563338</v>
      </c>
      <c r="AI15" s="18">
        <f>(Archetypes!$D$11*(IF(AF15&lt;0,1+Assumptions!$B$32*MIN(1,ABS(AF15)/ABS(Assumptions!$B$21)),MAX(0.1,1-Assumptions!$B$31*(AF15/50)))))*$E15</f>
        <v>1.4067632320214958</v>
      </c>
      <c r="AJ15" s="19">
        <f>Archetypes!$D$30</f>
        <v>0.10400000000000001</v>
      </c>
      <c r="AK15" s="18">
        <f t="shared" si="6"/>
        <v>0.14630337613023559</v>
      </c>
      <c r="AL15" s="18">
        <f>((AI15-AK15)*Archetypes!$D$15)+(AK15*Archetypes!$D$15*Archetypes!$D$22)</f>
        <v>2.1979268737103848</v>
      </c>
      <c r="AM15" s="18">
        <f>AI15*Archetypes!$D$16</f>
        <v>0.28135264640429919</v>
      </c>
      <c r="AN15" s="18">
        <f>(IF(AF15&lt;0,Assumptions!$B$8,IF(AF15&lt;10,Assumptions!$B$34,IF(AF15&lt;25,Assumptions!$B$35,Assumptions!$B$36))))*((((Archetypes!$D$5*Assumptions!$B$4+Archetypes!$D$6*Assumptions!$B$5)*60))+(Assumptions!$B$6*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$20)+((Archetypes!$D$11*(IF(AF15&lt;0,1+Assumptions!$B$32*MIN(1,ABS(AF15)/ABS(Assumptions!$B$21)),MAX(0.1,1-Assumptions!$B$31*(AF15/50)))))*AJ15*Archetypes!$D$20*Archetypes!$D$21)*Assumptions!$B$18)*(IF($D15=1,1,Assumptions!$B$7)))+((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$15)*(Archetypes!$D$13*IF(AF15&lt;0,1-Assumptions!$B$33*MIN(1,ABS(AF15)/ABS(Assumptions!$B$21)),1))*5)+(((Archetypes!$D$11*(IF(AF15&lt;0,1+Assumptions!$B$32*MIN(1,ABS(AF15)/ABS(Assumptions!$B$21)),MAX(0.1,1-Assumptions!$B$31*(AF15/50)))))*AJ15*Archetypes!$D$15*Archetypes!$D$22)*(Archetypes!$D$13*IF(AF15&lt;0,1-Assumptions!$B$33*MIN(1,ABS(AF15)/ABS(Assumptions!$B$21)),1))*5*Assumptions!$B$18))*IF(AF15&lt;0,Assumptions!$B$9,1)))*$E15</f>
        <v>1411.6090306451247</v>
      </c>
      <c r="AO15" s="18">
        <f>(AO14)+(AN15)-(MAX(0,((AO14)+(AN15)-(AP15)))*(IF(Archetypes!$D$27="",Assumptions!$B$11,Archetypes!$D$27)))</f>
        <v>3591.4958628645791</v>
      </c>
      <c r="AP15" s="18">
        <f>Archetypes!$D$33</f>
        <v>201.32916645159378</v>
      </c>
      <c r="AQ15" s="18">
        <f t="shared" si="7"/>
        <v>3390.1666964129854</v>
      </c>
    </row>
    <row r="16" spans="1:52" x14ac:dyDescent="0.25">
      <c r="A16" s="14">
        <v>12</v>
      </c>
      <c r="B16" s="14">
        <f t="shared" si="0"/>
        <v>1</v>
      </c>
      <c r="C16" s="14">
        <f t="shared" si="1"/>
        <v>12</v>
      </c>
      <c r="D16" s="15">
        <f>IF(C16&lt;Assumptions!$B$10,1,0)</f>
        <v>0</v>
      </c>
      <c r="E16" s="15">
        <v>1</v>
      </c>
      <c r="F16" s="18">
        <f t="shared" si="8"/>
        <v>56.103448590511071</v>
      </c>
      <c r="G16" s="18">
        <f>MAX(Assumptions!$B$21,(F16)+(H16))</f>
        <v>58.463346878749867</v>
      </c>
      <c r="H16" s="18">
        <f>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$15)*Assumptions!$B$22+((Archetypes!$B$11*(IF(F16&lt;0,1+Assumptions!$B$32*MIN(1,ABS(F16)/ABS(Assumptions!$B$21)),MAX(0.1,1-Assumptions!$B$31*(F16/50)))))*J16*Archetypes!$B$15*Archetypes!$B$22)*Assumptions!$B$23+(Archetypes!$B$11*(IF(F16&lt;0,1+Assumptions!$B$32*MIN(1,ABS(F16)/ABS(Assumptions!$B$21)),MAX(0.1,1-Assumptions!$B$31*(F16/50)))))*Assumptions!$B$24+-((Archetypes!$B$11*(IF(F16&lt;0,1+Assumptions!$B$32*MIN(1,ABS(F16)/ABS(Assumptions!$B$21)),MAX(0.1,1-Assumptions!$B$31*(F16/50)))))*Archetypes!$B$16)*(Assumptions!$B$27*(1+Assumptions!$B$28*Archetypes!$B$14)/(1+Assumptions!$B$29*Archetypes!$B$12))+-(Archetypes!$B$11*(IF(F16&lt;0,1+Assumptions!$B$32*MIN(1,ABS(F16)/ABS(Assumptions!$B$21)),MAX(0.1,1-Assumptions!$B$31*(F16/50)))))*Archetypes!$B$17*((Archetypes!$B$31)/100)*Assumptions!$B$30+-Assumptions!$B$25*Assumptions!$B$26)*$E16</f>
        <v>2.3598982882387953</v>
      </c>
      <c r="I16" s="18">
        <f>(Archetypes!$B$11*(IF(F16&lt;0,1+Assumptions!$B$32*MIN(1,ABS(F16)/ABS(Assumptions!$B$21)),MAX(0.1,1-Assumptions!$B$31*(F16/50)))))*$E16</f>
        <v>3.2675861691386707</v>
      </c>
      <c r="J16" s="19">
        <f>Archetypes!$B$30</f>
        <v>2.1999999999999999E-2</v>
      </c>
      <c r="K16" s="18">
        <f t="shared" si="2"/>
        <v>7.1886895721050753E-2</v>
      </c>
      <c r="L16" s="18">
        <f>((I16-K16)*Archetypes!$B$15)+(K16*Archetypes!$B$15*Archetypes!$B$22)</f>
        <v>0.32819635482828813</v>
      </c>
      <c r="M16" s="18">
        <f>I16*Archetypes!$B$16</f>
        <v>2.450689626854003</v>
      </c>
      <c r="N16" s="18">
        <f>(IF(F16&lt;0,Assumptions!$B$8,IF(F16&lt;10,Assumptions!$B$34,IF(F16&lt;25,Assumptions!$B$35,Assumptions!$B$36))))*((((Archetypes!$B$5*Assumptions!$B$4+Archetypes!$B$6*Assumptions!$B$5)*60))+(Assumptions!$B$6*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$20)+((Archetypes!$B$11*(IF(F16&lt;0,1+Assumptions!$B$32*MIN(1,ABS(F16)/ABS(Assumptions!$B$21)),MAX(0.1,1-Assumptions!$B$31*(F16/50)))))*J16*Archetypes!$B$20*Archetypes!$B$21)*Assumptions!$B$18)*(IF($D16=1,1,Assumptions!$B$7)))+((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$15)*(Archetypes!$B$13*IF(F16&lt;0,1-Assumptions!$B$33*MIN(1,ABS(F16)/ABS(Assumptions!$B$21)),1))*5)+(((Archetypes!$B$11*(IF(F16&lt;0,1+Assumptions!$B$32*MIN(1,ABS(F16)/ABS(Assumptions!$B$21)),MAX(0.1,1-Assumptions!$B$31*(F16/50)))))*J16*Archetypes!$B$15*Archetypes!$B$22)*(Archetypes!$B$13*IF(F16&lt;0,1-Assumptions!$B$33*MIN(1,ABS(F16)/ABS(Assumptions!$B$21)),1))*5*Assumptions!$B$18))*IF(F16&lt;0,Assumptions!$B$9,1)))*$E16</f>
        <v>254.1380003485632</v>
      </c>
      <c r="O16" s="18">
        <f>(O15)+(N16)-(MAX(0,((O15)+(N16)-(P16)))*(IF(Archetypes!$B$27="",Assumptions!$B$11,Archetypes!$B$27)))</f>
        <v>1177.9400987713889</v>
      </c>
      <c r="P16" s="18">
        <f>Archetypes!$B$33</f>
        <v>25.423199999999998</v>
      </c>
      <c r="Q16" s="18">
        <f t="shared" si="3"/>
        <v>1152.5168987713889</v>
      </c>
      <c r="S16" s="18">
        <f t="shared" si="9"/>
        <v>48.220034660243428</v>
      </c>
      <c r="T16" s="18">
        <f>MAX(Assumptions!$B$21,(S16)+(U16))</f>
        <v>50.441121350607226</v>
      </c>
      <c r="U16" s="18">
        <f>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$15)*Assumptions!$B$22+((Archetypes!$C$11*(IF(S16&lt;0,1+Assumptions!$B$32*MIN(1,ABS(S16)/ABS(Assumptions!$B$21)),MAX(0.1,1-Assumptions!$B$31*(S16/50)))))*W16*Archetypes!$C$15*Archetypes!$C$22)*Assumptions!$B$23+(Archetypes!$C$11*(IF(S16&lt;0,1+Assumptions!$B$32*MIN(1,ABS(S16)/ABS(Assumptions!$B$21)),MAX(0.1,1-Assumptions!$B$31*(S16/50)))))*Assumptions!$B$24+-((Archetypes!$C$11*(IF(S16&lt;0,1+Assumptions!$B$32*MIN(1,ABS(S16)/ABS(Assumptions!$B$21)),MAX(0.1,1-Assumptions!$B$31*(S16/50)))))*Archetypes!$C$16)*(Assumptions!$B$27*(1+Assumptions!$B$28*Archetypes!$C$14)/(1+Assumptions!$B$29*Archetypes!$C$12))+-(Archetypes!$C$11*(IF(S16&lt;0,1+Assumptions!$B$32*MIN(1,ABS(S16)/ABS(Assumptions!$B$21)),MAX(0.1,1-Assumptions!$B$31*(S16/50)))))*Archetypes!$C$17*((Archetypes!$C$31)/100)*Assumptions!$B$30+-Assumptions!$B$25*Assumptions!$B$26)*$E16</f>
        <v>2.2210866903637974</v>
      </c>
      <c r="V16" s="18">
        <f>(Archetypes!$C$11*(IF(S16&lt;0,1+Assumptions!$B$32*MIN(1,ABS(S16)/ABS(Assumptions!$B$21)),MAX(0.1,1-Assumptions!$B$31*(S16/50)))))*$E16</f>
        <v>2.5281575044624729</v>
      </c>
      <c r="W16" s="19">
        <f>Archetypes!$C$30</f>
        <v>3.7999999999999999E-2</v>
      </c>
      <c r="X16" s="18">
        <f t="shared" si="4"/>
        <v>9.6069985169573963E-2</v>
      </c>
      <c r="Y16" s="18">
        <f>((V16-X16)*Archetypes!$C$15)+(X16*Archetypes!$C$15*Archetypes!$C$22)</f>
        <v>1.2784892500066727</v>
      </c>
      <c r="Z16" s="18">
        <f>V16*Archetypes!$C$16</f>
        <v>1.1376708770081128</v>
      </c>
      <c r="AA16" s="18">
        <f>(IF(S16&lt;0,Assumptions!$B$8,IF(S16&lt;10,Assumptions!$B$34,IF(S16&lt;25,Assumptions!$B$35,Assumptions!$B$36))))*((((Archetypes!$C$5*Assumptions!$B$4+Archetypes!$C$6*Assumptions!$B$5)*60))+(Assumptions!$B$6*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$20)+((Archetypes!$C$11*(IF(S16&lt;0,1+Assumptions!$B$32*MIN(1,ABS(S16)/ABS(Assumptions!$B$21)),MAX(0.1,1-Assumptions!$B$31*(S16/50)))))*W16*Archetypes!$C$20*Archetypes!$C$21)*Assumptions!$B$18)*(IF($D16=1,1,Assumptions!$B$7)))+((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$15)*(Archetypes!$C$13*IF(S16&lt;0,1-Assumptions!$B$33*MIN(1,ABS(S16)/ABS(Assumptions!$B$21)),1))*5)+(((Archetypes!$C$11*(IF(S16&lt;0,1+Assumptions!$B$32*MIN(1,ABS(S16)/ABS(Assumptions!$B$21)),MAX(0.1,1-Assumptions!$B$31*(S16/50)))))*W16*Archetypes!$C$15*Archetypes!$C$22)*(Archetypes!$C$13*IF(S16&lt;0,1-Assumptions!$B$33*MIN(1,ABS(S16)/ABS(Assumptions!$B$21)),1))*5*Assumptions!$B$18))*IF(S16&lt;0,Assumptions!$B$9,1)))*$E16</f>
        <v>859.2793226212043</v>
      </c>
      <c r="AB16" s="18">
        <f>(AB15)+(AA16)-(MAX(0,((AB15)+(AA16)-(AC16)))*(IF(Archetypes!$C$27="",Assumptions!$B$11,Archetypes!$C$27)))</f>
        <v>2778.4562996744871</v>
      </c>
      <c r="AC16" s="18">
        <f>Archetypes!$C$33</f>
        <v>90.34</v>
      </c>
      <c r="AD16" s="18">
        <f t="shared" si="5"/>
        <v>2688.116299674487</v>
      </c>
      <c r="AF16" s="18">
        <f t="shared" si="10"/>
        <v>46.154524044625589</v>
      </c>
      <c r="AG16" s="18">
        <f>MAX(Assumptions!$B$21,(AF16)+(AH16))</f>
        <v>47.953002979047156</v>
      </c>
      <c r="AH16" s="18">
        <f>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$15)*Assumptions!$B$22+((Archetypes!$D$11*(IF(AF16&lt;0,1+Assumptions!$B$32*MIN(1,ABS(AF16)/ABS(Assumptions!$B$21)),MAX(0.1,1-Assumptions!$B$31*(AF16/50)))))*AJ16*Archetypes!$D$15*Archetypes!$D$22)*Assumptions!$B$23+(Archetypes!$D$11*(IF(AF16&lt;0,1+Assumptions!$B$32*MIN(1,ABS(AF16)/ABS(Assumptions!$B$21)),MAX(0.1,1-Assumptions!$B$31*(AF16/50)))))*Assumptions!$B$24+-((Archetypes!$D$11*(IF(AF16&lt;0,1+Assumptions!$B$32*MIN(1,ABS(AF16)/ABS(Assumptions!$B$21)),MAX(0.1,1-Assumptions!$B$31*(AF16/50)))))*Archetypes!$D$16)*(Assumptions!$B$27*(1+Assumptions!$B$28*Archetypes!$D$14)/(1+Assumptions!$B$29*Archetypes!$D$12))+-(Archetypes!$D$11*(IF(AF16&lt;0,1+Assumptions!$B$32*MIN(1,ABS(AF16)/ABS(Assumptions!$B$21)),MAX(0.1,1-Assumptions!$B$31*(AF16/50)))))*Archetypes!$D$17*((Archetypes!$D$31)/100)*Assumptions!$B$30+-Assumptions!$B$25*Assumptions!$B$26)*$E16</f>
        <v>1.7984789344215677</v>
      </c>
      <c r="AI16" s="18">
        <f>(Archetypes!$D$11*(IF(AF16&lt;0,1+Assumptions!$B$32*MIN(1,ABS(AF16)/ABS(Assumptions!$B$21)),MAX(0.1,1-Assumptions!$B$31*(AF16/50)))))*$E16</f>
        <v>1.3384371343934789</v>
      </c>
      <c r="AJ16" s="19">
        <f>Archetypes!$D$30</f>
        <v>0.10400000000000001</v>
      </c>
      <c r="AK16" s="18">
        <f t="shared" si="6"/>
        <v>0.13919746197692182</v>
      </c>
      <c r="AL16" s="18">
        <f>((AI16-AK16)*Archetypes!$D$15)+(AK16*Archetypes!$D$15*Archetypes!$D$22)</f>
        <v>2.0911741787763711</v>
      </c>
      <c r="AM16" s="18">
        <f>AI16*Archetypes!$D$16</f>
        <v>0.26768742687869579</v>
      </c>
      <c r="AN16" s="18">
        <f>(IF(AF16&lt;0,Assumptions!$B$8,IF(AF16&lt;10,Assumptions!$B$34,IF(AF16&lt;25,Assumptions!$B$35,Assumptions!$B$36))))*((((Archetypes!$D$5*Assumptions!$B$4+Archetypes!$D$6*Assumptions!$B$5)*60))+(Assumptions!$B$6*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$20)+((Archetypes!$D$11*(IF(AF16&lt;0,1+Assumptions!$B$32*MIN(1,ABS(AF16)/ABS(Assumptions!$B$21)),MAX(0.1,1-Assumptions!$B$31*(AF16/50)))))*AJ16*Archetypes!$D$20*Archetypes!$D$21)*Assumptions!$B$18)*(IF($D16=1,1,Assumptions!$B$7)))+((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$15)*(Archetypes!$D$13*IF(AF16&lt;0,1-Assumptions!$B$33*MIN(1,ABS(AF16)/ABS(Assumptions!$B$21)),1))*5)+(((Archetypes!$D$11*(IF(AF16&lt;0,1+Assumptions!$B$32*MIN(1,ABS(AF16)/ABS(Assumptions!$B$21)),MAX(0.1,1-Assumptions!$B$31*(AF16/50)))))*AJ16*Archetypes!$D$15*Archetypes!$D$22)*(Archetypes!$D$13*IF(AF16&lt;0,1-Assumptions!$B$33*MIN(1,ABS(AF16)/ABS(Assumptions!$B$21)),1))*5*Assumptions!$B$18))*IF(AF16&lt;0,Assumptions!$B$9,1)))*$E16</f>
        <v>1395.0657450721851</v>
      </c>
      <c r="AO16" s="18">
        <f>(AO15)+(AN16)-(MAX(0,((AO15)+(AN16)-(AP16)))*(IF(Archetypes!$D$27="",Assumptions!$B$11,Archetypes!$D$27)))</f>
        <v>3550.9918754912132</v>
      </c>
      <c r="AP16" s="18">
        <f>Archetypes!$D$33</f>
        <v>201.32916645159378</v>
      </c>
      <c r="AQ16" s="18">
        <f t="shared" si="7"/>
        <v>3349.6627090396196</v>
      </c>
    </row>
    <row r="17" spans="1:43" x14ac:dyDescent="0.25">
      <c r="A17" s="14">
        <v>13</v>
      </c>
      <c r="B17" s="14">
        <f t="shared" si="0"/>
        <v>1</v>
      </c>
      <c r="C17" s="14">
        <f t="shared" si="1"/>
        <v>13</v>
      </c>
      <c r="D17" s="15">
        <f>IF(C17&lt;Assumptions!$B$10,1,0)</f>
        <v>0</v>
      </c>
      <c r="E17" s="15">
        <v>1</v>
      </c>
      <c r="F17" s="18">
        <f t="shared" si="8"/>
        <v>58.463346878749867</v>
      </c>
      <c r="G17" s="18">
        <f>MAX(Assumptions!$B$21,(F17)+(H17))</f>
        <v>60.605722958209228</v>
      </c>
      <c r="H17" s="18">
        <f>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$15)*Assumptions!$B$22+((Archetypes!$B$11*(IF(F17&lt;0,1+Assumptions!$B$32*MIN(1,ABS(F17)/ABS(Assumptions!$B$21)),MAX(0.1,1-Assumptions!$B$31*(F17/50)))))*J17*Archetypes!$B$15*Archetypes!$B$22)*Assumptions!$B$23+(Archetypes!$B$11*(IF(F17&lt;0,1+Assumptions!$B$32*MIN(1,ABS(F17)/ABS(Assumptions!$B$21)),MAX(0.1,1-Assumptions!$B$31*(F17/50)))))*Assumptions!$B$24+-((Archetypes!$B$11*(IF(F17&lt;0,1+Assumptions!$B$32*MIN(1,ABS(F17)/ABS(Assumptions!$B$21)),MAX(0.1,1-Assumptions!$B$31*(F17/50)))))*Archetypes!$B$16)*(Assumptions!$B$27*(1+Assumptions!$B$28*Archetypes!$B$14)/(1+Assumptions!$B$29*Archetypes!$B$12))+-(Archetypes!$B$11*(IF(F17&lt;0,1+Assumptions!$B$32*MIN(1,ABS(F17)/ABS(Assumptions!$B$21)),MAX(0.1,1-Assumptions!$B$31*(F17/50)))))*Archetypes!$B$17*((Archetypes!$B$31)/100)*Assumptions!$B$30+-Assumptions!$B$25*Assumptions!$B$26)*$E17</f>
        <v>2.1423760794593578</v>
      </c>
      <c r="I17" s="18">
        <f>(Archetypes!$B$11*(IF(F17&lt;0,1+Assumptions!$B$32*MIN(1,ABS(F17)/ABS(Assumptions!$B$21)),MAX(0.1,1-Assumptions!$B$31*(F17/50)))))*$E17</f>
        <v>2.9843983745500156</v>
      </c>
      <c r="J17" s="19">
        <f>Archetypes!$B$30</f>
        <v>2.1999999999999999E-2</v>
      </c>
      <c r="K17" s="18">
        <f t="shared" si="2"/>
        <v>6.5656764240100335E-2</v>
      </c>
      <c r="L17" s="18">
        <f>((I17-K17)*Archetypes!$B$15)+(K17*Archetypes!$B$15*Archetypes!$B$22)</f>
        <v>0.29975297273980361</v>
      </c>
      <c r="M17" s="18">
        <f>I17*Archetypes!$B$16</f>
        <v>2.2382987809125119</v>
      </c>
      <c r="N17" s="18">
        <f>(IF(F17&lt;0,Assumptions!$B$8,IF(F17&lt;10,Assumptions!$B$34,IF(F17&lt;25,Assumptions!$B$35,Assumptions!$B$36))))*((((Archetypes!$B$5*Assumptions!$B$4+Archetypes!$B$6*Assumptions!$B$5)*60))+(Assumptions!$B$6*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$20)+((Archetypes!$B$11*(IF(F17&lt;0,1+Assumptions!$B$32*MIN(1,ABS(F17)/ABS(Assumptions!$B$21)),MAX(0.1,1-Assumptions!$B$31*(F17/50)))))*J17*Archetypes!$B$20*Archetypes!$B$21)*Assumptions!$B$18)*(IF($D17=1,1,Assumptions!$B$7)))+((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$15)*(Archetypes!$B$13*IF(F17&lt;0,1-Assumptions!$B$33*MIN(1,ABS(F17)/ABS(Assumptions!$B$21)),1))*5)+(((Archetypes!$B$11*(IF(F17&lt;0,1+Assumptions!$B$32*MIN(1,ABS(F17)/ABS(Assumptions!$B$21)),MAX(0.1,1-Assumptions!$B$31*(F17/50)))))*J17*Archetypes!$B$15*Archetypes!$B$22)*(Archetypes!$B$13*IF(F17&lt;0,1-Assumptions!$B$33*MIN(1,ABS(F17)/ABS(Assumptions!$B$21)),1))*5*Assumptions!$B$18))*IF(F17&lt;0,Assumptions!$B$9,1)))*$E17</f>
        <v>245.37280004923463</v>
      </c>
      <c r="O17" s="18">
        <f>(O16)+(N17)-(MAX(0,((O16)+(N17)-(P17)))*(IF(Archetypes!$B$27="",Assumptions!$B$11,Archetypes!$B$27)))</f>
        <v>1143.7349590564988</v>
      </c>
      <c r="P17" s="18">
        <f>Archetypes!$B$33</f>
        <v>25.423199999999998</v>
      </c>
      <c r="Q17" s="18">
        <f t="shared" si="3"/>
        <v>1118.3117590564989</v>
      </c>
      <c r="S17" s="18">
        <f t="shared" si="9"/>
        <v>50.441121350607226</v>
      </c>
      <c r="T17" s="18">
        <f>MAX(Assumptions!$B$21,(S17)+(U17))</f>
        <v>52.512225291167404</v>
      </c>
      <c r="U17" s="18">
        <f>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$15)*Assumptions!$B$22+((Archetypes!$C$11*(IF(S17&lt;0,1+Assumptions!$B$32*MIN(1,ABS(S17)/ABS(Assumptions!$B$21)),MAX(0.1,1-Assumptions!$B$31*(S17/50)))))*W17*Archetypes!$C$15*Archetypes!$C$22)*Assumptions!$B$23+(Archetypes!$C$11*(IF(S17&lt;0,1+Assumptions!$B$32*MIN(1,ABS(S17)/ABS(Assumptions!$B$21)),MAX(0.1,1-Assumptions!$B$31*(S17/50)))))*Assumptions!$B$24+-((Archetypes!$C$11*(IF(S17&lt;0,1+Assumptions!$B$32*MIN(1,ABS(S17)/ABS(Assumptions!$B$21)),MAX(0.1,1-Assumptions!$B$31*(S17/50)))))*Archetypes!$C$16)*(Assumptions!$B$27*(1+Assumptions!$B$28*Archetypes!$C$14)/(1+Assumptions!$B$29*Archetypes!$C$12))+-(Archetypes!$C$11*(IF(S17&lt;0,1+Assumptions!$B$32*MIN(1,ABS(S17)/ABS(Assumptions!$B$21)),MAX(0.1,1-Assumptions!$B$31*(S17/50)))))*Archetypes!$C$17*((Archetypes!$C$31)/100)*Assumptions!$B$30+-Assumptions!$B$25*Assumptions!$B$26)*$E17</f>
        <v>2.0711039405601794</v>
      </c>
      <c r="V17" s="18">
        <f>(Archetypes!$C$11*(IF(S17&lt;0,1+Assumptions!$B$32*MIN(1,ABS(S17)/ABS(Assumptions!$B$21)),MAX(0.1,1-Assumptions!$B$31*(S17/50)))))*$E17</f>
        <v>2.3682392627562807</v>
      </c>
      <c r="W17" s="19">
        <f>Archetypes!$C$30</f>
        <v>3.7999999999999999E-2</v>
      </c>
      <c r="X17" s="18">
        <f t="shared" si="4"/>
        <v>8.9993091984738663E-2</v>
      </c>
      <c r="Y17" s="18">
        <f>((V17-X17)*Archetypes!$C$15)+(X17*Archetypes!$C$15*Archetypes!$C$22)</f>
        <v>1.1976185951758511</v>
      </c>
      <c r="Z17" s="18">
        <f>V17*Archetypes!$C$16</f>
        <v>1.0657076682403264</v>
      </c>
      <c r="AA17" s="18">
        <f>(IF(S17&lt;0,Assumptions!$B$8,IF(S17&lt;10,Assumptions!$B$34,IF(S17&lt;25,Assumptions!$B$35,Assumptions!$B$36))))*((((Archetypes!$C$5*Assumptions!$B$4+Archetypes!$C$6*Assumptions!$B$5)*60))+(Assumptions!$B$6*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$20)+((Archetypes!$C$11*(IF(S17&lt;0,1+Assumptions!$B$32*MIN(1,ABS(S17)/ABS(Assumptions!$B$21)),MAX(0.1,1-Assumptions!$B$31*(S17/50)))))*W17*Archetypes!$C$20*Archetypes!$C$21)*Assumptions!$B$18)*(IF($D17=1,1,Assumptions!$B$7)))+((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$15)*(Archetypes!$C$13*IF(S17&lt;0,1-Assumptions!$B$33*MIN(1,ABS(S17)/ABS(Assumptions!$B$21)),1))*5)+(((Archetypes!$C$11*(IF(S17&lt;0,1+Assumptions!$B$32*MIN(1,ABS(S17)/ABS(Assumptions!$B$21)),MAX(0.1,1-Assumptions!$B$31*(S17/50)))))*W17*Archetypes!$C$15*Archetypes!$C$22)*(Archetypes!$C$13*IF(S17&lt;0,1-Assumptions!$B$33*MIN(1,ABS(S17)/ABS(Assumptions!$B$21)),1))*5*Assumptions!$B$18))*IF(S17&lt;0,Assumptions!$B$9,1)))*$E17</f>
        <v>846.86370211438805</v>
      </c>
      <c r="AB17" s="18">
        <f>(AB16)+(AA17)-(MAX(0,((AB16)+(AA17)-(AC17)))*(IF(Archetypes!$C$27="",Assumptions!$B$11,Archetypes!$C$27)))</f>
        <v>2741.5750013416564</v>
      </c>
      <c r="AC17" s="18">
        <f>Archetypes!$C$33</f>
        <v>90.34</v>
      </c>
      <c r="AD17" s="18">
        <f t="shared" si="5"/>
        <v>2651.2350013416562</v>
      </c>
      <c r="AF17" s="18">
        <f t="shared" si="10"/>
        <v>47.953002979047156</v>
      </c>
      <c r="AG17" s="18">
        <f>MAX(Assumptions!$B$21,(AF17)+(AH17))</f>
        <v>49.657226653960301</v>
      </c>
      <c r="AH17" s="18">
        <f>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$15)*Assumptions!$B$22+((Archetypes!$D$11*(IF(AF17&lt;0,1+Assumptions!$B$32*MIN(1,ABS(AF17)/ABS(Assumptions!$B$21)),MAX(0.1,1-Assumptions!$B$31*(AF17/50)))))*AJ17*Archetypes!$D$15*Archetypes!$D$22)*Assumptions!$B$23+(Archetypes!$D$11*(IF(AF17&lt;0,1+Assumptions!$B$32*MIN(1,ABS(AF17)/ABS(Assumptions!$B$21)),MAX(0.1,1-Assumptions!$B$31*(AF17/50)))))*Assumptions!$B$24+-((Archetypes!$D$11*(IF(AF17&lt;0,1+Assumptions!$B$32*MIN(1,ABS(AF17)/ABS(Assumptions!$B$21)),MAX(0.1,1-Assumptions!$B$31*(AF17/50)))))*Archetypes!$D$16)*(Assumptions!$B$27*(1+Assumptions!$B$28*Archetypes!$D$14)/(1+Assumptions!$B$29*Archetypes!$D$12))+-(Archetypes!$D$11*(IF(AF17&lt;0,1+Assumptions!$B$32*MIN(1,ABS(AF17)/ABS(Assumptions!$B$21)),MAX(0.1,1-Assumptions!$B$31*(AF17/50)))))*Archetypes!$D$17*((Archetypes!$D$31)/100)*Assumptions!$B$30+-Assumptions!$B$25*Assumptions!$B$26)*$E17</f>
        <v>1.7042236749131434</v>
      </c>
      <c r="AI17" s="18">
        <f>(Archetypes!$D$11*(IF(AF17&lt;0,1+Assumptions!$B$32*MIN(1,ABS(AF17)/ABS(Assumptions!$B$21)),MAX(0.1,1-Assumptions!$B$31*(AF17/50)))))*$E17</f>
        <v>1.2736918927543024</v>
      </c>
      <c r="AJ17" s="19">
        <f>Archetypes!$D$30</f>
        <v>0.10400000000000001</v>
      </c>
      <c r="AK17" s="18">
        <f t="shared" si="6"/>
        <v>0.13246395684644746</v>
      </c>
      <c r="AL17" s="18">
        <f>((AI17-AK17)*Archetypes!$D$15)+(AK17*Archetypes!$D$15*Archetypes!$D$22)</f>
        <v>1.9900162132393222</v>
      </c>
      <c r="AM17" s="18">
        <f>AI17*Archetypes!$D$16</f>
        <v>0.25473837855086051</v>
      </c>
      <c r="AN17" s="18">
        <f>(IF(AF17&lt;0,Assumptions!$B$8,IF(AF17&lt;10,Assumptions!$B$34,IF(AF17&lt;25,Assumptions!$B$35,Assumptions!$B$36))))*((((Archetypes!$D$5*Assumptions!$B$4+Archetypes!$D$6*Assumptions!$B$5)*60))+(Assumptions!$B$6*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$20)+((Archetypes!$D$11*(IF(AF17&lt;0,1+Assumptions!$B$32*MIN(1,ABS(AF17)/ABS(Assumptions!$B$21)),MAX(0.1,1-Assumptions!$B$31*(AF17/50)))))*AJ17*Archetypes!$D$20*Archetypes!$D$21)*Assumptions!$B$18)*(IF($D17=1,1,Assumptions!$B$7)))+((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$15)*(Archetypes!$D$13*IF(AF17&lt;0,1-Assumptions!$B$33*MIN(1,ABS(AF17)/ABS(Assumptions!$B$21)),1))*5)+(((Archetypes!$D$11*(IF(AF17&lt;0,1+Assumptions!$B$32*MIN(1,ABS(AF17)/ABS(Assumptions!$B$21)),MAX(0.1,1-Assumptions!$B$31*(AF17/50)))))*AJ17*Archetypes!$D$15*Archetypes!$D$22)*(Archetypes!$D$13*IF(AF17&lt;0,1-Assumptions!$B$33*MIN(1,ABS(AF17)/ABS(Assumptions!$B$21)),1))*5*Assumptions!$B$18))*IF(AF17&lt;0,Assumptions!$B$9,1)))*$E17</f>
        <v>1379.3894653034035</v>
      </c>
      <c r="AO17" s="18">
        <f>(AO16)+(AN17)-(MAX(0,((AO16)+(AN17)-(AP17)))*(IF(Archetypes!$D$27="",Assumptions!$B$11,Archetypes!$D$27)))</f>
        <v>3511.6656884917093</v>
      </c>
      <c r="AP17" s="18">
        <f>Archetypes!$D$33</f>
        <v>201.32916645159378</v>
      </c>
      <c r="AQ17" s="18">
        <f t="shared" si="7"/>
        <v>3310.3365220401156</v>
      </c>
    </row>
    <row r="18" spans="1:43" x14ac:dyDescent="0.25">
      <c r="A18" s="14">
        <v>14</v>
      </c>
      <c r="B18" s="14">
        <f t="shared" si="0"/>
        <v>1</v>
      </c>
      <c r="C18" s="14">
        <f t="shared" si="1"/>
        <v>14</v>
      </c>
      <c r="D18" s="15">
        <f>IF(C18&lt;Assumptions!$B$10,1,0)</f>
        <v>0</v>
      </c>
      <c r="E18" s="15">
        <v>1</v>
      </c>
      <c r="F18" s="18">
        <f t="shared" si="8"/>
        <v>60.605722958209228</v>
      </c>
      <c r="G18" s="18">
        <f>MAX(Assumptions!$B$21,(F18)+(H18))</f>
        <v>62.550626807970069</v>
      </c>
      <c r="H18" s="18">
        <f>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$15)*Assumptions!$B$22+((Archetypes!$B$11*(IF(F18&lt;0,1+Assumptions!$B$32*MIN(1,ABS(F18)/ABS(Assumptions!$B$21)),MAX(0.1,1-Assumptions!$B$31*(F18/50)))))*J18*Archetypes!$B$15*Archetypes!$B$22)*Assumptions!$B$23+(Archetypes!$B$11*(IF(F18&lt;0,1+Assumptions!$B$32*MIN(1,ABS(F18)/ABS(Assumptions!$B$21)),MAX(0.1,1-Assumptions!$B$31*(F18/50)))))*Assumptions!$B$24+-((Archetypes!$B$11*(IF(F18&lt;0,1+Assumptions!$B$32*MIN(1,ABS(F18)/ABS(Assumptions!$B$21)),MAX(0.1,1-Assumptions!$B$31*(F18/50)))))*Archetypes!$B$16)*(Assumptions!$B$27*(1+Assumptions!$B$28*Archetypes!$B$14)/(1+Assumptions!$B$29*Archetypes!$B$12))+-(Archetypes!$B$11*(IF(F18&lt;0,1+Assumptions!$B$32*MIN(1,ABS(F18)/ABS(Assumptions!$B$21)),MAX(0.1,1-Assumptions!$B$31*(F18/50)))))*Archetypes!$B$17*((Archetypes!$B$31)/100)*Assumptions!$B$30+-Assumptions!$B$25*Assumptions!$B$26)*$E18</f>
        <v>1.9449038497608391</v>
      </c>
      <c r="I18" s="18">
        <f>(Archetypes!$B$11*(IF(F18&lt;0,1+Assumptions!$B$32*MIN(1,ABS(F18)/ABS(Assumptions!$B$21)),MAX(0.1,1-Assumptions!$B$31*(F18/50)))))*$E18</f>
        <v>2.7273132450148929</v>
      </c>
      <c r="J18" s="19">
        <f>Archetypes!$B$30</f>
        <v>2.1999999999999999E-2</v>
      </c>
      <c r="K18" s="18">
        <f t="shared" si="2"/>
        <v>6.0000891390327639E-2</v>
      </c>
      <c r="L18" s="18">
        <f>((I18-K18)*Archetypes!$B$15)+(K18*Archetypes!$B$15*Archetypes!$B$22)</f>
        <v>0.27393134232929583</v>
      </c>
      <c r="M18" s="18">
        <f>I18*Archetypes!$B$16</f>
        <v>2.0454849337611698</v>
      </c>
      <c r="N18" s="18">
        <f>(IF(F18&lt;0,Assumptions!$B$8,IF(F18&lt;10,Assumptions!$B$34,IF(F18&lt;25,Assumptions!$B$35,Assumptions!$B$36))))*((((Archetypes!$B$5*Assumptions!$B$4+Archetypes!$B$6*Assumptions!$B$5)*60))+(Assumptions!$B$6*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$20)+((Archetypes!$B$11*(IF(F18&lt;0,1+Assumptions!$B$32*MIN(1,ABS(F18)/ABS(Assumptions!$B$21)),MAX(0.1,1-Assumptions!$B$31*(F18/50)))))*J18*Archetypes!$B$20*Archetypes!$B$21)*Assumptions!$B$18)*(IF($D18=1,1,Assumptions!$B$7)))+((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$15)*(Archetypes!$B$13*IF(F18&lt;0,1-Assumptions!$B$33*MIN(1,ABS(F18)/ABS(Assumptions!$B$21)),1))*5)+(((Archetypes!$B$11*(IF(F18&lt;0,1+Assumptions!$B$32*MIN(1,ABS(F18)/ABS(Assumptions!$B$21)),MAX(0.1,1-Assumptions!$B$31*(F18/50)))))*J18*Archetypes!$B$15*Archetypes!$B$22)*(Archetypes!$B$13*IF(F18&lt;0,1-Assumptions!$B$33*MIN(1,ABS(F18)/ABS(Assumptions!$B$21)),1))*5*Assumptions!$B$18))*IF(F18&lt;0,Assumptions!$B$9,1)))*$E18</f>
        <v>237.41552682837647</v>
      </c>
      <c r="O18" s="18">
        <f>(O17)+(N18)-(MAX(0,((O17)+(N18)-(P18)))*(IF(Archetypes!$B$27="",Assumptions!$B$11,Archetypes!$B$27)))</f>
        <v>1110.0050287079002</v>
      </c>
      <c r="P18" s="18">
        <f>Archetypes!$B$33</f>
        <v>25.423199999999998</v>
      </c>
      <c r="Q18" s="18">
        <f t="shared" si="3"/>
        <v>1084.5818287079003</v>
      </c>
      <c r="S18" s="18">
        <f t="shared" si="9"/>
        <v>52.512225291167404</v>
      </c>
      <c r="T18" s="18">
        <f>MAX(Assumptions!$B$21,(S18)+(U18))</f>
        <v>54.443474328502958</v>
      </c>
      <c r="U18" s="18">
        <f>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$15)*Assumptions!$B$22+((Archetypes!$C$11*(IF(S18&lt;0,1+Assumptions!$B$32*MIN(1,ABS(S18)/ABS(Assumptions!$B$21)),MAX(0.1,1-Assumptions!$B$31*(S18/50)))))*W18*Archetypes!$C$15*Archetypes!$C$22)*Assumptions!$B$23+(Archetypes!$C$11*(IF(S18&lt;0,1+Assumptions!$B$32*MIN(1,ABS(S18)/ABS(Assumptions!$B$21)),MAX(0.1,1-Assumptions!$B$31*(S18/50)))))*Assumptions!$B$24+-((Archetypes!$C$11*(IF(S18&lt;0,1+Assumptions!$B$32*MIN(1,ABS(S18)/ABS(Assumptions!$B$21)),MAX(0.1,1-Assumptions!$B$31*(S18/50)))))*Archetypes!$C$16)*(Assumptions!$B$27*(1+Assumptions!$B$28*Archetypes!$C$14)/(1+Assumptions!$B$29*Archetypes!$C$12))+-(Archetypes!$C$11*(IF(S18&lt;0,1+Assumptions!$B$32*MIN(1,ABS(S18)/ABS(Assumptions!$B$21)),MAX(0.1,1-Assumptions!$B$31*(S18/50)))))*Archetypes!$C$17*((Archetypes!$C$31)/100)*Assumptions!$B$30+-Assumptions!$B$25*Assumptions!$B$26)*$E18</f>
        <v>1.9312490373355562</v>
      </c>
      <c r="V18" s="18">
        <f>(Archetypes!$C$11*(IF(S18&lt;0,1+Assumptions!$B$32*MIN(1,ABS(S18)/ABS(Assumptions!$B$21)),MAX(0.1,1-Assumptions!$B$31*(S18/50)))))*$E18</f>
        <v>2.2191197790359469</v>
      </c>
      <c r="W18" s="19">
        <f>Archetypes!$C$30</f>
        <v>3.7999999999999999E-2</v>
      </c>
      <c r="X18" s="18">
        <f t="shared" si="4"/>
        <v>8.4326551603365982E-2</v>
      </c>
      <c r="Y18" s="18">
        <f>((V18-X18)*Archetypes!$C$15)+(X18*Archetypes!$C$15*Archetypes!$C$22)</f>
        <v>1.1222088722584784</v>
      </c>
      <c r="Z18" s="18">
        <f>V18*Archetypes!$C$16</f>
        <v>0.99860390056617609</v>
      </c>
      <c r="AA18" s="18">
        <f>(IF(S18&lt;0,Assumptions!$B$8,IF(S18&lt;10,Assumptions!$B$34,IF(S18&lt;25,Assumptions!$B$35,Assumptions!$B$36))))*((((Archetypes!$C$5*Assumptions!$B$4+Archetypes!$C$6*Assumptions!$B$5)*60))+(Assumptions!$B$6*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$20)+((Archetypes!$C$11*(IF(S18&lt;0,1+Assumptions!$B$32*MIN(1,ABS(S18)/ABS(Assumptions!$B$21)),MAX(0.1,1-Assumptions!$B$31*(S18/50)))))*W18*Archetypes!$C$20*Archetypes!$C$21)*Assumptions!$B$18)*(IF($D18=1,1,Assumptions!$B$7)))+((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$15)*(Archetypes!$C$13*IF(S18&lt;0,1-Assumptions!$B$33*MIN(1,ABS(S18)/ABS(Assumptions!$B$21)),1))*5)+(((Archetypes!$C$11*(IF(S18&lt;0,1+Assumptions!$B$32*MIN(1,ABS(S18)/ABS(Assumptions!$B$21)),MAX(0.1,1-Assumptions!$B$31*(S18/50)))))*W18*Archetypes!$C$15*Archetypes!$C$22)*(Archetypes!$C$13*IF(S18&lt;0,1-Assumptions!$B$33*MIN(1,ABS(S18)/ABS(Assumptions!$B$21)),1))*5*Assumptions!$B$18))*IF(S18&lt;0,Assumptions!$B$9,1)))*$E18</f>
        <v>835.2864680209475</v>
      </c>
      <c r="AB18" s="18">
        <f>(AB17)+(AA18)-(MAX(0,((AB17)+(AA18)-(AC18)))*(IF(Archetypes!$C$27="",Assumptions!$B$11,Archetypes!$C$27)))</f>
        <v>2705.2311020219531</v>
      </c>
      <c r="AC18" s="18">
        <f>Archetypes!$C$33</f>
        <v>90.34</v>
      </c>
      <c r="AD18" s="18">
        <f t="shared" si="5"/>
        <v>2614.891102021953</v>
      </c>
      <c r="AF18" s="18">
        <f t="shared" si="10"/>
        <v>49.657226653960301</v>
      </c>
      <c r="AG18" s="18">
        <f>MAX(Assumptions!$B$21,(AF18)+(AH18))</f>
        <v>51.272134829167022</v>
      </c>
      <c r="AH18" s="18">
        <f>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$15)*Assumptions!$B$22+((Archetypes!$D$11*(IF(AF18&lt;0,1+Assumptions!$B$32*MIN(1,ABS(AF18)/ABS(Assumptions!$B$21)),MAX(0.1,1-Assumptions!$B$31*(AF18/50)))))*AJ18*Archetypes!$D$15*Archetypes!$D$22)*Assumptions!$B$23+(Archetypes!$D$11*(IF(AF18&lt;0,1+Assumptions!$B$32*MIN(1,ABS(AF18)/ABS(Assumptions!$B$21)),MAX(0.1,1-Assumptions!$B$31*(AF18/50)))))*Assumptions!$B$24+-((Archetypes!$D$11*(IF(AF18&lt;0,1+Assumptions!$B$32*MIN(1,ABS(AF18)/ABS(Assumptions!$B$21)),MAX(0.1,1-Assumptions!$B$31*(AF18/50)))))*Archetypes!$D$16)*(Assumptions!$B$27*(1+Assumptions!$B$28*Archetypes!$D$14)/(1+Assumptions!$B$29*Archetypes!$D$12))+-(Archetypes!$D$11*(IF(AF18&lt;0,1+Assumptions!$B$32*MIN(1,ABS(AF18)/ABS(Assumptions!$B$21)),MAX(0.1,1-Assumptions!$B$31*(AF18/50)))))*Archetypes!$D$17*((Archetypes!$D$31)/100)*Assumptions!$B$30+-Assumptions!$B$25*Assumptions!$B$26)*$E18</f>
        <v>1.6149081752067187</v>
      </c>
      <c r="AI18" s="18">
        <f>(Archetypes!$D$11*(IF(AF18&lt;0,1+Assumptions!$B$32*MIN(1,ABS(AF18)/ABS(Assumptions!$B$21)),MAX(0.1,1-Assumptions!$B$31*(AF18/50)))))*$E18</f>
        <v>1.212339840457429</v>
      </c>
      <c r="AJ18" s="19">
        <f>Archetypes!$D$30</f>
        <v>0.10400000000000001</v>
      </c>
      <c r="AK18" s="18">
        <f t="shared" si="6"/>
        <v>0.12608334340757263</v>
      </c>
      <c r="AL18" s="18">
        <f>((AI18-AK18)*Archetypes!$D$15)+(AK18*Archetypes!$D$15*Archetypes!$D$22)</f>
        <v>1.8941597667306871</v>
      </c>
      <c r="AM18" s="18">
        <f>AI18*Archetypes!$D$16</f>
        <v>0.24246796809148582</v>
      </c>
      <c r="AN18" s="18">
        <f>(IF(AF18&lt;0,Assumptions!$B$8,IF(AF18&lt;10,Assumptions!$B$34,IF(AF18&lt;25,Assumptions!$B$35,Assumptions!$B$36))))*((((Archetypes!$D$5*Assumptions!$B$4+Archetypes!$D$6*Assumptions!$B$5)*60))+(Assumptions!$B$6*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$20)+((Archetypes!$D$11*(IF(AF18&lt;0,1+Assumptions!$B$32*MIN(1,ABS(AF18)/ABS(Assumptions!$B$21)),MAX(0.1,1-Assumptions!$B$31*(AF18/50)))))*AJ18*Archetypes!$D$20*Archetypes!$D$21)*Assumptions!$B$18)*(IF($D18=1,1,Assumptions!$B$7)))+((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$15)*(Archetypes!$D$13*IF(AF18&lt;0,1-Assumptions!$B$33*MIN(1,ABS(AF18)/ABS(Assumptions!$B$21)),1))*5)+(((Archetypes!$D$11*(IF(AF18&lt;0,1+Assumptions!$B$32*MIN(1,ABS(AF18)/ABS(Assumptions!$B$21)),MAX(0.1,1-Assumptions!$B$31*(AF18/50)))))*AJ18*Archetypes!$D$15*Archetypes!$D$22)*(Archetypes!$D$13*IF(AF18&lt;0,1-Assumptions!$B$33*MIN(1,ABS(AF18)/ABS(Assumptions!$B$21)),1))*5*Assumptions!$B$18))*IF(AF18&lt;0,Assumptions!$B$9,1)))*$E18</f>
        <v>1364.5347530211536</v>
      </c>
      <c r="AO18" s="18">
        <f>(AO17)+(AN18)-(MAX(0,((AO17)+(AN18)-(AP18)))*(IF(Archetypes!$D$27="",Assumptions!$B$11,Archetypes!$D$27)))</f>
        <v>3473.7390589944825</v>
      </c>
      <c r="AP18" s="18">
        <f>Archetypes!$D$33</f>
        <v>201.32916645159378</v>
      </c>
      <c r="AQ18" s="18">
        <f t="shared" si="7"/>
        <v>3272.4098925428889</v>
      </c>
    </row>
    <row r="19" spans="1:43" x14ac:dyDescent="0.25">
      <c r="A19" s="14">
        <v>15</v>
      </c>
      <c r="B19" s="14">
        <f t="shared" si="0"/>
        <v>1</v>
      </c>
      <c r="C19" s="14">
        <f t="shared" si="1"/>
        <v>15</v>
      </c>
      <c r="D19" s="15">
        <f>IF(C19&lt;Assumptions!$B$10,1,0)</f>
        <v>0</v>
      </c>
      <c r="E19" s="15">
        <v>1</v>
      </c>
      <c r="F19" s="18">
        <f t="shared" si="8"/>
        <v>62.550626807970069</v>
      </c>
      <c r="G19" s="18">
        <f>MAX(Assumptions!$B$21,(F19)+(H19))</f>
        <v>64.316260312321518</v>
      </c>
      <c r="H19" s="18">
        <f>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$15)*Assumptions!$B$22+((Archetypes!$B$11*(IF(F19&lt;0,1+Assumptions!$B$32*MIN(1,ABS(F19)/ABS(Assumptions!$B$21)),MAX(0.1,1-Assumptions!$B$31*(F19/50)))))*J19*Archetypes!$B$15*Archetypes!$B$22)*Assumptions!$B$23+(Archetypes!$B$11*(IF(F19&lt;0,1+Assumptions!$B$32*MIN(1,ABS(F19)/ABS(Assumptions!$B$21)),MAX(0.1,1-Assumptions!$B$31*(F19/50)))))*Assumptions!$B$24+-((Archetypes!$B$11*(IF(F19&lt;0,1+Assumptions!$B$32*MIN(1,ABS(F19)/ABS(Assumptions!$B$21)),MAX(0.1,1-Assumptions!$B$31*(F19/50)))))*Archetypes!$B$16)*(Assumptions!$B$27*(1+Assumptions!$B$28*Archetypes!$B$14)/(1+Assumptions!$B$29*Archetypes!$B$12))+-(Archetypes!$B$11*(IF(F19&lt;0,1+Assumptions!$B$32*MIN(1,ABS(F19)/ABS(Assumptions!$B$21)),MAX(0.1,1-Assumptions!$B$31*(F19/50)))))*Archetypes!$B$17*((Archetypes!$B$31)/100)*Assumptions!$B$30+-Assumptions!$B$25*Assumptions!$B$26)*$E19</f>
        <v>1.7656335043514433</v>
      </c>
      <c r="I19" s="18">
        <f>(Archetypes!$B$11*(IF(F19&lt;0,1+Assumptions!$B$32*MIN(1,ABS(F19)/ABS(Assumptions!$B$21)),MAX(0.1,1-Assumptions!$B$31*(F19/50)))))*$E19</f>
        <v>2.4939247830435916</v>
      </c>
      <c r="J19" s="19">
        <f>Archetypes!$B$30</f>
        <v>2.1999999999999999E-2</v>
      </c>
      <c r="K19" s="18">
        <f t="shared" si="2"/>
        <v>5.4866345226959011E-2</v>
      </c>
      <c r="L19" s="18">
        <f>((I19-K19)*Archetypes!$B$15)+(K19*Archetypes!$B$15*Archetypes!$B$22)</f>
        <v>0.25048980520889835</v>
      </c>
      <c r="M19" s="18">
        <f>I19*Archetypes!$B$16</f>
        <v>1.8704435872826937</v>
      </c>
      <c r="N19" s="18">
        <f>(IF(F19&lt;0,Assumptions!$B$8,IF(F19&lt;10,Assumptions!$B$34,IF(F19&lt;25,Assumptions!$B$35,Assumptions!$B$36))))*((((Archetypes!$B$5*Assumptions!$B$4+Archetypes!$B$6*Assumptions!$B$5)*60))+(Assumptions!$B$6*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$20)+((Archetypes!$B$11*(IF(F19&lt;0,1+Assumptions!$B$32*MIN(1,ABS(F19)/ABS(Assumptions!$B$21)),MAX(0.1,1-Assumptions!$B$31*(F19/50)))))*J19*Archetypes!$B$20*Archetypes!$B$21)*Assumptions!$B$18)*(IF($D19=1,1,Assumptions!$B$7)))+((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$15)*(Archetypes!$B$13*IF(F19&lt;0,1-Assumptions!$B$33*MIN(1,ABS(F19)/ABS(Assumptions!$B$21)),1))*5)+(((Archetypes!$B$11*(IF(F19&lt;0,1+Assumptions!$B$32*MIN(1,ABS(F19)/ABS(Assumptions!$B$21)),MAX(0.1,1-Assumptions!$B$31*(F19/50)))))*J19*Archetypes!$B$15*Archetypes!$B$22)*(Archetypes!$B$13*IF(F19&lt;0,1-Assumptions!$B$33*MIN(1,ABS(F19)/ABS(Assumptions!$B$21)),1))*5*Assumptions!$B$18))*IF(F19&lt;0,Assumptions!$B$9,1)))*$E19</f>
        <v>230.19171049228692</v>
      </c>
      <c r="O19" s="18">
        <f>(O18)+(N19)-(MAX(0,((O18)+(N19)-(P19)))*(IF(Archetypes!$B$27="",Assumptions!$B$11,Archetypes!$B$27)))</f>
        <v>1077.2420313601497</v>
      </c>
      <c r="P19" s="18">
        <f>Archetypes!$B$33</f>
        <v>25.423199999999998</v>
      </c>
      <c r="Q19" s="18">
        <f t="shared" si="3"/>
        <v>1051.8188313601497</v>
      </c>
      <c r="S19" s="18">
        <f t="shared" si="9"/>
        <v>54.443474328502958</v>
      </c>
      <c r="T19" s="18">
        <f>MAX(Assumptions!$B$21,(S19)+(U19))</f>
        <v>56.244312408701255</v>
      </c>
      <c r="U19" s="18">
        <f>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$15)*Assumptions!$B$22+((Archetypes!$C$11*(IF(S19&lt;0,1+Assumptions!$B$32*MIN(1,ABS(S19)/ABS(Assumptions!$B$21)),MAX(0.1,1-Assumptions!$B$31*(S19/50)))))*W19*Archetypes!$C$15*Archetypes!$C$22)*Assumptions!$B$23+(Archetypes!$C$11*(IF(S19&lt;0,1+Assumptions!$B$32*MIN(1,ABS(S19)/ABS(Assumptions!$B$21)),MAX(0.1,1-Assumptions!$B$31*(S19/50)))))*Assumptions!$B$24+-((Archetypes!$C$11*(IF(S19&lt;0,1+Assumptions!$B$32*MIN(1,ABS(S19)/ABS(Assumptions!$B$21)),MAX(0.1,1-Assumptions!$B$31*(S19/50)))))*Archetypes!$C$16)*(Assumptions!$B$27*(1+Assumptions!$B$28*Archetypes!$C$14)/(1+Assumptions!$B$29*Archetypes!$C$12))+-(Archetypes!$C$11*(IF(S19&lt;0,1+Assumptions!$B$32*MIN(1,ABS(S19)/ABS(Assumptions!$B$21)),MAX(0.1,1-Assumptions!$B$31*(S19/50)))))*Archetypes!$C$17*((Archetypes!$C$31)/100)*Assumptions!$B$30+-Assumptions!$B$25*Assumptions!$B$26)*$E19</f>
        <v>1.8008380801982939</v>
      </c>
      <c r="V19" s="18">
        <f>(Archetypes!$C$11*(IF(S19&lt;0,1+Assumptions!$B$32*MIN(1,ABS(S19)/ABS(Assumptions!$B$21)),MAX(0.1,1-Assumptions!$B$31*(S19/50)))))*$E19</f>
        <v>2.0800698483477871</v>
      </c>
      <c r="W19" s="19">
        <f>Archetypes!$C$30</f>
        <v>3.7999999999999999E-2</v>
      </c>
      <c r="X19" s="18">
        <f t="shared" si="4"/>
        <v>7.9042654237215904E-2</v>
      </c>
      <c r="Y19" s="18">
        <f>((V19-X19)*Archetypes!$C$15)+(X19*Archetypes!$C$15*Archetypes!$C$22)</f>
        <v>1.0518913223094759</v>
      </c>
      <c r="Z19" s="18">
        <f>V19*Archetypes!$C$16</f>
        <v>0.93603143175650416</v>
      </c>
      <c r="AA19" s="18">
        <f>(IF(S19&lt;0,Assumptions!$B$8,IF(S19&lt;10,Assumptions!$B$34,IF(S19&lt;25,Assumptions!$B$35,Assumptions!$B$36))))*((((Archetypes!$C$5*Assumptions!$B$4+Archetypes!$C$6*Assumptions!$B$5)*60))+(Assumptions!$B$6*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$20)+((Archetypes!$C$11*(IF(S19&lt;0,1+Assumptions!$B$32*MIN(1,ABS(S19)/ABS(Assumptions!$B$21)),MAX(0.1,1-Assumptions!$B$31*(S19/50)))))*W19*Archetypes!$C$20*Archetypes!$C$21)*Assumptions!$B$18)*(IF($D19=1,1,Assumptions!$B$7)))+((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$15)*(Archetypes!$C$13*IF(S19&lt;0,1-Assumptions!$B$33*MIN(1,ABS(S19)/ABS(Assumptions!$B$21)),1))*5)+(((Archetypes!$C$11*(IF(S19&lt;0,1+Assumptions!$B$32*MIN(1,ABS(S19)/ABS(Assumptions!$B$21)),MAX(0.1,1-Assumptions!$B$31*(S19/50)))))*W19*Archetypes!$C$15*Archetypes!$C$22)*(Archetypes!$C$13*IF(S19&lt;0,1-Assumptions!$B$33*MIN(1,ABS(S19)/ABS(Assumptions!$B$21)),1))*5*Assumptions!$B$18))*IF(S19&lt;0,Assumptions!$B$9,1)))*$E19</f>
        <v>824.49100683713175</v>
      </c>
      <c r="AB19" s="18">
        <f>(AB18)+(AA19)-(MAX(0,((AB18)+(AA19)-(AC19)))*(IF(Archetypes!$C$27="",Assumptions!$B$11,Archetypes!$C$27)))</f>
        <v>2669.8765816443138</v>
      </c>
      <c r="AC19" s="18">
        <f>Archetypes!$C$33</f>
        <v>90.34</v>
      </c>
      <c r="AD19" s="18">
        <f t="shared" si="5"/>
        <v>2579.5365816443136</v>
      </c>
      <c r="AF19" s="18">
        <f t="shared" si="10"/>
        <v>51.272134829167022</v>
      </c>
      <c r="AG19" s="18">
        <f>MAX(Assumptions!$B$21,(AF19)+(AH19))</f>
        <v>52.802408379956894</v>
      </c>
      <c r="AH19" s="18">
        <f>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$15)*Assumptions!$B$22+((Archetypes!$D$11*(IF(AF19&lt;0,1+Assumptions!$B$32*MIN(1,ABS(AF19)/ABS(Assumptions!$B$21)),MAX(0.1,1-Assumptions!$B$31*(AF19/50)))))*AJ19*Archetypes!$D$15*Archetypes!$D$22)*Assumptions!$B$23+(Archetypes!$D$11*(IF(AF19&lt;0,1+Assumptions!$B$32*MIN(1,ABS(AF19)/ABS(Assumptions!$B$21)),MAX(0.1,1-Assumptions!$B$31*(AF19/50)))))*Assumptions!$B$24+-((Archetypes!$D$11*(IF(AF19&lt;0,1+Assumptions!$B$32*MIN(1,ABS(AF19)/ABS(Assumptions!$B$21)),MAX(0.1,1-Assumptions!$B$31*(AF19/50)))))*Archetypes!$D$16)*(Assumptions!$B$27*(1+Assumptions!$B$28*Archetypes!$D$14)/(1+Assumptions!$B$29*Archetypes!$D$12))+-(Archetypes!$D$11*(IF(AF19&lt;0,1+Assumptions!$B$32*MIN(1,ABS(AF19)/ABS(Assumptions!$B$21)),MAX(0.1,1-Assumptions!$B$31*(AF19/50)))))*Archetypes!$D$17*((Archetypes!$D$31)/100)*Assumptions!$B$30+-Assumptions!$B$25*Assumptions!$B$26)*$E19</f>
        <v>1.5302735507898693</v>
      </c>
      <c r="AI19" s="18">
        <f>(Archetypes!$D$11*(IF(AF19&lt;0,1+Assumptions!$B$32*MIN(1,ABS(AF19)/ABS(Assumptions!$B$21)),MAX(0.1,1-Assumptions!$B$31*(AF19/50)))))*$E19</f>
        <v>1.1542031461499871</v>
      </c>
      <c r="AJ19" s="19">
        <f>Archetypes!$D$30</f>
        <v>0.10400000000000001</v>
      </c>
      <c r="AK19" s="18">
        <f t="shared" si="6"/>
        <v>0.12003712719959866</v>
      </c>
      <c r="AL19" s="18">
        <f>((AI19-AK19)*Archetypes!$D$15)+(AK19*Archetypes!$D$15*Archetypes!$D$22)</f>
        <v>1.8033269955447397</v>
      </c>
      <c r="AM19" s="18">
        <f>AI19*Archetypes!$D$16</f>
        <v>0.23084062922999743</v>
      </c>
      <c r="AN19" s="18">
        <f>(IF(AF19&lt;0,Assumptions!$B$8,IF(AF19&lt;10,Assumptions!$B$34,IF(AF19&lt;25,Assumptions!$B$35,Assumptions!$B$36))))*((((Archetypes!$D$5*Assumptions!$B$4+Archetypes!$D$6*Assumptions!$B$5)*60))+(Assumptions!$B$6*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$20)+((Archetypes!$D$11*(IF(AF19&lt;0,1+Assumptions!$B$32*MIN(1,ABS(AF19)/ABS(Assumptions!$B$21)),MAX(0.1,1-Assumptions!$B$31*(AF19/50)))))*AJ19*Archetypes!$D$20*Archetypes!$D$21)*Assumptions!$B$18)*(IF($D19=1,1,Assumptions!$B$7)))+((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$15)*(Archetypes!$D$13*IF(AF19&lt;0,1-Assumptions!$B$33*MIN(1,ABS(AF19)/ABS(Assumptions!$B$21)),1))*5)+(((Archetypes!$D$11*(IF(AF19&lt;0,1+Assumptions!$B$32*MIN(1,ABS(AF19)/ABS(Assumptions!$B$21)),MAX(0.1,1-Assumptions!$B$31*(AF19/50)))))*AJ19*Archetypes!$D$15*Archetypes!$D$22)*(Archetypes!$D$13*IF(AF19&lt;0,1-Assumptions!$B$33*MIN(1,ABS(AF19)/ABS(Assumptions!$B$21)),1))*5*Assumptions!$B$18))*IF(AF19&lt;0,Assumptions!$B$9,1)))*$E19</f>
        <v>1350.4585512537001</v>
      </c>
      <c r="AO19" s="18">
        <f>(AO18)+(AN19)-(MAX(0,((AO18)+(AN19)-(AP19)))*(IF(Archetypes!$D$27="",Assumptions!$B$11,Archetypes!$D$27)))</f>
        <v>3437.3370771092059</v>
      </c>
      <c r="AP19" s="18">
        <f>Archetypes!$D$33</f>
        <v>201.32916645159378</v>
      </c>
      <c r="AQ19" s="18">
        <f t="shared" si="7"/>
        <v>3236.0079106576122</v>
      </c>
    </row>
    <row r="20" spans="1:43" x14ac:dyDescent="0.25">
      <c r="A20" s="14">
        <v>16</v>
      </c>
      <c r="B20" s="14">
        <f t="shared" si="0"/>
        <v>1</v>
      </c>
      <c r="C20" s="14">
        <f t="shared" si="1"/>
        <v>16</v>
      </c>
      <c r="D20" s="15">
        <f>IF(C20&lt;Assumptions!$B$10,1,0)</f>
        <v>0</v>
      </c>
      <c r="E20" s="15">
        <v>1</v>
      </c>
      <c r="F20" s="18">
        <f t="shared" si="8"/>
        <v>64.316260312321518</v>
      </c>
      <c r="G20" s="18">
        <f>MAX(Assumptions!$B$21,(F20)+(H20))</f>
        <v>65.919147607789469</v>
      </c>
      <c r="H20" s="18">
        <f>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$15)*Assumptions!$B$22+((Archetypes!$B$11*(IF(F20&lt;0,1+Assumptions!$B$32*MIN(1,ABS(F20)/ABS(Assumptions!$B$21)),MAX(0.1,1-Assumptions!$B$31*(F20/50)))))*J20*Archetypes!$B$15*Archetypes!$B$22)*Assumptions!$B$23+(Archetypes!$B$11*(IF(F20&lt;0,1+Assumptions!$B$32*MIN(1,ABS(F20)/ABS(Assumptions!$B$21)),MAX(0.1,1-Assumptions!$B$31*(F20/50)))))*Assumptions!$B$24+-((Archetypes!$B$11*(IF(F20&lt;0,1+Assumptions!$B$32*MIN(1,ABS(F20)/ABS(Assumptions!$B$21)),MAX(0.1,1-Assumptions!$B$31*(F20/50)))))*Archetypes!$B$16)*(Assumptions!$B$27*(1+Assumptions!$B$28*Archetypes!$B$14)/(1+Assumptions!$B$29*Archetypes!$B$12))+-(Archetypes!$B$11*(IF(F20&lt;0,1+Assumptions!$B$32*MIN(1,ABS(F20)/ABS(Assumptions!$B$21)),MAX(0.1,1-Assumptions!$B$31*(F20/50)))))*Archetypes!$B$17*((Archetypes!$B$31)/100)*Assumptions!$B$30+-Assumptions!$B$25*Assumptions!$B$26)*$E20</f>
        <v>1.6028872954679518</v>
      </c>
      <c r="I20" s="18">
        <f>(Archetypes!$B$11*(IF(F20&lt;0,1+Assumptions!$B$32*MIN(1,ABS(F20)/ABS(Assumptions!$B$21)),MAX(0.1,1-Assumptions!$B$31*(F20/50)))))*$E20</f>
        <v>2.2820487625214181</v>
      </c>
      <c r="J20" s="19">
        <f>Archetypes!$B$30</f>
        <v>2.1999999999999999E-2</v>
      </c>
      <c r="K20" s="18">
        <f t="shared" si="2"/>
        <v>5.0205072775471198E-2</v>
      </c>
      <c r="L20" s="18">
        <f>((I20-K20)*Archetypes!$B$15)+(K20*Archetypes!$B$15*Archetypes!$B$22)</f>
        <v>0.22920897770765125</v>
      </c>
      <c r="M20" s="18">
        <f>I20*Archetypes!$B$16</f>
        <v>1.7115365718910636</v>
      </c>
      <c r="N20" s="18">
        <f>(IF(F20&lt;0,Assumptions!$B$8,IF(F20&lt;10,Assumptions!$B$34,IF(F20&lt;25,Assumptions!$B$35,Assumptions!$B$36))))*((((Archetypes!$B$5*Assumptions!$B$4+Archetypes!$B$6*Assumptions!$B$5)*60))+(Assumptions!$B$6*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$20)+((Archetypes!$B$11*(IF(F20&lt;0,1+Assumptions!$B$32*MIN(1,ABS(F20)/ABS(Assumptions!$B$21)),MAX(0.1,1-Assumptions!$B$31*(F20/50)))))*J20*Archetypes!$B$20*Archetypes!$B$21)*Assumptions!$B$18)*(IF($D20=1,1,Assumptions!$B$7)))+((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$15)*(Archetypes!$B$13*IF(F20&lt;0,1-Assumptions!$B$33*MIN(1,ABS(F20)/ABS(Assumptions!$B$21)),1))*5)+(((Archetypes!$B$11*(IF(F20&lt;0,1+Assumptions!$B$32*MIN(1,ABS(F20)/ABS(Assumptions!$B$21)),MAX(0.1,1-Assumptions!$B$31*(F20/50)))))*J20*Archetypes!$B$15*Archetypes!$B$22)*(Archetypes!$B$13*IF(F20&lt;0,1-Assumptions!$B$33*MIN(1,ABS(F20)/ABS(Assumptions!$B$21)),1))*5*Assumptions!$B$18))*IF(F20&lt;0,Assumptions!$B$9,1)))*$E20</f>
        <v>223.63374509268669</v>
      </c>
      <c r="O20" s="18">
        <f>(O19)+(N20)-(MAX(0,((O19)+(N20)-(P20)))*(IF(Archetypes!$B$27="",Assumptions!$B$11,Archetypes!$B$27)))</f>
        <v>1045.7852611622691</v>
      </c>
      <c r="P20" s="18">
        <f>Archetypes!$B$33</f>
        <v>25.423199999999998</v>
      </c>
      <c r="Q20" s="18">
        <f t="shared" si="3"/>
        <v>1020.3620611622691</v>
      </c>
      <c r="S20" s="18">
        <f t="shared" si="9"/>
        <v>56.244312408701255</v>
      </c>
      <c r="T20" s="18">
        <f>MAX(Assumptions!$B$21,(S20)+(U20))</f>
        <v>57.923545758930651</v>
      </c>
      <c r="U20" s="18">
        <f>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$15)*Assumptions!$B$22+((Archetypes!$C$11*(IF(S20&lt;0,1+Assumptions!$B$32*MIN(1,ABS(S20)/ABS(Assumptions!$B$21)),MAX(0.1,1-Assumptions!$B$31*(S20/50)))))*W20*Archetypes!$C$15*Archetypes!$C$22)*Assumptions!$B$23+(Archetypes!$C$11*(IF(S20&lt;0,1+Assumptions!$B$32*MIN(1,ABS(S20)/ABS(Assumptions!$B$21)),MAX(0.1,1-Assumptions!$B$31*(S20/50)))))*Assumptions!$B$24+-((Archetypes!$C$11*(IF(S20&lt;0,1+Assumptions!$B$32*MIN(1,ABS(S20)/ABS(Assumptions!$B$21)),MAX(0.1,1-Assumptions!$B$31*(S20/50)))))*Archetypes!$C$16)*(Assumptions!$B$27*(1+Assumptions!$B$28*Archetypes!$C$14)/(1+Assumptions!$B$29*Archetypes!$C$12))+-(Archetypes!$C$11*(IF(S20&lt;0,1+Assumptions!$B$32*MIN(1,ABS(S20)/ABS(Assumptions!$B$21)),MAX(0.1,1-Assumptions!$B$31*(S20/50)))))*Archetypes!$C$17*((Archetypes!$C$31)/100)*Assumptions!$B$30+-Assumptions!$B$25*Assumptions!$B$26)*$E20</f>
        <v>1.6792333502293928</v>
      </c>
      <c r="V20" s="18">
        <f>(Archetypes!$C$11*(IF(S20&lt;0,1+Assumptions!$B$32*MIN(1,ABS(S20)/ABS(Assumptions!$B$21)),MAX(0.1,1-Assumptions!$B$31*(S20/50)))))*$E20</f>
        <v>1.9504095065735094</v>
      </c>
      <c r="W20" s="19">
        <f>Archetypes!$C$30</f>
        <v>3.7999999999999999E-2</v>
      </c>
      <c r="X20" s="18">
        <f t="shared" si="4"/>
        <v>7.4115561249793363E-2</v>
      </c>
      <c r="Y20" s="18">
        <f>((V20-X20)*Archetypes!$C$15)+(X20*Archetypes!$C$15*Archetypes!$C$22)</f>
        <v>0.98632208747422367</v>
      </c>
      <c r="Z20" s="18">
        <f>V20*Archetypes!$C$16</f>
        <v>0.87768427795807924</v>
      </c>
      <c r="AA20" s="18">
        <f>(IF(S20&lt;0,Assumptions!$B$8,IF(S20&lt;10,Assumptions!$B$34,IF(S20&lt;25,Assumptions!$B$35,Assumptions!$B$36))))*((((Archetypes!$C$5*Assumptions!$B$4+Archetypes!$C$6*Assumptions!$B$5)*60))+(Assumptions!$B$6*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$20)+((Archetypes!$C$11*(IF(S20&lt;0,1+Assumptions!$B$32*MIN(1,ABS(S20)/ABS(Assumptions!$B$21)),MAX(0.1,1-Assumptions!$B$31*(S20/50)))))*W20*Archetypes!$C$20*Archetypes!$C$21)*Assumptions!$B$18)*(IF($D20=1,1,Assumptions!$B$7)))+((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$15)*(Archetypes!$C$13*IF(S20&lt;0,1-Assumptions!$B$33*MIN(1,ABS(S20)/ABS(Assumptions!$B$21)),1))*5)+(((Archetypes!$C$11*(IF(S20&lt;0,1+Assumptions!$B$32*MIN(1,ABS(S20)/ABS(Assumptions!$B$21)),MAX(0.1,1-Assumptions!$B$31*(S20/50)))))*W20*Archetypes!$C$15*Archetypes!$C$22)*(Archetypes!$C$13*IF(S20&lt;0,1-Assumptions!$B$33*MIN(1,ABS(S20)/ABS(Assumptions!$B$21)),1))*5*Assumptions!$B$18))*IF(S20&lt;0,Assumptions!$B$9,1)))*$E20</f>
        <v>814.42452798469958</v>
      </c>
      <c r="AB20" s="18">
        <f>(AB19)+(AA20)-(MAX(0,((AB19)+(AA20)-(AC20)))*(IF(Archetypes!$C$27="",Assumptions!$B$11,Archetypes!$C$27)))</f>
        <v>2635.8108322217599</v>
      </c>
      <c r="AC20" s="18">
        <f>Archetypes!$C$33</f>
        <v>90.34</v>
      </c>
      <c r="AD20" s="18">
        <f t="shared" si="5"/>
        <v>2545.4708322217598</v>
      </c>
      <c r="AF20" s="18">
        <f t="shared" si="10"/>
        <v>52.802408379956894</v>
      </c>
      <c r="AG20" s="18">
        <f>MAX(Assumptions!$B$21,(AF20)+(AH20))</f>
        <v>54.25248286480943</v>
      </c>
      <c r="AH20" s="18">
        <f>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$15)*Assumptions!$B$22+((Archetypes!$D$11*(IF(AF20&lt;0,1+Assumptions!$B$32*MIN(1,ABS(AF20)/ABS(Assumptions!$B$21)),MAX(0.1,1-Assumptions!$B$31*(AF20/50)))))*AJ20*Archetypes!$D$15*Archetypes!$D$22)*Assumptions!$B$23+(Archetypes!$D$11*(IF(AF20&lt;0,1+Assumptions!$B$32*MIN(1,ABS(AF20)/ABS(Assumptions!$B$21)),MAX(0.1,1-Assumptions!$B$31*(AF20/50)))))*Assumptions!$B$24+-((Archetypes!$D$11*(IF(AF20&lt;0,1+Assumptions!$B$32*MIN(1,ABS(AF20)/ABS(Assumptions!$B$21)),MAX(0.1,1-Assumptions!$B$31*(AF20/50)))))*Archetypes!$D$16)*(Assumptions!$B$27*(1+Assumptions!$B$28*Archetypes!$D$14)/(1+Assumptions!$B$29*Archetypes!$D$12))+-(Archetypes!$D$11*(IF(AF20&lt;0,1+Assumptions!$B$32*MIN(1,ABS(AF20)/ABS(Assumptions!$B$21)),MAX(0.1,1-Assumptions!$B$31*(AF20/50)))))*Archetypes!$D$17*((Archetypes!$D$31)/100)*Assumptions!$B$30+-Assumptions!$B$25*Assumptions!$B$26)*$E20</f>
        <v>1.4500744848525382</v>
      </c>
      <c r="AI20" s="18">
        <f>(Archetypes!$D$11*(IF(AF20&lt;0,1+Assumptions!$B$32*MIN(1,ABS(AF20)/ABS(Assumptions!$B$21)),MAX(0.1,1-Assumptions!$B$31*(AF20/50)))))*$E20</f>
        <v>1.0991132983215521</v>
      </c>
      <c r="AJ20" s="19">
        <f>Archetypes!$D$30</f>
        <v>0.10400000000000001</v>
      </c>
      <c r="AK20" s="18">
        <f t="shared" si="6"/>
        <v>0.11430778302544144</v>
      </c>
      <c r="AL20" s="18">
        <f>((AI20-AK20)*Archetypes!$D$15)+(AK20*Archetypes!$D$15*Archetypes!$D$22)</f>
        <v>1.7172546172975931</v>
      </c>
      <c r="AM20" s="18">
        <f>AI20*Archetypes!$D$16</f>
        <v>0.21982265966431044</v>
      </c>
      <c r="AN20" s="18">
        <f>(IF(AF20&lt;0,Assumptions!$B$8,IF(AF20&lt;10,Assumptions!$B$34,IF(AF20&lt;25,Assumptions!$B$35,Assumptions!$B$36))))*((((Archetypes!$D$5*Assumptions!$B$4+Archetypes!$D$6*Assumptions!$B$5)*60))+(Assumptions!$B$6*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$20)+((Archetypes!$D$11*(IF(AF20&lt;0,1+Assumptions!$B$32*MIN(1,ABS(AF20)/ABS(Assumptions!$B$21)),MAX(0.1,1-Assumptions!$B$31*(AF20/50)))))*AJ20*Archetypes!$D$20*Archetypes!$D$21)*Assumptions!$B$18)*(IF($D20=1,1,Assumptions!$B$7)))+((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$15)*(Archetypes!$D$13*IF(AF20&lt;0,1-Assumptions!$B$33*MIN(1,ABS(AF20)/ABS(Assumptions!$B$21)),1))*5)+(((Archetypes!$D$11*(IF(AF20&lt;0,1+Assumptions!$B$32*MIN(1,ABS(AF20)/ABS(Assumptions!$B$21)),MAX(0.1,1-Assumptions!$B$31*(AF20/50)))))*AJ20*Archetypes!$D$15*Archetypes!$D$22)*(Archetypes!$D$13*IF(AF20&lt;0,1-Assumptions!$B$33*MIN(1,ABS(AF20)/ABS(Assumptions!$B$21)),1))*5*Assumptions!$B$18))*IF(AF20&lt;0,Assumptions!$B$9,1)))*$E20</f>
        <v>1337.1200595728599</v>
      </c>
      <c r="AO20" s="18">
        <f>(AO19)+(AN20)-(MAX(0,((AO19)+(AN20)-(AP20)))*(IF(Archetypes!$D$27="",Assumptions!$B$11,Archetypes!$D$27)))</f>
        <v>3402.5187456129242</v>
      </c>
      <c r="AP20" s="18">
        <f>Archetypes!$D$33</f>
        <v>201.32916645159378</v>
      </c>
      <c r="AQ20" s="18">
        <f t="shared" si="7"/>
        <v>3201.1895791613306</v>
      </c>
    </row>
    <row r="21" spans="1:43" x14ac:dyDescent="0.25">
      <c r="A21" s="14">
        <v>17</v>
      </c>
      <c r="B21" s="14">
        <f t="shared" si="0"/>
        <v>1</v>
      </c>
      <c r="C21" s="14">
        <f t="shared" si="1"/>
        <v>17</v>
      </c>
      <c r="D21" s="15">
        <f>IF(C21&lt;Assumptions!$B$10,1,0)</f>
        <v>0</v>
      </c>
      <c r="E21" s="15">
        <v>1</v>
      </c>
      <c r="F21" s="18">
        <f t="shared" si="8"/>
        <v>65.919147607789469</v>
      </c>
      <c r="G21" s="18">
        <f>MAX(Assumptions!$B$21,(F21)+(H21))</f>
        <v>67.374289728530044</v>
      </c>
      <c r="H21" s="18">
        <f>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$15)*Assumptions!$B$22+((Archetypes!$B$11*(IF(F21&lt;0,1+Assumptions!$B$32*MIN(1,ABS(F21)/ABS(Assumptions!$B$21)),MAX(0.1,1-Assumptions!$B$31*(F21/50)))))*J21*Archetypes!$B$15*Archetypes!$B$22)*Assumptions!$B$23+(Archetypes!$B$11*(IF(F21&lt;0,1+Assumptions!$B$32*MIN(1,ABS(F21)/ABS(Assumptions!$B$21)),MAX(0.1,1-Assumptions!$B$31*(F21/50)))))*Assumptions!$B$24+-((Archetypes!$B$11*(IF(F21&lt;0,1+Assumptions!$B$32*MIN(1,ABS(F21)/ABS(Assumptions!$B$21)),MAX(0.1,1-Assumptions!$B$31*(F21/50)))))*Archetypes!$B$16)*(Assumptions!$B$27*(1+Assumptions!$B$28*Archetypes!$B$14)/(1+Assumptions!$B$29*Archetypes!$B$12))+-(Archetypes!$B$11*(IF(F21&lt;0,1+Assumptions!$B$32*MIN(1,ABS(F21)/ABS(Assumptions!$B$21)),MAX(0.1,1-Assumptions!$B$31*(F21/50)))))*Archetypes!$B$17*((Archetypes!$B$31)/100)*Assumptions!$B$30+-Assumptions!$B$25*Assumptions!$B$26)*$E21</f>
        <v>1.4551421207405706</v>
      </c>
      <c r="I21" s="18">
        <f>(Archetypes!$B$11*(IF(F21&lt;0,1+Assumptions!$B$32*MIN(1,ABS(F21)/ABS(Assumptions!$B$21)),MAX(0.1,1-Assumptions!$B$31*(F21/50)))))*$E21</f>
        <v>2.089702287065264</v>
      </c>
      <c r="J21" s="19">
        <f>Archetypes!$B$30</f>
        <v>2.1999999999999999E-2</v>
      </c>
      <c r="K21" s="18">
        <f t="shared" si="2"/>
        <v>4.5973450315435802E-2</v>
      </c>
      <c r="L21" s="18">
        <f>((I21-K21)*Archetypes!$B$15)+(K21*Archetypes!$B$15*Archetypes!$B$22)</f>
        <v>0.20988969771283514</v>
      </c>
      <c r="M21" s="18">
        <f>I21*Archetypes!$B$16</f>
        <v>1.567276715298948</v>
      </c>
      <c r="N21" s="18">
        <f>(IF(F21&lt;0,Assumptions!$B$8,IF(F21&lt;10,Assumptions!$B$34,IF(F21&lt;25,Assumptions!$B$35,Assumptions!$B$36))))*((((Archetypes!$B$5*Assumptions!$B$4+Archetypes!$B$6*Assumptions!$B$5)*60))+(Assumptions!$B$6*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$20)+((Archetypes!$B$11*(IF(F21&lt;0,1+Assumptions!$B$32*MIN(1,ABS(F21)/ABS(Assumptions!$B$21)),MAX(0.1,1-Assumptions!$B$31*(F21/50)))))*J21*Archetypes!$B$20*Archetypes!$B$21)*Assumptions!$B$18)*(IF($D21=1,1,Assumptions!$B$7)))+((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$15)*(Archetypes!$B$13*IF(F21&lt;0,1-Assumptions!$B$33*MIN(1,ABS(F21)/ABS(Assumptions!$B$21)),1))*5)+(((Archetypes!$B$11*(IF(F21&lt;0,1+Assumptions!$B$32*MIN(1,ABS(F21)/ABS(Assumptions!$B$21)),MAX(0.1,1-Assumptions!$B$31*(F21/50)))))*J21*Archetypes!$B$15*Archetypes!$B$22)*(Archetypes!$B$13*IF(F21&lt;0,1-Assumptions!$B$33*MIN(1,ABS(F21)/ABS(Assumptions!$B$21)),1))*5*Assumptions!$B$18))*IF(F21&lt;0,Assumptions!$B$9,1)))*$E21</f>
        <v>217.68025621901535</v>
      </c>
      <c r="O21" s="18">
        <f>(O20)+(N21)-(MAX(0,((O20)+(N21)-(P21)))*(IF(Archetypes!$B$27="",Assumptions!$B$11,Archetypes!$B$27)))</f>
        <v>1015.8570539050274</v>
      </c>
      <c r="P21" s="18">
        <f>Archetypes!$B$33</f>
        <v>25.423199999999998</v>
      </c>
      <c r="Q21" s="18">
        <f t="shared" si="3"/>
        <v>990.43385390502749</v>
      </c>
      <c r="S21" s="18">
        <f t="shared" si="9"/>
        <v>57.923545758930651</v>
      </c>
      <c r="T21" s="18">
        <f>MAX(Assumptions!$B$21,(S21)+(U21))</f>
        <v>59.489385950521964</v>
      </c>
      <c r="U21" s="18">
        <f>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$15)*Assumptions!$B$22+((Archetypes!$C$11*(IF(S21&lt;0,1+Assumptions!$B$32*MIN(1,ABS(S21)/ABS(Assumptions!$B$21)),MAX(0.1,1-Assumptions!$B$31*(S21/50)))))*W21*Archetypes!$C$15*Archetypes!$C$22)*Assumptions!$B$23+(Archetypes!$C$11*(IF(S21&lt;0,1+Assumptions!$B$32*MIN(1,ABS(S21)/ABS(Assumptions!$B$21)),MAX(0.1,1-Assumptions!$B$31*(S21/50)))))*Assumptions!$B$24+-((Archetypes!$C$11*(IF(S21&lt;0,1+Assumptions!$B$32*MIN(1,ABS(S21)/ABS(Assumptions!$B$21)),MAX(0.1,1-Assumptions!$B$31*(S21/50)))))*Archetypes!$C$16)*(Assumptions!$B$27*(1+Assumptions!$B$28*Archetypes!$C$14)/(1+Assumptions!$B$29*Archetypes!$C$12))+-(Archetypes!$C$11*(IF(S21&lt;0,1+Assumptions!$B$32*MIN(1,ABS(S21)/ABS(Assumptions!$B$21)),MAX(0.1,1-Assumptions!$B$31*(S21/50)))))*Archetypes!$C$17*((Archetypes!$C$31)/100)*Assumptions!$B$30+-Assumptions!$B$25*Assumptions!$B$26)*$E21</f>
        <v>1.565840191591314</v>
      </c>
      <c r="V21" s="18">
        <f>(Archetypes!$C$11*(IF(S21&lt;0,1+Assumptions!$B$32*MIN(1,ABS(S21)/ABS(Assumptions!$B$21)),MAX(0.1,1-Assumptions!$B$31*(S21/50)))))*$E21</f>
        <v>1.8295047053569931</v>
      </c>
      <c r="W21" s="19">
        <f>Archetypes!$C$30</f>
        <v>3.7999999999999999E-2</v>
      </c>
      <c r="X21" s="18">
        <f t="shared" si="4"/>
        <v>6.9521178803565731E-2</v>
      </c>
      <c r="Y21" s="18">
        <f>((V21-X21)*Archetypes!$C$15)+(X21*Archetypes!$C$15*Archetypes!$C$22)</f>
        <v>0.9251805294990314</v>
      </c>
      <c r="Z21" s="18">
        <f>V21*Archetypes!$C$16</f>
        <v>0.82327711741064691</v>
      </c>
      <c r="AA21" s="18">
        <f>(IF(S21&lt;0,Assumptions!$B$8,IF(S21&lt;10,Assumptions!$B$34,IF(S21&lt;25,Assumptions!$B$35,Assumptions!$B$36))))*((((Archetypes!$C$5*Assumptions!$B$4+Archetypes!$C$6*Assumptions!$B$5)*60))+(Assumptions!$B$6*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$20)+((Archetypes!$C$11*(IF(S21&lt;0,1+Assumptions!$B$32*MIN(1,ABS(S21)/ABS(Assumptions!$B$21)),MAX(0.1,1-Assumptions!$B$31*(S21/50)))))*W21*Archetypes!$C$20*Archetypes!$C$21)*Assumptions!$B$18)*(IF($D21=1,1,Assumptions!$B$7)))+((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$15)*(Archetypes!$C$13*IF(S21&lt;0,1-Assumptions!$B$33*MIN(1,ABS(S21)/ABS(Assumptions!$B$21)),1))*5)+(((Archetypes!$C$11*(IF(S21&lt;0,1+Assumptions!$B$32*MIN(1,ABS(S21)/ABS(Assumptions!$B$21)),MAX(0.1,1-Assumptions!$B$31*(S21/50)))))*W21*Archetypes!$C$15*Archetypes!$C$22)*(Archetypes!$C$13*IF(S21&lt;0,1-Assumptions!$B$33*MIN(1,ABS(S21)/ABS(Assumptions!$B$21)),1))*5*Assumptions!$B$18))*IF(S21&lt;0,Assumptions!$B$9,1)))*$E21</f>
        <v>805.03780566121247</v>
      </c>
      <c r="AB21" s="18">
        <f>(AB20)+(AA21)-(MAX(0,((AB20)+(AA21)-(AC21)))*(IF(Archetypes!$C$27="",Assumptions!$B$11,Archetypes!$C$27)))</f>
        <v>2603.2214784122293</v>
      </c>
      <c r="AC21" s="18">
        <f>Archetypes!$C$33</f>
        <v>90.34</v>
      </c>
      <c r="AD21" s="18">
        <f t="shared" si="5"/>
        <v>2512.8814784122292</v>
      </c>
      <c r="AF21" s="18">
        <f t="shared" si="10"/>
        <v>54.25248286480943</v>
      </c>
      <c r="AG21" s="18">
        <f>MAX(Assumptions!$B$21,(AF21)+(AH21))</f>
        <v>55.62656138203598</v>
      </c>
      <c r="AH21" s="18">
        <f>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$15)*Assumptions!$B$22+((Archetypes!$D$11*(IF(AF21&lt;0,1+Assumptions!$B$32*MIN(1,ABS(AF21)/ABS(Assumptions!$B$21)),MAX(0.1,1-Assumptions!$B$31*(AF21/50)))))*AJ21*Archetypes!$D$15*Archetypes!$D$22)*Assumptions!$B$23+(Archetypes!$D$11*(IF(AF21&lt;0,1+Assumptions!$B$32*MIN(1,ABS(AF21)/ABS(Assumptions!$B$21)),MAX(0.1,1-Assumptions!$B$31*(AF21/50)))))*Assumptions!$B$24+-((Archetypes!$D$11*(IF(AF21&lt;0,1+Assumptions!$B$32*MIN(1,ABS(AF21)/ABS(Assumptions!$B$21)),MAX(0.1,1-Assumptions!$B$31*(AF21/50)))))*Archetypes!$D$16)*(Assumptions!$B$27*(1+Assumptions!$B$28*Archetypes!$D$14)/(1+Assumptions!$B$29*Archetypes!$D$12))+-(Archetypes!$D$11*(IF(AF21&lt;0,1+Assumptions!$B$32*MIN(1,ABS(AF21)/ABS(Assumptions!$B$21)),MAX(0.1,1-Assumptions!$B$31*(AF21/50)))))*Archetypes!$D$17*((Archetypes!$D$31)/100)*Assumptions!$B$30+-Assumptions!$B$25*Assumptions!$B$26)*$E21</f>
        <v>1.3740785172265511</v>
      </c>
      <c r="AI21" s="18">
        <f>(Archetypes!$D$11*(IF(AF21&lt;0,1+Assumptions!$B$32*MIN(1,ABS(AF21)/ABS(Assumptions!$B$21)),MAX(0.1,1-Assumptions!$B$31*(AF21/50)))))*$E21</f>
        <v>1.0469106168668607</v>
      </c>
      <c r="AJ21" s="19">
        <f>Archetypes!$D$30</f>
        <v>0.10400000000000001</v>
      </c>
      <c r="AK21" s="18">
        <f t="shared" si="6"/>
        <v>0.10887870415415353</v>
      </c>
      <c r="AL21" s="18">
        <f>((AI21-AK21)*Archetypes!$D$15)+(AK21*Archetypes!$D$15*Archetypes!$D$22)</f>
        <v>1.635693147792783</v>
      </c>
      <c r="AM21" s="18">
        <f>AI21*Archetypes!$D$16</f>
        <v>0.20938212337337214</v>
      </c>
      <c r="AN21" s="18">
        <f>(IF(AF21&lt;0,Assumptions!$B$8,IF(AF21&lt;10,Assumptions!$B$34,IF(AF21&lt;25,Assumptions!$B$35,Assumptions!$B$36))))*((((Archetypes!$D$5*Assumptions!$B$4+Archetypes!$D$6*Assumptions!$B$5)*60))+(Assumptions!$B$6*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$20)+((Archetypes!$D$11*(IF(AF21&lt;0,1+Assumptions!$B$32*MIN(1,ABS(AF21)/ABS(Assumptions!$B$21)),MAX(0.1,1-Assumptions!$B$31*(AF21/50)))))*AJ21*Archetypes!$D$20*Archetypes!$D$21)*Assumptions!$B$18)*(IF($D21=1,1,Assumptions!$B$7)))+((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$15)*(Archetypes!$D$13*IF(AF21&lt;0,1-Assumptions!$B$33*MIN(1,ABS(AF21)/ABS(Assumptions!$B$21)),1))*5)+(((Archetypes!$D$11*(IF(AF21&lt;0,1+Assumptions!$B$32*MIN(1,ABS(AF21)/ABS(Assumptions!$B$21)),MAX(0.1,1-Assumptions!$B$31*(AF21/50)))))*AJ21*Archetypes!$D$15*Archetypes!$D$22)*(Archetypes!$D$13*IF(AF21&lt;0,1-Assumptions!$B$33*MIN(1,ABS(AF21)/ABS(Assumptions!$B$21)),1))*5*Assumptions!$B$18))*IF(AF21&lt;0,Assumptions!$B$9,1)))*$E21</f>
        <v>1324.4806158323465</v>
      </c>
      <c r="AO21" s="18">
        <f>(AO20)+(AN21)-(MAX(0,((AO20)+(AN21)-(AP21)))*(IF(Archetypes!$D$27="",Assumptions!$B$11,Archetypes!$D$27)))</f>
        <v>3369.2983029471675</v>
      </c>
      <c r="AP21" s="18">
        <f>Archetypes!$D$33</f>
        <v>201.32916645159378</v>
      </c>
      <c r="AQ21" s="18">
        <f t="shared" si="7"/>
        <v>3167.9691364955738</v>
      </c>
    </row>
    <row r="22" spans="1:43" x14ac:dyDescent="0.25">
      <c r="A22" s="14">
        <v>18</v>
      </c>
      <c r="B22" s="14">
        <f t="shared" si="0"/>
        <v>1</v>
      </c>
      <c r="C22" s="14">
        <f t="shared" si="1"/>
        <v>18</v>
      </c>
      <c r="D22" s="15">
        <f>IF(C22&lt;Assumptions!$B$10,1,0)</f>
        <v>0</v>
      </c>
      <c r="E22" s="15">
        <v>1</v>
      </c>
      <c r="F22" s="18">
        <f t="shared" si="8"/>
        <v>67.374289728530044</v>
      </c>
      <c r="G22" s="18">
        <f>MAX(Assumptions!$B$21,(F22)+(H22))</f>
        <v>68.695304997376624</v>
      </c>
      <c r="H22" s="18">
        <f>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$15)*Assumptions!$B$22+((Archetypes!$B$11*(IF(F22&lt;0,1+Assumptions!$B$32*MIN(1,ABS(F22)/ABS(Assumptions!$B$21)),MAX(0.1,1-Assumptions!$B$31*(F22/50)))))*J22*Archetypes!$B$15*Archetypes!$B$22)*Assumptions!$B$23+(Archetypes!$B$11*(IF(F22&lt;0,1+Assumptions!$B$32*MIN(1,ABS(F22)/ABS(Assumptions!$B$21)),MAX(0.1,1-Assumptions!$B$31*(F22/50)))))*Assumptions!$B$24+-((Archetypes!$B$11*(IF(F22&lt;0,1+Assumptions!$B$32*MIN(1,ABS(F22)/ABS(Assumptions!$B$21)),MAX(0.1,1-Assumptions!$B$31*(F22/50)))))*Archetypes!$B$16)*(Assumptions!$B$27*(1+Assumptions!$B$28*Archetypes!$B$14)/(1+Assumptions!$B$29*Archetypes!$B$12))+-(Archetypes!$B$11*(IF(F22&lt;0,1+Assumptions!$B$32*MIN(1,ABS(F22)/ABS(Assumptions!$B$21)),MAX(0.1,1-Assumptions!$B$31*(F22/50)))))*Archetypes!$B$17*((Archetypes!$B$31)/100)*Assumptions!$B$30+-Assumptions!$B$25*Assumptions!$B$26)*$E22</f>
        <v>1.3210152688465802</v>
      </c>
      <c r="I22" s="18">
        <f>(Archetypes!$B$11*(IF(F22&lt;0,1+Assumptions!$B$32*MIN(1,ABS(F22)/ABS(Assumptions!$B$21)),MAX(0.1,1-Assumptions!$B$31*(F22/50)))))*$E22</f>
        <v>1.9150852325763945</v>
      </c>
      <c r="J22" s="19">
        <f>Archetypes!$B$30</f>
        <v>2.1999999999999999E-2</v>
      </c>
      <c r="K22" s="18">
        <f t="shared" si="2"/>
        <v>4.2131875116680678E-2</v>
      </c>
      <c r="L22" s="18">
        <f>((I22-K22)*Archetypes!$B$15)+(K22*Archetypes!$B$15*Archetypes!$B$22)</f>
        <v>0.19235116075997308</v>
      </c>
      <c r="M22" s="18">
        <f>I22*Archetypes!$B$16</f>
        <v>1.4363139244322958</v>
      </c>
      <c r="N22" s="18">
        <f>(IF(F22&lt;0,Assumptions!$B$8,IF(F22&lt;10,Assumptions!$B$34,IF(F22&lt;25,Assumptions!$B$35,Assumptions!$B$36))))*((((Archetypes!$B$5*Assumptions!$B$4+Archetypes!$B$6*Assumptions!$B$5)*60))+(Assumptions!$B$6*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$20)+((Archetypes!$B$11*(IF(F22&lt;0,1+Assumptions!$B$32*MIN(1,ABS(F22)/ABS(Assumptions!$B$21)),MAX(0.1,1-Assumptions!$B$31*(F22/50)))))*J22*Archetypes!$B$20*Archetypes!$B$21)*Assumptions!$B$18)*(IF($D22=1,1,Assumptions!$B$7)))+((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$15)*(Archetypes!$B$13*IF(F22&lt;0,1-Assumptions!$B$33*MIN(1,ABS(F22)/ABS(Assumptions!$B$21)),1))*5)+(((Archetypes!$B$11*(IF(F22&lt;0,1+Assumptions!$B$32*MIN(1,ABS(F22)/ABS(Assumptions!$B$21)),MAX(0.1,1-Assumptions!$B$31*(F22/50)))))*J22*Archetypes!$B$15*Archetypes!$B$22)*(Archetypes!$B$13*IF(F22&lt;0,1-Assumptions!$B$33*MIN(1,ABS(F22)/ABS(Assumptions!$B$21)),1))*5*Assumptions!$B$18))*IF(F22&lt;0,Assumptions!$B$9,1)))*$E22</f>
        <v>212.27552661018132</v>
      </c>
      <c r="O22" s="18">
        <f>(O21)+(N22)-(MAX(0,((O21)+(N22)-(P22)))*(IF(Archetypes!$B$27="",Assumptions!$B$11,Archetypes!$B$27)))</f>
        <v>987.59070441216693</v>
      </c>
      <c r="P22" s="18">
        <f>Archetypes!$B$33</f>
        <v>25.423199999999998</v>
      </c>
      <c r="Q22" s="18">
        <f t="shared" si="3"/>
        <v>962.16750441216698</v>
      </c>
      <c r="S22" s="18">
        <f t="shared" si="9"/>
        <v>59.489385950521964</v>
      </c>
      <c r="T22" s="18">
        <f>MAX(Assumptions!$B$21,(S22)+(U22))</f>
        <v>60.949490054140313</v>
      </c>
      <c r="U22" s="18">
        <f>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$15)*Assumptions!$B$22+((Archetypes!$C$11*(IF(S22&lt;0,1+Assumptions!$B$32*MIN(1,ABS(S22)/ABS(Assumptions!$B$21)),MAX(0.1,1-Assumptions!$B$31*(S22/50)))))*W22*Archetypes!$C$15*Archetypes!$C$22)*Assumptions!$B$23+(Archetypes!$C$11*(IF(S22&lt;0,1+Assumptions!$B$32*MIN(1,ABS(S22)/ABS(Assumptions!$B$21)),MAX(0.1,1-Assumptions!$B$31*(S22/50)))))*Assumptions!$B$24+-((Archetypes!$C$11*(IF(S22&lt;0,1+Assumptions!$B$32*MIN(1,ABS(S22)/ABS(Assumptions!$B$21)),MAX(0.1,1-Assumptions!$B$31*(S22/50)))))*Archetypes!$C$16)*(Assumptions!$B$27*(1+Assumptions!$B$28*Archetypes!$C$14)/(1+Assumptions!$B$29*Archetypes!$C$12))+-(Archetypes!$C$11*(IF(S22&lt;0,1+Assumptions!$B$32*MIN(1,ABS(S22)/ABS(Assumptions!$B$21)),MAX(0.1,1-Assumptions!$B$31*(S22/50)))))*Archetypes!$C$17*((Archetypes!$C$31)/100)*Assumptions!$B$30+-Assumptions!$B$25*Assumptions!$B$26)*$E22</f>
        <v>1.4601041036183475</v>
      </c>
      <c r="V22" s="18">
        <f>(Archetypes!$C$11*(IF(S22&lt;0,1+Assumptions!$B$32*MIN(1,ABS(S22)/ABS(Assumptions!$B$21)),MAX(0.1,1-Assumptions!$B$31*(S22/50)))))*$E22</f>
        <v>1.7167642115624187</v>
      </c>
      <c r="W22" s="19">
        <f>Archetypes!$C$30</f>
        <v>3.7999999999999999E-2</v>
      </c>
      <c r="X22" s="18">
        <f t="shared" si="4"/>
        <v>6.5237040039371905E-2</v>
      </c>
      <c r="Y22" s="18">
        <f>((V22-X22)*Archetypes!$C$15)+(X22*Archetypes!$C$15*Archetypes!$C$22)</f>
        <v>0.86816766178711513</v>
      </c>
      <c r="Z22" s="18">
        <f>V22*Archetypes!$C$16</f>
        <v>0.77254389520308842</v>
      </c>
      <c r="AA22" s="18">
        <f>(IF(S22&lt;0,Assumptions!$B$8,IF(S22&lt;10,Assumptions!$B$34,IF(S22&lt;25,Assumptions!$B$35,Assumptions!$B$36))))*((((Archetypes!$C$5*Assumptions!$B$4+Archetypes!$C$6*Assumptions!$B$5)*60))+(Assumptions!$B$6*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$20)+((Archetypes!$C$11*(IF(S22&lt;0,1+Assumptions!$B$32*MIN(1,ABS(S22)/ABS(Assumptions!$B$21)),MAX(0.1,1-Assumptions!$B$31*(S22/50)))))*W22*Archetypes!$C$20*Archetypes!$C$21)*Assumptions!$B$18)*(IF($D22=1,1,Assumptions!$B$7)))+((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$15)*(Archetypes!$C$13*IF(S22&lt;0,1-Assumptions!$B$33*MIN(1,ABS(S22)/ABS(Assumptions!$B$21)),1))*5)+(((Archetypes!$C$11*(IF(S22&lt;0,1+Assumptions!$B$32*MIN(1,ABS(S22)/ABS(Assumptions!$B$21)),MAX(0.1,1-Assumptions!$B$31*(S22/50)))))*W22*Archetypes!$C$15*Archetypes!$C$22)*(Archetypes!$C$13*IF(S22&lt;0,1-Assumptions!$B$33*MIN(1,ABS(S22)/ABS(Assumptions!$B$21)),1))*5*Assumptions!$B$18))*IF(S22&lt;0,Assumptions!$B$9,1)))*$E22</f>
        <v>796.28493812233501</v>
      </c>
      <c r="AB22" s="18">
        <f>(AB21)+(AA22)-(MAX(0,((AB21)+(AA22)-(AC22)))*(IF(Archetypes!$C$27="",Assumptions!$B$11,Archetypes!$C$27)))</f>
        <v>2572.2148124009232</v>
      </c>
      <c r="AC22" s="18">
        <f>Archetypes!$C$33</f>
        <v>90.34</v>
      </c>
      <c r="AD22" s="18">
        <f t="shared" si="5"/>
        <v>2481.874812400923</v>
      </c>
      <c r="AF22" s="18">
        <f t="shared" si="10"/>
        <v>55.62656138203598</v>
      </c>
      <c r="AG22" s="18">
        <f>MAX(Assumptions!$B$21,(AF22)+(AH22))</f>
        <v>56.928626752626599</v>
      </c>
      <c r="AH22" s="18">
        <f>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$15)*Assumptions!$B$22+((Archetypes!$D$11*(IF(AF22&lt;0,1+Assumptions!$B$32*MIN(1,ABS(AF22)/ABS(Assumptions!$B$21)),MAX(0.1,1-Assumptions!$B$31*(AF22/50)))))*AJ22*Archetypes!$D$15*Archetypes!$D$22)*Assumptions!$B$23+(Archetypes!$D$11*(IF(AF22&lt;0,1+Assumptions!$B$32*MIN(1,ABS(AF22)/ABS(Assumptions!$B$21)),MAX(0.1,1-Assumptions!$B$31*(AF22/50)))))*Assumptions!$B$24+-((Archetypes!$D$11*(IF(AF22&lt;0,1+Assumptions!$B$32*MIN(1,ABS(AF22)/ABS(Assumptions!$B$21)),MAX(0.1,1-Assumptions!$B$31*(AF22/50)))))*Archetypes!$D$16)*(Assumptions!$B$27*(1+Assumptions!$B$28*Archetypes!$D$14)/(1+Assumptions!$B$29*Archetypes!$D$12))+-(Archetypes!$D$11*(IF(AF22&lt;0,1+Assumptions!$B$32*MIN(1,ABS(AF22)/ABS(Assumptions!$B$21)),MAX(0.1,1-Assumptions!$B$31*(AF22/50)))))*Archetypes!$D$17*((Archetypes!$D$31)/100)*Assumptions!$B$30+-Assumptions!$B$25*Assumptions!$B$26)*$E22</f>
        <v>1.3020653705906164</v>
      </c>
      <c r="AI22" s="18">
        <f>(Archetypes!$D$11*(IF(AF22&lt;0,1+Assumptions!$B$32*MIN(1,ABS(AF22)/ABS(Assumptions!$B$21)),MAX(0.1,1-Assumptions!$B$31*(AF22/50)))))*$E22</f>
        <v>0.99744379024670482</v>
      </c>
      <c r="AJ22" s="19">
        <f>Archetypes!$D$30</f>
        <v>0.10400000000000001</v>
      </c>
      <c r="AK22" s="18">
        <f t="shared" si="6"/>
        <v>0.1037341541856573</v>
      </c>
      <c r="AL22" s="18">
        <f>((AI22-AK22)*Archetypes!$D$15)+(AK22*Archetypes!$D$15*Archetypes!$D$22)</f>
        <v>1.5584061778814515</v>
      </c>
      <c r="AM22" s="18">
        <f>AI22*Archetypes!$D$16</f>
        <v>0.19948875804934096</v>
      </c>
      <c r="AN22" s="18">
        <f>(IF(AF22&lt;0,Assumptions!$B$8,IF(AF22&lt;10,Assumptions!$B$34,IF(AF22&lt;25,Assumptions!$B$35,Assumptions!$B$36))))*((((Archetypes!$D$5*Assumptions!$B$4+Archetypes!$D$6*Assumptions!$B$5)*60))+(Assumptions!$B$6*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$20)+((Archetypes!$D$11*(IF(AF22&lt;0,1+Assumptions!$B$32*MIN(1,ABS(AF22)/ABS(Assumptions!$B$21)),MAX(0.1,1-Assumptions!$B$31*(AF22/50)))))*AJ22*Archetypes!$D$20*Archetypes!$D$21)*Assumptions!$B$18)*(IF($D22=1,1,Assumptions!$B$7)))+((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$15)*(Archetypes!$D$13*IF(AF22&lt;0,1-Assumptions!$B$33*MIN(1,ABS(AF22)/ABS(Assumptions!$B$21)),1))*5)+(((Archetypes!$D$11*(IF(AF22&lt;0,1+Assumptions!$B$32*MIN(1,ABS(AF22)/ABS(Assumptions!$B$21)),MAX(0.1,1-Assumptions!$B$31*(AF22/50)))))*AJ22*Archetypes!$D$15*Archetypes!$D$22)*(Archetypes!$D$13*IF(AF22&lt;0,1-Assumptions!$B$33*MIN(1,ABS(AF22)/ABS(Assumptions!$B$21)),1))*5*Assumptions!$B$18))*IF(AF22&lt;0,Assumptions!$B$9,1)))*$E22</f>
        <v>1312.5035841040076</v>
      </c>
      <c r="AO22" s="18">
        <f>(AO21)+(AN22)-(MAX(0,((AO21)+(AN22)-(AP22)))*(IF(Archetypes!$D$27="",Assumptions!$B$11,Archetypes!$D$27)))</f>
        <v>3337.6600708713004</v>
      </c>
      <c r="AP22" s="18">
        <f>Archetypes!$D$33</f>
        <v>201.32916645159378</v>
      </c>
      <c r="AQ22" s="18">
        <f t="shared" si="7"/>
        <v>3136.3309044197067</v>
      </c>
    </row>
    <row r="23" spans="1:43" x14ac:dyDescent="0.25">
      <c r="A23" s="14">
        <v>19</v>
      </c>
      <c r="B23" s="14">
        <f t="shared" si="0"/>
        <v>1</v>
      </c>
      <c r="C23" s="14">
        <f t="shared" si="1"/>
        <v>19</v>
      </c>
      <c r="D23" s="15">
        <f>IF(C23&lt;Assumptions!$B$10,1,0)</f>
        <v>0</v>
      </c>
      <c r="E23" s="15">
        <v>1</v>
      </c>
      <c r="F23" s="18">
        <f t="shared" si="8"/>
        <v>68.695304997376624</v>
      </c>
      <c r="G23" s="18">
        <f>MAX(Assumptions!$B$21,(F23)+(H23))</f>
        <v>69.89455647642643</v>
      </c>
      <c r="H23" s="18">
        <f>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$15)*Assumptions!$B$22+((Archetypes!$B$11*(IF(F23&lt;0,1+Assumptions!$B$32*MIN(1,ABS(F23)/ABS(Assumptions!$B$21)),MAX(0.1,1-Assumptions!$B$31*(F23/50)))))*J23*Archetypes!$B$15*Archetypes!$B$22)*Assumptions!$B$23+(Archetypes!$B$11*(IF(F23&lt;0,1+Assumptions!$B$32*MIN(1,ABS(F23)/ABS(Assumptions!$B$21)),MAX(0.1,1-Assumptions!$B$31*(F23/50)))))*Assumptions!$B$24+-((Archetypes!$B$11*(IF(F23&lt;0,1+Assumptions!$B$32*MIN(1,ABS(F23)/ABS(Assumptions!$B$21)),MAX(0.1,1-Assumptions!$B$31*(F23/50)))))*Archetypes!$B$16)*(Assumptions!$B$27*(1+Assumptions!$B$28*Archetypes!$B$14)/(1+Assumptions!$B$29*Archetypes!$B$12))+-(Archetypes!$B$11*(IF(F23&lt;0,1+Assumptions!$B$32*MIN(1,ABS(F23)/ABS(Assumptions!$B$21)),MAX(0.1,1-Assumptions!$B$31*(F23/50)))))*Archetypes!$B$17*((Archetypes!$B$31)/100)*Assumptions!$B$30+-Assumptions!$B$25*Assumptions!$B$26)*$E23</f>
        <v>1.1992514790498074</v>
      </c>
      <c r="I23" s="18">
        <f>(Archetypes!$B$11*(IF(F23&lt;0,1+Assumptions!$B$32*MIN(1,ABS(F23)/ABS(Assumptions!$B$21)),MAX(0.1,1-Assumptions!$B$31*(F23/50)))))*$E23</f>
        <v>1.7565634003148045</v>
      </c>
      <c r="J23" s="19">
        <f>Archetypes!$B$30</f>
        <v>2.1999999999999999E-2</v>
      </c>
      <c r="K23" s="18">
        <f t="shared" si="2"/>
        <v>3.8644394806925698E-2</v>
      </c>
      <c r="L23" s="18">
        <f>((I23-K23)*Archetypes!$B$15)+(K23*Archetypes!$B$15*Archetypes!$B$22)</f>
        <v>0.17642922792761898</v>
      </c>
      <c r="M23" s="18">
        <f>I23*Archetypes!$B$16</f>
        <v>1.3174225502361034</v>
      </c>
      <c r="N23" s="18">
        <f>(IF(F23&lt;0,Assumptions!$B$8,IF(F23&lt;10,Assumptions!$B$34,IF(F23&lt;25,Assumptions!$B$35,Assumptions!$B$36))))*((((Archetypes!$B$5*Assumptions!$B$4+Archetypes!$B$6*Assumptions!$B$5)*60))+(Assumptions!$B$6*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$20)+((Archetypes!$B$11*(IF(F23&lt;0,1+Assumptions!$B$32*MIN(1,ABS(F23)/ABS(Assumptions!$B$21)),MAX(0.1,1-Assumptions!$B$31*(F23/50)))))*J23*Archetypes!$B$20*Archetypes!$B$21)*Assumptions!$B$18)*(IF($D23=1,1,Assumptions!$B$7)))+((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$15)*(Archetypes!$B$13*IF(F23&lt;0,1-Assumptions!$B$33*MIN(1,ABS(F23)/ABS(Assumptions!$B$21)),1))*5)+(((Archetypes!$B$11*(IF(F23&lt;0,1+Assumptions!$B$32*MIN(1,ABS(F23)/ABS(Assumptions!$B$21)),MAX(0.1,1-Assumptions!$B$31*(F23/50)))))*J23*Archetypes!$B$15*Archetypes!$B$22)*(Archetypes!$B$13*IF(F23&lt;0,1-Assumptions!$B$33*MIN(1,ABS(F23)/ABS(Assumptions!$B$21)),1))*5*Assumptions!$B$18))*IF(F23&lt;0,Assumptions!$B$9,1)))*$E23</f>
        <v>207.36897471020382</v>
      </c>
      <c r="O23" s="18">
        <f>(O22)+(N23)-(MAX(0,((O22)+(N23)-(P23)))*(IF(Archetypes!$B$27="",Assumptions!$B$11,Archetypes!$B$27)))</f>
        <v>961.05238329789654</v>
      </c>
      <c r="P23" s="18">
        <f>Archetypes!$B$33</f>
        <v>25.423199999999998</v>
      </c>
      <c r="Q23" s="18">
        <f t="shared" si="3"/>
        <v>935.62918329789659</v>
      </c>
      <c r="S23" s="18">
        <f t="shared" si="9"/>
        <v>60.949490054140313</v>
      </c>
      <c r="T23" s="18">
        <f>MAX(Assumptions!$B$21,(S23)+(U23))</f>
        <v>62.310998083408968</v>
      </c>
      <c r="U23" s="18">
        <f>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$15)*Assumptions!$B$22+((Archetypes!$C$11*(IF(S23&lt;0,1+Assumptions!$B$32*MIN(1,ABS(S23)/ABS(Assumptions!$B$21)),MAX(0.1,1-Assumptions!$B$31*(S23/50)))))*W23*Archetypes!$C$15*Archetypes!$C$22)*Assumptions!$B$23+(Archetypes!$C$11*(IF(S23&lt;0,1+Assumptions!$B$32*MIN(1,ABS(S23)/ABS(Assumptions!$B$21)),MAX(0.1,1-Assumptions!$B$31*(S23/50)))))*Assumptions!$B$24+-((Archetypes!$C$11*(IF(S23&lt;0,1+Assumptions!$B$32*MIN(1,ABS(S23)/ABS(Assumptions!$B$21)),MAX(0.1,1-Assumptions!$B$31*(S23/50)))))*Archetypes!$C$16)*(Assumptions!$B$27*(1+Assumptions!$B$28*Archetypes!$C$14)/(1+Assumptions!$B$29*Archetypes!$C$12))+-(Archetypes!$C$11*(IF(S23&lt;0,1+Assumptions!$B$32*MIN(1,ABS(S23)/ABS(Assumptions!$B$21)),MAX(0.1,1-Assumptions!$B$31*(S23/50)))))*Archetypes!$C$17*((Archetypes!$C$31)/100)*Assumptions!$B$30+-Assumptions!$B$25*Assumptions!$B$26)*$E23</f>
        <v>1.361508029268653</v>
      </c>
      <c r="V23" s="18">
        <f>(Archetypes!$C$11*(IF(S23&lt;0,1+Assumptions!$B$32*MIN(1,ABS(S23)/ABS(Assumptions!$B$21)),MAX(0.1,1-Assumptions!$B$31*(S23/50)))))*$E23</f>
        <v>1.6116367161018978</v>
      </c>
      <c r="W23" s="19">
        <f>Archetypes!$C$30</f>
        <v>3.7999999999999999E-2</v>
      </c>
      <c r="X23" s="18">
        <f t="shared" si="4"/>
        <v>6.1242195211872116E-2</v>
      </c>
      <c r="Y23" s="18">
        <f>((V23-X23)*Archetypes!$C$15)+(X23*Archetypes!$C$15*Archetypes!$C$22)</f>
        <v>0.81500468733272979</v>
      </c>
      <c r="Z23" s="18">
        <f>V23*Archetypes!$C$16</f>
        <v>0.725236522245854</v>
      </c>
      <c r="AA23" s="18">
        <f>(IF(S23&lt;0,Assumptions!$B$8,IF(S23&lt;10,Assumptions!$B$34,IF(S23&lt;25,Assumptions!$B$35,Assumptions!$B$36))))*((((Archetypes!$C$5*Assumptions!$B$4+Archetypes!$C$6*Assumptions!$B$5)*60))+(Assumptions!$B$6*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$20)+((Archetypes!$C$11*(IF(S23&lt;0,1+Assumptions!$B$32*MIN(1,ABS(S23)/ABS(Assumptions!$B$21)),MAX(0.1,1-Assumptions!$B$31*(S23/50)))))*W23*Archetypes!$C$20*Archetypes!$C$21)*Assumptions!$B$18)*(IF($D23=1,1,Assumptions!$B$7)))+((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$15)*(Archetypes!$C$13*IF(S23&lt;0,1-Assumptions!$B$33*MIN(1,ABS(S23)/ABS(Assumptions!$B$21)),1))*5)+(((Archetypes!$C$11*(IF(S23&lt;0,1+Assumptions!$B$32*MIN(1,ABS(S23)/ABS(Assumptions!$B$21)),MAX(0.1,1-Assumptions!$B$31*(S23/50)))))*W23*Archetypes!$C$15*Archetypes!$C$22)*(Archetypes!$C$13*IF(S23&lt;0,1-Assumptions!$B$33*MIN(1,ABS(S23)/ABS(Assumptions!$B$21)),1))*5*Assumptions!$B$18))*IF(S23&lt;0,Assumptions!$B$9,1)))*$E23</f>
        <v>788.12312321901788</v>
      </c>
      <c r="AB23" s="18">
        <f>(AB22)+(AA23)-(MAX(0,((AB22)+(AA23)-(AC23)))*(IF(Archetypes!$C$27="",Assumptions!$B$11,Archetypes!$C$27)))</f>
        <v>2542.8384517149561</v>
      </c>
      <c r="AC23" s="18">
        <f>Archetypes!$C$33</f>
        <v>90.34</v>
      </c>
      <c r="AD23" s="18">
        <f t="shared" si="5"/>
        <v>2452.498451714956</v>
      </c>
      <c r="AF23" s="18">
        <f t="shared" si="10"/>
        <v>56.928626752626599</v>
      </c>
      <c r="AG23" s="18">
        <f>MAX(Assumptions!$B$21,(AF23)+(AH23))</f>
        <v>58.162453064614382</v>
      </c>
      <c r="AH23" s="18">
        <f>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$15)*Assumptions!$B$22+((Archetypes!$D$11*(IF(AF23&lt;0,1+Assumptions!$B$32*MIN(1,ABS(AF23)/ABS(Assumptions!$B$21)),MAX(0.1,1-Assumptions!$B$31*(AF23/50)))))*AJ23*Archetypes!$D$15*Archetypes!$D$22)*Assumptions!$B$23+(Archetypes!$D$11*(IF(AF23&lt;0,1+Assumptions!$B$32*MIN(1,ABS(AF23)/ABS(Assumptions!$B$21)),MAX(0.1,1-Assumptions!$B$31*(AF23/50)))))*Assumptions!$B$24+-((Archetypes!$D$11*(IF(AF23&lt;0,1+Assumptions!$B$32*MIN(1,ABS(AF23)/ABS(Assumptions!$B$21)),MAX(0.1,1-Assumptions!$B$31*(AF23/50)))))*Archetypes!$D$16)*(Assumptions!$B$27*(1+Assumptions!$B$28*Archetypes!$D$14)/(1+Assumptions!$B$29*Archetypes!$D$12))+-(Archetypes!$D$11*(IF(AF23&lt;0,1+Assumptions!$B$32*MIN(1,ABS(AF23)/ABS(Assumptions!$B$21)),MAX(0.1,1-Assumptions!$B$31*(AF23/50)))))*Archetypes!$D$17*((Archetypes!$D$31)/100)*Assumptions!$B$30+-Assumptions!$B$25*Assumptions!$B$26)*$E23</f>
        <v>1.2338263119877841</v>
      </c>
      <c r="AI23" s="18">
        <f>(Archetypes!$D$11*(IF(AF23&lt;0,1+Assumptions!$B$32*MIN(1,ABS(AF23)/ABS(Assumptions!$B$21)),MAX(0.1,1-Assumptions!$B$31*(AF23/50)))))*$E23</f>
        <v>0.95056943690544238</v>
      </c>
      <c r="AJ23" s="19">
        <f>Archetypes!$D$30</f>
        <v>0.10400000000000001</v>
      </c>
      <c r="AK23" s="18">
        <f t="shared" si="6"/>
        <v>9.8859221438166014E-2</v>
      </c>
      <c r="AL23" s="18">
        <f>((AI23-AK23)*Archetypes!$D$15)+(AK23*Archetypes!$D$15*Archetypes!$D$22)</f>
        <v>1.4851696882210632</v>
      </c>
      <c r="AM23" s="18">
        <f>AI23*Archetypes!$D$16</f>
        <v>0.19011388738108848</v>
      </c>
      <c r="AN23" s="18">
        <f>(IF(AF23&lt;0,Assumptions!$B$8,IF(AF23&lt;10,Assumptions!$B$34,IF(AF23&lt;25,Assumptions!$B$35,Assumptions!$B$36))))*((((Archetypes!$D$5*Assumptions!$B$4+Archetypes!$D$6*Assumptions!$B$5)*60))+(Assumptions!$B$6*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$20)+((Archetypes!$D$11*(IF(AF23&lt;0,1+Assumptions!$B$32*MIN(1,ABS(AF23)/ABS(Assumptions!$B$21)),MAX(0.1,1-Assumptions!$B$31*(AF23/50)))))*AJ23*Archetypes!$D$20*Archetypes!$D$21)*Assumptions!$B$18)*(IF($D23=1,1,Assumptions!$B$7)))+((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$15)*(Archetypes!$D$13*IF(AF23&lt;0,1-Assumptions!$B$33*MIN(1,ABS(AF23)/ABS(Assumptions!$B$21)),1))*5)+(((Archetypes!$D$11*(IF(AF23&lt;0,1+Assumptions!$B$32*MIN(1,ABS(AF23)/ABS(Assumptions!$B$21)),MAX(0.1,1-Assumptions!$B$31*(AF23/50)))))*AJ23*Archetypes!$D$15*Archetypes!$D$22)*(Archetypes!$D$13*IF(AF23&lt;0,1-Assumptions!$B$33*MIN(1,ABS(AF23)/ABS(Assumptions!$B$21)),1))*5*Assumptions!$B$18))*IF(AF23&lt;0,Assumptions!$B$9,1)))*$E23</f>
        <v>1301.1542484871379</v>
      </c>
      <c r="AO23" s="18">
        <f>(AO22)+(AN23)-(MAX(0,((AO22)+(AN23)-(AP23)))*(IF(Archetypes!$D$27="",Assumptions!$B$11,Archetypes!$D$27)))</f>
        <v>3307.568773486385</v>
      </c>
      <c r="AP23" s="18">
        <f>Archetypes!$D$33</f>
        <v>201.32916645159378</v>
      </c>
      <c r="AQ23" s="18">
        <f t="shared" si="7"/>
        <v>3106.2396070347913</v>
      </c>
    </row>
    <row r="24" spans="1:43" x14ac:dyDescent="0.25">
      <c r="A24" s="14">
        <v>20</v>
      </c>
      <c r="B24" s="14">
        <f t="shared" si="0"/>
        <v>1</v>
      </c>
      <c r="C24" s="14">
        <f t="shared" si="1"/>
        <v>20</v>
      </c>
      <c r="D24" s="15">
        <f>IF(C24&lt;Assumptions!$B$10,1,0)</f>
        <v>0</v>
      </c>
      <c r="E24" s="15">
        <v>1</v>
      </c>
      <c r="F24" s="18">
        <f t="shared" si="8"/>
        <v>69.89455647642643</v>
      </c>
      <c r="G24" s="18">
        <f>MAX(Assumptions!$B$21,(F24)+(H24))</f>
        <v>70.983267669945704</v>
      </c>
      <c r="H24" s="18">
        <f>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$15)*Assumptions!$B$22+((Archetypes!$B$11*(IF(F24&lt;0,1+Assumptions!$B$32*MIN(1,ABS(F24)/ABS(Assumptions!$B$21)),MAX(0.1,1-Assumptions!$B$31*(F24/50)))))*J24*Archetypes!$B$15*Archetypes!$B$22)*Assumptions!$B$23+(Archetypes!$B$11*(IF(F24&lt;0,1+Assumptions!$B$32*MIN(1,ABS(F24)/ABS(Assumptions!$B$21)),MAX(0.1,1-Assumptions!$B$31*(F24/50)))))*Assumptions!$B$24+-((Archetypes!$B$11*(IF(F24&lt;0,1+Assumptions!$B$32*MIN(1,ABS(F24)/ABS(Assumptions!$B$21)),MAX(0.1,1-Assumptions!$B$31*(F24/50)))))*Archetypes!$B$16)*(Assumptions!$B$27*(1+Assumptions!$B$28*Archetypes!$B$14)/(1+Assumptions!$B$29*Archetypes!$B$12))+-(Archetypes!$B$11*(IF(F24&lt;0,1+Assumptions!$B$32*MIN(1,ABS(F24)/ABS(Assumptions!$B$21)),MAX(0.1,1-Assumptions!$B$31*(F24/50)))))*Archetypes!$B$17*((Archetypes!$B$31)/100)*Assumptions!$B$30+-Assumptions!$B$25*Assumptions!$B$26)*$E24</f>
        <v>1.0887111935192804</v>
      </c>
      <c r="I24" s="18">
        <f>(Archetypes!$B$11*(IF(F24&lt;0,1+Assumptions!$B$32*MIN(1,ABS(F24)/ABS(Assumptions!$B$21)),MAX(0.1,1-Assumptions!$B$31*(F24/50)))))*$E24</f>
        <v>1.6126532228288293</v>
      </c>
      <c r="J24" s="19">
        <f>Archetypes!$B$30</f>
        <v>2.1999999999999999E-2</v>
      </c>
      <c r="K24" s="18">
        <f t="shared" si="2"/>
        <v>3.5478370902234241E-2</v>
      </c>
      <c r="L24" s="18">
        <f>((I24-K24)*Archetypes!$B$15)+(K24*Archetypes!$B$15*Archetypes!$B$22)</f>
        <v>0.16197488970092763</v>
      </c>
      <c r="M24" s="18">
        <f>I24*Archetypes!$B$16</f>
        <v>1.209489917121622</v>
      </c>
      <c r="N24" s="18">
        <f>(IF(F24&lt;0,Assumptions!$B$8,IF(F24&lt;10,Assumptions!$B$34,IF(F24&lt;25,Assumptions!$B$35,Assumptions!$B$36))))*((((Archetypes!$B$5*Assumptions!$B$4+Archetypes!$B$6*Assumptions!$B$5)*60))+(Assumptions!$B$6*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$20)+((Archetypes!$B$11*(IF(F24&lt;0,1+Assumptions!$B$32*MIN(1,ABS(F24)/ABS(Assumptions!$B$21)),MAX(0.1,1-Assumptions!$B$31*(F24/50)))))*J24*Archetypes!$B$20*Archetypes!$B$21)*Assumptions!$B$18)*(IF($D24=1,1,Assumptions!$B$7)))+((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$15)*(Archetypes!$B$13*IF(F24&lt;0,1-Assumptions!$B$33*MIN(1,ABS(F24)/ABS(Assumptions!$B$21)),1))*5)+(((Archetypes!$B$11*(IF(F24&lt;0,1+Assumptions!$B$32*MIN(1,ABS(F24)/ABS(Assumptions!$B$21)),MAX(0.1,1-Assumptions!$B$31*(F24/50)))))*J24*Archetypes!$B$15*Archetypes!$B$22)*(Archetypes!$B$13*IF(F24&lt;0,1-Assumptions!$B$33*MIN(1,ABS(F24)/ABS(Assumptions!$B$21)),1))*5*Assumptions!$B$18))*IF(F24&lt;0,Assumptions!$B$9,1)))*$E24</f>
        <v>202.91468128767565</v>
      </c>
      <c r="O24" s="18">
        <f>(O23)+(N24)-(MAX(0,((O23)+(N24)-(P24)))*(IF(Archetypes!$B$27="",Assumptions!$B$11,Archetypes!$B$27)))</f>
        <v>936.25829166845779</v>
      </c>
      <c r="P24" s="18">
        <f>Archetypes!$B$33</f>
        <v>25.423199999999998</v>
      </c>
      <c r="Q24" s="18">
        <f t="shared" si="3"/>
        <v>910.83509166845784</v>
      </c>
      <c r="S24" s="18">
        <f t="shared" si="9"/>
        <v>62.310998083408968</v>
      </c>
      <c r="T24" s="18">
        <f>MAX(Assumptions!$B$21,(S24)+(U24))</f>
        <v>63.580567910087261</v>
      </c>
      <c r="U24" s="18">
        <f>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$15)*Assumptions!$B$22+((Archetypes!$C$11*(IF(S24&lt;0,1+Assumptions!$B$32*MIN(1,ABS(S24)/ABS(Assumptions!$B$21)),MAX(0.1,1-Assumptions!$B$31*(S24/50)))))*W24*Archetypes!$C$15*Archetypes!$C$22)*Assumptions!$B$23+(Archetypes!$C$11*(IF(S24&lt;0,1+Assumptions!$B$32*MIN(1,ABS(S24)/ABS(Assumptions!$B$21)),MAX(0.1,1-Assumptions!$B$31*(S24/50)))))*Assumptions!$B$24+-((Archetypes!$C$11*(IF(S24&lt;0,1+Assumptions!$B$32*MIN(1,ABS(S24)/ABS(Assumptions!$B$21)),MAX(0.1,1-Assumptions!$B$31*(S24/50)))))*Archetypes!$C$16)*(Assumptions!$B$27*(1+Assumptions!$B$28*Archetypes!$C$14)/(1+Assumptions!$B$29*Archetypes!$C$12))+-(Archetypes!$C$11*(IF(S24&lt;0,1+Assumptions!$B$32*MIN(1,ABS(S24)/ABS(Assumptions!$B$21)),MAX(0.1,1-Assumptions!$B$31*(S24/50)))))*Archetypes!$C$17*((Archetypes!$C$31)/100)*Assumptions!$B$30+-Assumptions!$B$25*Assumptions!$B$26)*$E24</f>
        <v>1.2695698266782931</v>
      </c>
      <c r="V24" s="18">
        <f>(Archetypes!$C$11*(IF(S24&lt;0,1+Assumptions!$B$32*MIN(1,ABS(S24)/ABS(Assumptions!$B$21)),MAX(0.1,1-Assumptions!$B$31*(S24/50)))))*$E24</f>
        <v>1.5136081379945547</v>
      </c>
      <c r="W24" s="19">
        <f>Archetypes!$C$30</f>
        <v>3.7999999999999999E-2</v>
      </c>
      <c r="X24" s="18">
        <f t="shared" si="4"/>
        <v>5.751710924379308E-2</v>
      </c>
      <c r="Y24" s="18">
        <f>((V24-X24)*Archetypes!$C$15)+(X24*Archetypes!$C$15*Archetypes!$C$22)</f>
        <v>0.76543163538384629</v>
      </c>
      <c r="Z24" s="18">
        <f>V24*Archetypes!$C$16</f>
        <v>0.6811236620975496</v>
      </c>
      <c r="AA24" s="18">
        <f>(IF(S24&lt;0,Assumptions!$B$8,IF(S24&lt;10,Assumptions!$B$34,IF(S24&lt;25,Assumptions!$B$35,Assumptions!$B$36))))*((((Archetypes!$C$5*Assumptions!$B$4+Archetypes!$C$6*Assumptions!$B$5)*60))+(Assumptions!$B$6*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$20)+((Archetypes!$C$11*(IF(S24&lt;0,1+Assumptions!$B$32*MIN(1,ABS(S24)/ABS(Assumptions!$B$21)),MAX(0.1,1-Assumptions!$B$31*(S24/50)))))*W24*Archetypes!$C$20*Archetypes!$C$21)*Assumptions!$B$18)*(IF($D24=1,1,Assumptions!$B$7)))+((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$15)*(Archetypes!$C$13*IF(S24&lt;0,1-Assumptions!$B$33*MIN(1,ABS(S24)/ABS(Assumptions!$B$21)),1))*5)+(((Archetypes!$C$11*(IF(S24&lt;0,1+Assumptions!$B$32*MIN(1,ABS(S24)/ABS(Assumptions!$B$21)),MAX(0.1,1-Assumptions!$B$31*(S24/50)))))*W24*Archetypes!$C$15*Archetypes!$C$22)*(Archetypes!$C$13*IF(S24&lt;0,1-Assumptions!$B$33*MIN(1,ABS(S24)/ABS(Assumptions!$B$21)),1))*5*Assumptions!$B$18))*IF(S24&lt;0,Assumptions!$B$9,1)))*$E24</f>
        <v>780.51244909192462</v>
      </c>
      <c r="AB24" s="18">
        <f>(AB23)+(AA24)-(MAX(0,((AB23)+(AA24)-(AC24)))*(IF(Archetypes!$C$27="",Assumptions!$B$11,Archetypes!$C$27)))</f>
        <v>2515.0981756051606</v>
      </c>
      <c r="AC24" s="18">
        <f>Archetypes!$C$33</f>
        <v>90.34</v>
      </c>
      <c r="AD24" s="18">
        <f t="shared" si="5"/>
        <v>2424.7581756051604</v>
      </c>
      <c r="AF24" s="18">
        <f t="shared" si="10"/>
        <v>58.162453064614382</v>
      </c>
      <c r="AG24" s="18">
        <f>MAX(Assumptions!$B$21,(AF24)+(AH24))</f>
        <v>59.33161661241909</v>
      </c>
      <c r="AH24" s="18">
        <f>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$15)*Assumptions!$B$22+((Archetypes!$D$11*(IF(AF24&lt;0,1+Assumptions!$B$32*MIN(1,ABS(AF24)/ABS(Assumptions!$B$21)),MAX(0.1,1-Assumptions!$B$31*(AF24/50)))))*AJ24*Archetypes!$D$15*Archetypes!$D$22)*Assumptions!$B$23+(Archetypes!$D$11*(IF(AF24&lt;0,1+Assumptions!$B$32*MIN(1,ABS(AF24)/ABS(Assumptions!$B$21)),MAX(0.1,1-Assumptions!$B$31*(AF24/50)))))*Assumptions!$B$24+-((Archetypes!$D$11*(IF(AF24&lt;0,1+Assumptions!$B$32*MIN(1,ABS(AF24)/ABS(Assumptions!$B$21)),MAX(0.1,1-Assumptions!$B$31*(AF24/50)))))*Archetypes!$D$16)*(Assumptions!$B$27*(1+Assumptions!$B$28*Archetypes!$D$14)/(1+Assumptions!$B$29*Archetypes!$D$12))+-(Archetypes!$D$11*(IF(AF24&lt;0,1+Assumptions!$B$32*MIN(1,ABS(AF24)/ABS(Assumptions!$B$21)),MAX(0.1,1-Assumptions!$B$31*(AF24/50)))))*Archetypes!$D$17*((Archetypes!$D$31)/100)*Assumptions!$B$30+-Assumptions!$B$25*Assumptions!$B$26)*$E24</f>
        <v>1.1691635478047087</v>
      </c>
      <c r="AI24" s="18">
        <f>(Archetypes!$D$11*(IF(AF24&lt;0,1+Assumptions!$B$32*MIN(1,ABS(AF24)/ABS(Assumptions!$B$21)),MAX(0.1,1-Assumptions!$B$31*(AF24/50)))))*$E24</f>
        <v>0.90615168967388227</v>
      </c>
      <c r="AJ24" s="19">
        <f>Archetypes!$D$30</f>
        <v>0.10400000000000001</v>
      </c>
      <c r="AK24" s="18">
        <f t="shared" si="6"/>
        <v>9.423977572608376E-2</v>
      </c>
      <c r="AL24" s="18">
        <f>((AI24-AK24)*Archetypes!$D$15)+(AK24*Archetypes!$D$15*Archetypes!$D$22)</f>
        <v>1.4157713999464736</v>
      </c>
      <c r="AM24" s="18">
        <f>AI24*Archetypes!$D$16</f>
        <v>0.18123033793477647</v>
      </c>
      <c r="AN24" s="18">
        <f>(IF(AF24&lt;0,Assumptions!$B$8,IF(AF24&lt;10,Assumptions!$B$34,IF(AF24&lt;25,Assumptions!$B$35,Assumptions!$B$36))))*((((Archetypes!$D$5*Assumptions!$B$4+Archetypes!$D$6*Assumptions!$B$5)*60))+(Assumptions!$B$6*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$20)+((Archetypes!$D$11*(IF(AF24&lt;0,1+Assumptions!$B$32*MIN(1,ABS(AF24)/ABS(Assumptions!$B$21)),MAX(0.1,1-Assumptions!$B$31*(AF24/50)))))*AJ24*Archetypes!$D$20*Archetypes!$D$21)*Assumptions!$B$18)*(IF($D24=1,1,Assumptions!$B$7)))+((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$15)*(Archetypes!$D$13*IF(AF24&lt;0,1-Assumptions!$B$33*MIN(1,ABS(AF24)/ABS(Assumptions!$B$21)),1))*5)+(((Archetypes!$D$11*(IF(AF24&lt;0,1+Assumptions!$B$32*MIN(1,ABS(AF24)/ABS(Assumptions!$B$21)),MAX(0.1,1-Assumptions!$B$31*(AF24/50)))))*AJ24*Archetypes!$D$15*Archetypes!$D$22)*(Archetypes!$D$13*IF(AF24&lt;0,1-Assumptions!$B$33*MIN(1,ABS(AF24)/ABS(Assumptions!$B$21)),1))*5*Assumptions!$B$18))*IF(AF24&lt;0,Assumptions!$B$9,1)))*$E24</f>
        <v>1290.3997124830646</v>
      </c>
      <c r="AO24" s="18">
        <f>(AO23)+(AN24)-(MAX(0,((AO23)+(AN24)-(AP24)))*(IF(Archetypes!$D$27="",Assumptions!$B$11,Archetypes!$D$27)))</f>
        <v>3278.9766901140929</v>
      </c>
      <c r="AP24" s="18">
        <f>Archetypes!$D$33</f>
        <v>201.32916645159378</v>
      </c>
      <c r="AQ24" s="18">
        <f t="shared" si="7"/>
        <v>3077.6475236624992</v>
      </c>
    </row>
    <row r="25" spans="1:43" x14ac:dyDescent="0.25">
      <c r="A25" s="14">
        <v>21</v>
      </c>
      <c r="B25" s="14">
        <f t="shared" si="0"/>
        <v>1</v>
      </c>
      <c r="C25" s="14">
        <f t="shared" si="1"/>
        <v>21</v>
      </c>
      <c r="D25" s="15">
        <f>IF(C25&lt;Assumptions!$B$10,1,0)</f>
        <v>0</v>
      </c>
      <c r="E25" s="15">
        <v>1</v>
      </c>
      <c r="F25" s="18">
        <f t="shared" si="8"/>
        <v>70.983267669945704</v>
      </c>
      <c r="G25" s="18">
        <f>MAX(Assumptions!$B$21,(F25)+(H25))</f>
        <v>71.971627562429063</v>
      </c>
      <c r="H25" s="18">
        <f>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$15)*Assumptions!$B$22+((Archetypes!$B$11*(IF(F25&lt;0,1+Assumptions!$B$32*MIN(1,ABS(F25)/ABS(Assumptions!$B$21)),MAX(0.1,1-Assumptions!$B$31*(F25/50)))))*J25*Archetypes!$B$15*Archetypes!$B$22)*Assumptions!$B$23+(Archetypes!$B$11*(IF(F25&lt;0,1+Assumptions!$B$32*MIN(1,ABS(F25)/ABS(Assumptions!$B$21)),MAX(0.1,1-Assumptions!$B$31*(F25/50)))))*Assumptions!$B$24+-((Archetypes!$B$11*(IF(F25&lt;0,1+Assumptions!$B$32*MIN(1,ABS(F25)/ABS(Assumptions!$B$21)),MAX(0.1,1-Assumptions!$B$31*(F25/50)))))*Archetypes!$B$16)*(Assumptions!$B$27*(1+Assumptions!$B$28*Archetypes!$B$14)/(1+Assumptions!$B$29*Archetypes!$B$12))+-(Archetypes!$B$11*(IF(F25&lt;0,1+Assumptions!$B$32*MIN(1,ABS(F25)/ABS(Assumptions!$B$21)),MAX(0.1,1-Assumptions!$B$31*(F25/50)))))*Archetypes!$B$17*((Archetypes!$B$31)/100)*Assumptions!$B$30+-Assumptions!$B$25*Assumptions!$B$26)*$E25</f>
        <v>0.98835989248335709</v>
      </c>
      <c r="I25" s="18">
        <f>(Archetypes!$B$11*(IF(F25&lt;0,1+Assumptions!$B$32*MIN(1,ABS(F25)/ABS(Assumptions!$B$21)),MAX(0.1,1-Assumptions!$B$31*(F25/50)))))*$E25</f>
        <v>1.4820078796065161</v>
      </c>
      <c r="J25" s="19">
        <f>Archetypes!$B$30</f>
        <v>2.1999999999999999E-2</v>
      </c>
      <c r="K25" s="18">
        <f t="shared" si="2"/>
        <v>3.260417335134335E-2</v>
      </c>
      <c r="L25" s="18">
        <f>((I25-K25)*Archetypes!$B$15)+(K25*Archetypes!$B$15*Archetypes!$B$22)</f>
        <v>0.1488528714276785</v>
      </c>
      <c r="M25" s="18">
        <f>I25*Archetypes!$B$16</f>
        <v>1.1115059097048872</v>
      </c>
      <c r="N25" s="18">
        <f>(IF(F25&lt;0,Assumptions!$B$8,IF(F25&lt;10,Assumptions!$B$34,IF(F25&lt;25,Assumptions!$B$35,Assumptions!$B$36))))*((((Archetypes!$B$5*Assumptions!$B$4+Archetypes!$B$6*Assumptions!$B$5)*60))+(Assumptions!$B$6*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$20)+((Archetypes!$B$11*(IF(F25&lt;0,1+Assumptions!$B$32*MIN(1,ABS(F25)/ABS(Assumptions!$B$21)),MAX(0.1,1-Assumptions!$B$31*(F25/50)))))*J25*Archetypes!$B$20*Archetypes!$B$21)*Assumptions!$B$18)*(IF($D25=1,1,Assumptions!$B$7)))+((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$15)*(Archetypes!$B$13*IF(F25&lt;0,1-Assumptions!$B$33*MIN(1,ABS(F25)/ABS(Assumptions!$B$21)),1))*5)+(((Archetypes!$B$11*(IF(F25&lt;0,1+Assumptions!$B$32*MIN(1,ABS(F25)/ABS(Assumptions!$B$21)),MAX(0.1,1-Assumptions!$B$31*(F25/50)))))*J25*Archetypes!$B$15*Archetypes!$B$22)*(Archetypes!$B$13*IF(F25&lt;0,1-Assumptions!$B$33*MIN(1,ABS(F25)/ABS(Assumptions!$B$21)),1))*5*Assumptions!$B$18))*IF(F25&lt;0,Assumptions!$B$9,1)))*$E25</f>
        <v>198.87095968879294</v>
      </c>
      <c r="O25" s="18">
        <f>(O24)+(N25)-(MAX(0,((O24)+(N25)-(P25)))*(IF(Archetypes!$B$27="",Assumptions!$B$11,Archetypes!$B$27)))</f>
        <v>913.18804108580059</v>
      </c>
      <c r="P25" s="18">
        <f>Archetypes!$B$33</f>
        <v>25.423199999999998</v>
      </c>
      <c r="Q25" s="18">
        <f t="shared" si="3"/>
        <v>887.76484108580064</v>
      </c>
      <c r="S25" s="18">
        <f t="shared" si="9"/>
        <v>63.580567910087261</v>
      </c>
      <c r="T25" s="18">
        <f>MAX(Assumptions!$B$21,(S25)+(U25))</f>
        <v>64.76440782154026</v>
      </c>
      <c r="U25" s="18">
        <f>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$15)*Assumptions!$B$22+((Archetypes!$C$11*(IF(S25&lt;0,1+Assumptions!$B$32*MIN(1,ABS(S25)/ABS(Assumptions!$B$21)),MAX(0.1,1-Assumptions!$B$31*(S25/50)))))*W25*Archetypes!$C$15*Archetypes!$C$22)*Assumptions!$B$23+(Archetypes!$C$11*(IF(S25&lt;0,1+Assumptions!$B$32*MIN(1,ABS(S25)/ABS(Assumptions!$B$21)),MAX(0.1,1-Assumptions!$B$31*(S25/50)))))*Assumptions!$B$24+-((Archetypes!$C$11*(IF(S25&lt;0,1+Assumptions!$B$32*MIN(1,ABS(S25)/ABS(Assumptions!$B$21)),MAX(0.1,1-Assumptions!$B$31*(S25/50)))))*Archetypes!$C$16)*(Assumptions!$B$27*(1+Assumptions!$B$28*Archetypes!$C$14)/(1+Assumptions!$B$29*Archetypes!$C$12))+-(Archetypes!$C$11*(IF(S25&lt;0,1+Assumptions!$B$32*MIN(1,ABS(S25)/ABS(Assumptions!$B$21)),MAX(0.1,1-Assumptions!$B$31*(S25/50)))))*Archetypes!$C$17*((Archetypes!$C$31)/100)*Assumptions!$B$30+-Assumptions!$B$25*Assumptions!$B$26)*$E25</f>
        <v>1.1838399114530003</v>
      </c>
      <c r="V25" s="18">
        <f>(Archetypes!$C$11*(IF(S25&lt;0,1+Assumptions!$B$32*MIN(1,ABS(S25)/ABS(Assumptions!$B$21)),MAX(0.1,1-Assumptions!$B$31*(S25/50)))))*$E25</f>
        <v>1.4221991104737173</v>
      </c>
      <c r="W25" s="19">
        <f>Archetypes!$C$30</f>
        <v>3.7999999999999999E-2</v>
      </c>
      <c r="X25" s="18">
        <f t="shared" si="4"/>
        <v>5.4043566198001255E-2</v>
      </c>
      <c r="Y25" s="18">
        <f>((V25-X25)*Archetypes!$C$15)+(X25*Archetypes!$C$15*Archetypes!$C$22)</f>
        <v>0.7192060901665589</v>
      </c>
      <c r="Z25" s="18">
        <f>V25*Archetypes!$C$16</f>
        <v>0.63998959971317282</v>
      </c>
      <c r="AA25" s="18">
        <f>(IF(S25&lt;0,Assumptions!$B$8,IF(S25&lt;10,Assumptions!$B$34,IF(S25&lt;25,Assumptions!$B$35,Assumptions!$B$36))))*((((Archetypes!$C$5*Assumptions!$B$4+Archetypes!$C$6*Assumptions!$B$5)*60))+(Assumptions!$B$6*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$20)+((Archetypes!$C$11*(IF(S25&lt;0,1+Assumptions!$B$32*MIN(1,ABS(S25)/ABS(Assumptions!$B$21)),MAX(0.1,1-Assumptions!$B$31*(S25/50)))))*W25*Archetypes!$C$20*Archetypes!$C$21)*Assumptions!$B$18)*(IF($D25=1,1,Assumptions!$B$7)))+((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$15)*(Archetypes!$C$13*IF(S25&lt;0,1-Assumptions!$B$33*MIN(1,ABS(S25)/ABS(Assumptions!$B$21)),1))*5)+(((Archetypes!$C$11*(IF(S25&lt;0,1+Assumptions!$B$32*MIN(1,ABS(S25)/ABS(Assumptions!$B$21)),MAX(0.1,1-Assumptions!$B$31*(S25/50)))))*W25*Archetypes!$C$15*Archetypes!$C$22)*(Archetypes!$C$13*IF(S25&lt;0,1-Assumptions!$B$33*MIN(1,ABS(S25)/ABS(Assumptions!$B$21)),1))*5*Assumptions!$B$18))*IF(S25&lt;0,Assumptions!$B$9,1)))*$E25</f>
        <v>773.41569899958108</v>
      </c>
      <c r="AB25" s="18">
        <f>(AB24)+(AA25)-(MAX(0,((AB24)+(AA25)-(AC25)))*(IF(Archetypes!$C$27="",Assumptions!$B$11,Archetypes!$C$27)))</f>
        <v>2488.9704059535561</v>
      </c>
      <c r="AC25" s="18">
        <f>Archetypes!$C$33</f>
        <v>90.34</v>
      </c>
      <c r="AD25" s="18">
        <f t="shared" si="5"/>
        <v>2398.630405953556</v>
      </c>
      <c r="AF25" s="18">
        <f t="shared" si="10"/>
        <v>59.33161661241909</v>
      </c>
      <c r="AG25" s="18">
        <f>MAX(Assumptions!$B$21,(AF25)+(AH25))</f>
        <v>60.439506262878112</v>
      </c>
      <c r="AH25" s="18">
        <f>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$15)*Assumptions!$B$22+((Archetypes!$D$11*(IF(AF25&lt;0,1+Assumptions!$B$32*MIN(1,ABS(AF25)/ABS(Assumptions!$B$21)),MAX(0.1,1-Assumptions!$B$31*(AF25/50)))))*AJ25*Archetypes!$D$15*Archetypes!$D$22)*Assumptions!$B$23+(Archetypes!$D$11*(IF(AF25&lt;0,1+Assumptions!$B$32*MIN(1,ABS(AF25)/ABS(Assumptions!$B$21)),MAX(0.1,1-Assumptions!$B$31*(AF25/50)))))*Assumptions!$B$24+-((Archetypes!$D$11*(IF(AF25&lt;0,1+Assumptions!$B$32*MIN(1,ABS(AF25)/ABS(Assumptions!$B$21)),MAX(0.1,1-Assumptions!$B$31*(AF25/50)))))*Archetypes!$D$16)*(Assumptions!$B$27*(1+Assumptions!$B$28*Archetypes!$D$14)/(1+Assumptions!$B$29*Archetypes!$D$12))+-(Archetypes!$D$11*(IF(AF25&lt;0,1+Assumptions!$B$32*MIN(1,ABS(AF25)/ABS(Assumptions!$B$21)),MAX(0.1,1-Assumptions!$B$31*(AF25/50)))))*Archetypes!$D$17*((Archetypes!$D$31)/100)*Assumptions!$B$30+-Assumptions!$B$25*Assumptions!$B$26)*$E25</f>
        <v>1.1078896504590245</v>
      </c>
      <c r="AI25" s="18">
        <f>(Archetypes!$D$11*(IF(AF25&lt;0,1+Assumptions!$B$32*MIN(1,ABS(AF25)/ABS(Assumptions!$B$21)),MAX(0.1,1-Assumptions!$B$31*(AF25/50)))))*$E25</f>
        <v>0.86406180195291271</v>
      </c>
      <c r="AJ25" s="19">
        <f>Archetypes!$D$30</f>
        <v>0.10400000000000001</v>
      </c>
      <c r="AK25" s="18">
        <f t="shared" si="6"/>
        <v>8.9862427403102935E-2</v>
      </c>
      <c r="AL25" s="18">
        <f>((AI25-AK25)*Archetypes!$D$15)+(AK25*Archetypes!$D$15*Archetypes!$D$22)</f>
        <v>1.350010159371231</v>
      </c>
      <c r="AM25" s="18">
        <f>AI25*Archetypes!$D$16</f>
        <v>0.17281236039058256</v>
      </c>
      <c r="AN25" s="18">
        <f>(IF(AF25&lt;0,Assumptions!$B$8,IF(AF25&lt;10,Assumptions!$B$34,IF(AF25&lt;25,Assumptions!$B$35,Assumptions!$B$36))))*((((Archetypes!$D$5*Assumptions!$B$4+Archetypes!$D$6*Assumptions!$B$5)*60))+(Assumptions!$B$6*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$20)+((Archetypes!$D$11*(IF(AF25&lt;0,1+Assumptions!$B$32*MIN(1,ABS(AF25)/ABS(Assumptions!$B$21)),MAX(0.1,1-Assumptions!$B$31*(AF25/50)))))*AJ25*Archetypes!$D$20*Archetypes!$D$21)*Assumptions!$B$18)*(IF($D25=1,1,Assumptions!$B$7)))+((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$15)*(Archetypes!$D$13*IF(AF25&lt;0,1-Assumptions!$B$33*MIN(1,ABS(AF25)/ABS(Assumptions!$B$21)),1))*5)+(((Archetypes!$D$11*(IF(AF25&lt;0,1+Assumptions!$B$32*MIN(1,ABS(AF25)/ABS(Assumptions!$B$21)),MAX(0.1,1-Assumptions!$B$31*(AF25/50)))))*AJ25*Archetypes!$D$15*Archetypes!$D$22)*(Archetypes!$D$13*IF(AF25&lt;0,1-Assumptions!$B$33*MIN(1,ABS(AF25)/ABS(Assumptions!$B$21)),1))*5*Assumptions!$B$18))*IF(AF25&lt;0,Assumptions!$B$9,1)))*$E25</f>
        <v>1280.208803643344</v>
      </c>
      <c r="AO25" s="18">
        <f>(AO24)+(AN25)-(MAX(0,((AO24)+(AN25)-(AP25)))*(IF(Archetypes!$D$27="",Assumptions!$B$11,Archetypes!$D$27)))</f>
        <v>3251.8285955656838</v>
      </c>
      <c r="AP25" s="18">
        <f>Archetypes!$D$33</f>
        <v>201.32916645159378</v>
      </c>
      <c r="AQ25" s="18">
        <f t="shared" si="7"/>
        <v>3050.4994291140902</v>
      </c>
    </row>
    <row r="26" spans="1:43" x14ac:dyDescent="0.25">
      <c r="A26" s="14">
        <v>22</v>
      </c>
      <c r="B26" s="14">
        <f t="shared" si="0"/>
        <v>1</v>
      </c>
      <c r="C26" s="14">
        <f t="shared" si="1"/>
        <v>22</v>
      </c>
      <c r="D26" s="15">
        <f>IF(C26&lt;Assumptions!$B$10,1,0)</f>
        <v>0</v>
      </c>
      <c r="E26" s="15">
        <v>1</v>
      </c>
      <c r="F26" s="18">
        <f t="shared" si="8"/>
        <v>71.971627562429063</v>
      </c>
      <c r="G26" s="18">
        <f>MAX(Assumptions!$B$21,(F26)+(H26))</f>
        <v>72.868885974838705</v>
      </c>
      <c r="H26" s="18">
        <f>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$15)*Assumptions!$B$22+((Archetypes!$B$11*(IF(F26&lt;0,1+Assumptions!$B$32*MIN(1,ABS(F26)/ABS(Assumptions!$B$21)),MAX(0.1,1-Assumptions!$B$31*(F26/50)))))*J26*Archetypes!$B$15*Archetypes!$B$22)*Assumptions!$B$23+(Archetypes!$B$11*(IF(F26&lt;0,1+Assumptions!$B$32*MIN(1,ABS(F26)/ABS(Assumptions!$B$21)),MAX(0.1,1-Assumptions!$B$31*(F26/50)))))*Assumptions!$B$24+-((Archetypes!$B$11*(IF(F26&lt;0,1+Assumptions!$B$32*MIN(1,ABS(F26)/ABS(Assumptions!$B$21)),MAX(0.1,1-Assumptions!$B$31*(F26/50)))))*Archetypes!$B$16)*(Assumptions!$B$27*(1+Assumptions!$B$28*Archetypes!$B$14)/(1+Assumptions!$B$29*Archetypes!$B$12))+-(Archetypes!$B$11*(IF(F26&lt;0,1+Assumptions!$B$32*MIN(1,ABS(F26)/ABS(Assumptions!$B$21)),MAX(0.1,1-Assumptions!$B$31*(F26/50)))))*Archetypes!$B$17*((Archetypes!$B$31)/100)*Assumptions!$B$30+-Assumptions!$B$25*Assumptions!$B$26)*$E26</f>
        <v>0.89725841240963888</v>
      </c>
      <c r="I26" s="18">
        <f>(Archetypes!$B$11*(IF(F26&lt;0,1+Assumptions!$B$32*MIN(1,ABS(F26)/ABS(Assumptions!$B$21)),MAX(0.1,1-Assumptions!$B$31*(F26/50)))))*$E26</f>
        <v>1.363404692508513</v>
      </c>
      <c r="J26" s="19">
        <f>Archetypes!$B$30</f>
        <v>2.1999999999999999E-2</v>
      </c>
      <c r="K26" s="18">
        <f t="shared" si="2"/>
        <v>2.9994903235187286E-2</v>
      </c>
      <c r="L26" s="18">
        <f>((I26-K26)*Archetypes!$B$15)+(K26*Archetypes!$B$15*Archetypes!$B$22)</f>
        <v>0.13694036731555503</v>
      </c>
      <c r="M26" s="18">
        <f>I26*Archetypes!$B$16</f>
        <v>1.0225535193813848</v>
      </c>
      <c r="N26" s="18">
        <f>(IF(F26&lt;0,Assumptions!$B$8,IF(F26&lt;10,Assumptions!$B$34,IF(F26&lt;25,Assumptions!$B$35,Assumptions!$B$36))))*((((Archetypes!$B$5*Assumptions!$B$4+Archetypes!$B$6*Assumptions!$B$5)*60))+(Assumptions!$B$6*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$20)+((Archetypes!$B$11*(IF(F26&lt;0,1+Assumptions!$B$32*MIN(1,ABS(F26)/ABS(Assumptions!$B$21)),MAX(0.1,1-Assumptions!$B$31*(F26/50)))))*J26*Archetypes!$B$20*Archetypes!$B$21)*Assumptions!$B$18)*(IF($D26=1,1,Assumptions!$B$7)))+((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$15)*(Archetypes!$B$13*IF(F26&lt;0,1-Assumptions!$B$33*MIN(1,ABS(F26)/ABS(Assumptions!$B$21)),1))*5)+(((Archetypes!$B$11*(IF(F26&lt;0,1+Assumptions!$B$32*MIN(1,ABS(F26)/ABS(Assumptions!$B$21)),MAX(0.1,1-Assumptions!$B$31*(F26/50)))))*J26*Archetypes!$B$15*Archetypes!$B$22)*(Archetypes!$B$13*IF(F26&lt;0,1-Assumptions!$B$33*MIN(1,ABS(F26)/ABS(Assumptions!$B$21)),1))*5*Assumptions!$B$18))*IF(F26&lt;0,Assumptions!$B$9,1)))*$E26</f>
        <v>195.19996570205421</v>
      </c>
      <c r="O26" s="18">
        <f>(O25)+(N26)-(MAX(0,((O25)+(N26)-(P26)))*(IF(Archetypes!$B$27="",Assumptions!$B$11,Archetypes!$B$27)))</f>
        <v>891.79504543028395</v>
      </c>
      <c r="P26" s="18">
        <f>Archetypes!$B$33</f>
        <v>25.423199999999998</v>
      </c>
      <c r="Q26" s="18">
        <f t="shared" si="3"/>
        <v>866.371845430284</v>
      </c>
      <c r="S26" s="18">
        <f t="shared" si="9"/>
        <v>64.76440782154026</v>
      </c>
      <c r="T26" s="18">
        <f>MAX(Assumptions!$B$21,(S26)+(U26))</f>
        <v>65.868306879708555</v>
      </c>
      <c r="U26" s="18">
        <f>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$15)*Assumptions!$B$22+((Archetypes!$C$11*(IF(S26&lt;0,1+Assumptions!$B$32*MIN(1,ABS(S26)/ABS(Assumptions!$B$21)),MAX(0.1,1-Assumptions!$B$31*(S26/50)))))*W26*Archetypes!$C$15*Archetypes!$C$22)*Assumptions!$B$23+(Archetypes!$C$11*(IF(S26&lt;0,1+Assumptions!$B$32*MIN(1,ABS(S26)/ABS(Assumptions!$B$21)),MAX(0.1,1-Assumptions!$B$31*(S26/50)))))*Assumptions!$B$24+-((Archetypes!$C$11*(IF(S26&lt;0,1+Assumptions!$B$32*MIN(1,ABS(S26)/ABS(Assumptions!$B$21)),MAX(0.1,1-Assumptions!$B$31*(S26/50)))))*Archetypes!$C$16)*(Assumptions!$B$27*(1+Assumptions!$B$28*Archetypes!$C$14)/(1+Assumptions!$B$29*Archetypes!$C$12))+-(Archetypes!$C$11*(IF(S26&lt;0,1+Assumptions!$B$32*MIN(1,ABS(S26)/ABS(Assumptions!$B$21)),MAX(0.1,1-Assumptions!$B$31*(S26/50)))))*Archetypes!$C$17*((Archetypes!$C$31)/100)*Assumptions!$B$30+-Assumptions!$B$25*Assumptions!$B$26)*$E26</f>
        <v>1.103899058168291</v>
      </c>
      <c r="V26" s="18">
        <f>(Archetypes!$C$11*(IF(S26&lt;0,1+Assumptions!$B$32*MIN(1,ABS(S26)/ABS(Assumptions!$B$21)),MAX(0.1,1-Assumptions!$B$31*(S26/50)))))*$E26</f>
        <v>1.3369626368491014</v>
      </c>
      <c r="W26" s="19">
        <f>Archetypes!$C$30</f>
        <v>3.7999999999999999E-2</v>
      </c>
      <c r="X26" s="18">
        <f t="shared" si="4"/>
        <v>5.0804580200265854E-2</v>
      </c>
      <c r="Y26" s="18">
        <f>((V26-X26)*Archetypes!$C$15)+(X26*Archetypes!$C$15*Archetypes!$C$22)</f>
        <v>0.67610200545459054</v>
      </c>
      <c r="Z26" s="18">
        <f>V26*Archetypes!$C$16</f>
        <v>0.60163318658209564</v>
      </c>
      <c r="AA26" s="18">
        <f>(IF(S26&lt;0,Assumptions!$B$8,IF(S26&lt;10,Assumptions!$B$34,IF(S26&lt;25,Assumptions!$B$35,Assumptions!$B$36))))*((((Archetypes!$C$5*Assumptions!$B$4+Archetypes!$C$6*Assumptions!$B$5)*60))+(Assumptions!$B$6*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$20)+((Archetypes!$C$11*(IF(S26&lt;0,1+Assumptions!$B$32*MIN(1,ABS(S26)/ABS(Assumptions!$B$21)),MAX(0.1,1-Assumptions!$B$31*(S26/50)))))*W26*Archetypes!$C$20*Archetypes!$C$21)*Assumptions!$B$18)*(IF($D26=1,1,Assumptions!$B$7)))+((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$15)*(Archetypes!$C$13*IF(S26&lt;0,1-Assumptions!$B$33*MIN(1,ABS(S26)/ABS(Assumptions!$B$21)),1))*5)+(((Archetypes!$C$11*(IF(S26&lt;0,1+Assumptions!$B$32*MIN(1,ABS(S26)/ABS(Assumptions!$B$21)),MAX(0.1,1-Assumptions!$B$31*(S26/50)))))*W26*Archetypes!$C$15*Archetypes!$C$22)*(Archetypes!$C$13*IF(S26&lt;0,1-Assumptions!$B$33*MIN(1,ABS(S26)/ABS(Assumptions!$B$21)),1))*5*Assumptions!$B$18))*IF(S26&lt;0,Assumptions!$B$9,1)))*$E26</f>
        <v>766.79816932584481</v>
      </c>
      <c r="AB26" s="18">
        <f>(AB25)+(AA26)-(MAX(0,((AB25)+(AA26)-(AC26)))*(IF(Archetypes!$C$27="",Assumptions!$B$11,Archetypes!$C$27)))</f>
        <v>2464.4114314595508</v>
      </c>
      <c r="AC26" s="18">
        <f>Archetypes!$C$33</f>
        <v>90.34</v>
      </c>
      <c r="AD26" s="18">
        <f t="shared" si="5"/>
        <v>2374.0714314595507</v>
      </c>
      <c r="AF26" s="18">
        <f t="shared" si="10"/>
        <v>60.439506262878112</v>
      </c>
      <c r="AG26" s="18">
        <f>MAX(Assumptions!$B$21,(AF26)+(AH26))</f>
        <v>61.489333278011195</v>
      </c>
      <c r="AH26" s="18">
        <f>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$15)*Assumptions!$B$22+((Archetypes!$D$11*(IF(AF26&lt;0,1+Assumptions!$B$32*MIN(1,ABS(AF26)/ABS(Assumptions!$B$21)),MAX(0.1,1-Assumptions!$B$31*(AF26/50)))))*AJ26*Archetypes!$D$15*Archetypes!$D$22)*Assumptions!$B$23+(Archetypes!$D$11*(IF(AF26&lt;0,1+Assumptions!$B$32*MIN(1,ABS(AF26)/ABS(Assumptions!$B$21)),MAX(0.1,1-Assumptions!$B$31*(AF26/50)))))*Assumptions!$B$24+-((Archetypes!$D$11*(IF(AF26&lt;0,1+Assumptions!$B$32*MIN(1,ABS(AF26)/ABS(Assumptions!$B$21)),MAX(0.1,1-Assumptions!$B$31*(AF26/50)))))*Archetypes!$D$16)*(Assumptions!$B$27*(1+Assumptions!$B$28*Archetypes!$D$14)/(1+Assumptions!$B$29*Archetypes!$D$12))+-(Archetypes!$D$11*(IF(AF26&lt;0,1+Assumptions!$B$32*MIN(1,ABS(AF26)/ABS(Assumptions!$B$21)),MAX(0.1,1-Assumptions!$B$31*(AF26/50)))))*Archetypes!$D$17*((Archetypes!$D$31)/100)*Assumptions!$B$30+-Assumptions!$B$25*Assumptions!$B$26)*$E26</f>
        <v>1.0498270151330804</v>
      </c>
      <c r="AI26" s="18">
        <f>(Archetypes!$D$11*(IF(AF26&lt;0,1+Assumptions!$B$32*MIN(1,ABS(AF26)/ABS(Assumptions!$B$21)),MAX(0.1,1-Assumptions!$B$31*(AF26/50)))))*$E26</f>
        <v>0.8241777745363883</v>
      </c>
      <c r="AJ26" s="19">
        <f>Archetypes!$D$30</f>
        <v>0.10400000000000001</v>
      </c>
      <c r="AK26" s="18">
        <f t="shared" si="6"/>
        <v>8.5714488551784387E-2</v>
      </c>
      <c r="AL26" s="18">
        <f>((AI26-AK26)*Archetypes!$D$15)+(AK26*Archetypes!$D$15*Archetypes!$D$22)</f>
        <v>1.2876953549356531</v>
      </c>
      <c r="AM26" s="18">
        <f>AI26*Archetypes!$D$16</f>
        <v>0.16483555490727766</v>
      </c>
      <c r="AN26" s="18">
        <f>(IF(AF26&lt;0,Assumptions!$B$8,IF(AF26&lt;10,Assumptions!$B$34,IF(AF26&lt;25,Assumptions!$B$35,Assumptions!$B$36))))*((((Archetypes!$D$5*Assumptions!$B$4+Archetypes!$D$6*Assumptions!$B$5)*60))+(Assumptions!$B$6*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$20)+((Archetypes!$D$11*(IF(AF26&lt;0,1+Assumptions!$B$32*MIN(1,ABS(AF26)/ABS(Assumptions!$B$21)),MAX(0.1,1-Assumptions!$B$31*(AF26/50)))))*AJ26*Archetypes!$D$20*Archetypes!$D$21)*Assumptions!$B$18)*(IF($D26=1,1,Assumptions!$B$7)))+((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$15)*(Archetypes!$D$13*IF(AF26&lt;0,1-Assumptions!$B$33*MIN(1,ABS(AF26)/ABS(Assumptions!$B$21)),1))*5)+(((Archetypes!$D$11*(IF(AF26&lt;0,1+Assumptions!$B$32*MIN(1,ABS(AF26)/ABS(Assumptions!$B$21)),MAX(0.1,1-Assumptions!$B$31*(AF26/50)))))*AJ26*Archetypes!$D$15*Archetypes!$D$22)*(Archetypes!$D$13*IF(AF26&lt;0,1-Assumptions!$B$33*MIN(1,ABS(AF26)/ABS(Assumptions!$B$21)),1))*5*Assumptions!$B$18))*IF(AF26&lt;0,Assumptions!$B$9,1)))*$E26</f>
        <v>1270.5519832151867</v>
      </c>
      <c r="AO26" s="18">
        <f>(AO25)+(AN26)-(MAX(0,((AO25)+(AN26)-(AP26)))*(IF(Archetypes!$D$27="",Assumptions!$B$11,Archetypes!$D$27)))</f>
        <v>3226.0651550820876</v>
      </c>
      <c r="AP26" s="18">
        <f>Archetypes!$D$33</f>
        <v>201.32916645159378</v>
      </c>
      <c r="AQ26" s="18">
        <f t="shared" si="7"/>
        <v>3024.7359886304939</v>
      </c>
    </row>
    <row r="27" spans="1:43" x14ac:dyDescent="0.25">
      <c r="A27" s="14">
        <v>23</v>
      </c>
      <c r="B27" s="14">
        <f t="shared" si="0"/>
        <v>1</v>
      </c>
      <c r="C27" s="14">
        <f t="shared" si="1"/>
        <v>23</v>
      </c>
      <c r="D27" s="15">
        <f>IF(C27&lt;Assumptions!$B$10,1,0)</f>
        <v>0</v>
      </c>
      <c r="E27" s="15">
        <v>1</v>
      </c>
      <c r="F27" s="18">
        <f t="shared" si="8"/>
        <v>72.868885974838705</v>
      </c>
      <c r="G27" s="18">
        <f>MAX(Assumptions!$B$21,(F27)+(H27))</f>
        <v>73.683440131439525</v>
      </c>
      <c r="H27" s="18">
        <f>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$15)*Assumptions!$B$22+((Archetypes!$B$11*(IF(F27&lt;0,1+Assumptions!$B$32*MIN(1,ABS(F27)/ABS(Assumptions!$B$21)),MAX(0.1,1-Assumptions!$B$31*(F27/50)))))*J27*Archetypes!$B$15*Archetypes!$B$22)*Assumptions!$B$23+(Archetypes!$B$11*(IF(F27&lt;0,1+Assumptions!$B$32*MIN(1,ABS(F27)/ABS(Assumptions!$B$21)),MAX(0.1,1-Assumptions!$B$31*(F27/50)))))*Assumptions!$B$24+-((Archetypes!$B$11*(IF(F27&lt;0,1+Assumptions!$B$32*MIN(1,ABS(F27)/ABS(Assumptions!$B$21)),MAX(0.1,1-Assumptions!$B$31*(F27/50)))))*Archetypes!$B$16)*(Assumptions!$B$27*(1+Assumptions!$B$28*Archetypes!$B$14)/(1+Assumptions!$B$29*Archetypes!$B$12))+-(Archetypes!$B$11*(IF(F27&lt;0,1+Assumptions!$B$32*MIN(1,ABS(F27)/ABS(Assumptions!$B$21)),MAX(0.1,1-Assumptions!$B$31*(F27/50)))))*Archetypes!$B$17*((Archetypes!$B$31)/100)*Assumptions!$B$30+-Assumptions!$B$25*Assumptions!$B$26)*$E27</f>
        <v>0.81455415660082731</v>
      </c>
      <c r="I27" s="18">
        <f>(Archetypes!$B$11*(IF(F27&lt;0,1+Assumptions!$B$32*MIN(1,ABS(F27)/ABS(Assumptions!$B$21)),MAX(0.1,1-Assumptions!$B$31*(F27/50)))))*$E27</f>
        <v>1.2557336830193555</v>
      </c>
      <c r="J27" s="19">
        <f>Archetypes!$B$30</f>
        <v>2.1999999999999999E-2</v>
      </c>
      <c r="K27" s="18">
        <f t="shared" si="2"/>
        <v>2.762614102642582E-2</v>
      </c>
      <c r="L27" s="18">
        <f>((I27-K27)*Archetypes!$B$15)+(K27*Archetypes!$B$15*Archetypes!$B$22)</f>
        <v>0.12612589112246408</v>
      </c>
      <c r="M27" s="18">
        <f>I27*Archetypes!$B$16</f>
        <v>0.94180026226451663</v>
      </c>
      <c r="N27" s="18">
        <f>(IF(F27&lt;0,Assumptions!$B$8,IF(F27&lt;10,Assumptions!$B$34,IF(F27&lt;25,Assumptions!$B$35,Assumptions!$B$36))))*((((Archetypes!$B$5*Assumptions!$B$4+Archetypes!$B$6*Assumptions!$B$5)*60))+(Assumptions!$B$6*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$20)+((Archetypes!$B$11*(IF(F27&lt;0,1+Assumptions!$B$32*MIN(1,ABS(F27)/ABS(Assumptions!$B$21)),MAX(0.1,1-Assumptions!$B$31*(F27/50)))))*J27*Archetypes!$B$20*Archetypes!$B$21)*Assumptions!$B$18)*(IF($D27=1,1,Assumptions!$B$7)))+((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$15)*(Archetypes!$B$13*IF(F27&lt;0,1-Assumptions!$B$33*MIN(1,ABS(F27)/ABS(Assumptions!$B$21)),1))*5)+(((Archetypes!$B$11*(IF(F27&lt;0,1+Assumptions!$B$32*MIN(1,ABS(F27)/ABS(Assumptions!$B$21)),MAX(0.1,1-Assumptions!$B$31*(F27/50)))))*J27*Archetypes!$B$15*Archetypes!$B$22)*(Archetypes!$B$13*IF(F27&lt;0,1-Assumptions!$B$33*MIN(1,ABS(F27)/ABS(Assumptions!$B$21)),1))*5*Assumptions!$B$18))*IF(F27&lt;0,Assumptions!$B$9,1)))*$E27</f>
        <v>191.86734338344675</v>
      </c>
      <c r="O27" s="18">
        <f>(O26)+(N27)-(MAX(0,((O26)+(N27)-(P27)))*(IF(Archetypes!$B$27="",Assumptions!$B$11,Archetypes!$B$27)))</f>
        <v>872.01455105098466</v>
      </c>
      <c r="P27" s="18">
        <f>Archetypes!$B$33</f>
        <v>25.423199999999998</v>
      </c>
      <c r="Q27" s="18">
        <f t="shared" si="3"/>
        <v>846.59135105098471</v>
      </c>
      <c r="S27" s="18">
        <f t="shared" si="9"/>
        <v>65.868306879708555</v>
      </c>
      <c r="T27" s="18">
        <f>MAX(Assumptions!$B$21,(S27)+(U27))</f>
        <v>66.897663230035675</v>
      </c>
      <c r="U27" s="18">
        <f>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$15)*Assumptions!$B$22+((Archetypes!$C$11*(IF(S27&lt;0,1+Assumptions!$B$32*MIN(1,ABS(S27)/ABS(Assumptions!$B$21)),MAX(0.1,1-Assumptions!$B$31*(S27/50)))))*W27*Archetypes!$C$15*Archetypes!$C$22)*Assumptions!$B$23+(Archetypes!$C$11*(IF(S27&lt;0,1+Assumptions!$B$32*MIN(1,ABS(S27)/ABS(Assumptions!$B$21)),MAX(0.1,1-Assumptions!$B$31*(S27/50)))))*Assumptions!$B$24+-((Archetypes!$C$11*(IF(S27&lt;0,1+Assumptions!$B$32*MIN(1,ABS(S27)/ABS(Assumptions!$B$21)),MAX(0.1,1-Assumptions!$B$31*(S27/50)))))*Archetypes!$C$16)*(Assumptions!$B$27*(1+Assumptions!$B$28*Archetypes!$C$14)/(1+Assumptions!$B$29*Archetypes!$C$12))+-(Archetypes!$C$11*(IF(S27&lt;0,1+Assumptions!$B$32*MIN(1,ABS(S27)/ABS(Assumptions!$B$21)),MAX(0.1,1-Assumptions!$B$31*(S27/50)))))*Archetypes!$C$17*((Archetypes!$C$31)/100)*Assumptions!$B$30+-Assumptions!$B$25*Assumptions!$B$26)*$E27</f>
        <v>1.0293563503271175</v>
      </c>
      <c r="V27" s="18">
        <f>(Archetypes!$C$11*(IF(S27&lt;0,1+Assumptions!$B$32*MIN(1,ABS(S27)/ABS(Assumptions!$B$21)),MAX(0.1,1-Assumptions!$B$31*(S27/50)))))*$E27</f>
        <v>1.2574819046609835</v>
      </c>
      <c r="W27" s="19">
        <f>Archetypes!$C$30</f>
        <v>3.7999999999999999E-2</v>
      </c>
      <c r="X27" s="18">
        <f t="shared" si="4"/>
        <v>4.7784312377117374E-2</v>
      </c>
      <c r="Y27" s="18">
        <f>((V27-X27)*Archetypes!$C$15)+(X27*Archetypes!$C$15*Archetypes!$C$22)</f>
        <v>0.63590859918705944</v>
      </c>
      <c r="Z27" s="18">
        <f>V27*Archetypes!$C$16</f>
        <v>0.56586685709744255</v>
      </c>
      <c r="AA27" s="18">
        <f>(IF(S27&lt;0,Assumptions!$B$8,IF(S27&lt;10,Assumptions!$B$34,IF(S27&lt;25,Assumptions!$B$35,Assumptions!$B$36))))*((((Archetypes!$C$5*Assumptions!$B$4+Archetypes!$C$6*Assumptions!$B$5)*60))+(Assumptions!$B$6*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$20)+((Archetypes!$C$11*(IF(S27&lt;0,1+Assumptions!$B$32*MIN(1,ABS(S27)/ABS(Assumptions!$B$21)),MAX(0.1,1-Assumptions!$B$31*(S27/50)))))*W27*Archetypes!$C$20*Archetypes!$C$21)*Assumptions!$B$18)*(IF($D27=1,1,Assumptions!$B$7)))+((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$15)*(Archetypes!$C$13*IF(S27&lt;0,1-Assumptions!$B$33*MIN(1,ABS(S27)/ABS(Assumptions!$B$21)),1))*5)+(((Archetypes!$C$11*(IF(S27&lt;0,1+Assumptions!$B$32*MIN(1,ABS(S27)/ABS(Assumptions!$B$21)),MAX(0.1,1-Assumptions!$B$31*(S27/50)))))*W27*Archetypes!$C$15*Archetypes!$C$22)*(Archetypes!$C$13*IF(S27&lt;0,1-Assumptions!$B$33*MIN(1,ABS(S27)/ABS(Assumptions!$B$21)),1))*5*Assumptions!$B$18))*IF(S27&lt;0,Assumptions!$B$9,1)))*$E27</f>
        <v>760.62749987673612</v>
      </c>
      <c r="AB27" s="18">
        <f>(AB26)+(AA27)-(MAX(0,((AB26)+(AA27)-(AC27)))*(IF(Archetypes!$C$27="",Assumptions!$B$11,Archetypes!$C$27)))</f>
        <v>2441.3641985022155</v>
      </c>
      <c r="AC27" s="18">
        <f>Archetypes!$C$33</f>
        <v>90.34</v>
      </c>
      <c r="AD27" s="18">
        <f t="shared" si="5"/>
        <v>2351.0241985022153</v>
      </c>
      <c r="AF27" s="18">
        <f t="shared" si="10"/>
        <v>61.489333278011195</v>
      </c>
      <c r="AG27" s="18">
        <f>MAX(Assumptions!$B$21,(AF27)+(AH27))</f>
        <v>62.484140622990537</v>
      </c>
      <c r="AH27" s="18">
        <f>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$15)*Assumptions!$B$22+((Archetypes!$D$11*(IF(AF27&lt;0,1+Assumptions!$B$32*MIN(1,ABS(AF27)/ABS(Assumptions!$B$21)),MAX(0.1,1-Assumptions!$B$31*(AF27/50)))))*AJ27*Archetypes!$D$15*Archetypes!$D$22)*Assumptions!$B$23+(Archetypes!$D$11*(IF(AF27&lt;0,1+Assumptions!$B$32*MIN(1,ABS(AF27)/ABS(Assumptions!$B$21)),MAX(0.1,1-Assumptions!$B$31*(AF27/50)))))*Assumptions!$B$24+-((Archetypes!$D$11*(IF(AF27&lt;0,1+Assumptions!$B$32*MIN(1,ABS(AF27)/ABS(Assumptions!$B$21)),MAX(0.1,1-Assumptions!$B$31*(AF27/50)))))*Archetypes!$D$16)*(Assumptions!$B$27*(1+Assumptions!$B$28*Archetypes!$D$14)/(1+Assumptions!$B$29*Archetypes!$D$12))+-(Archetypes!$D$11*(IF(AF27&lt;0,1+Assumptions!$B$32*MIN(1,ABS(AF27)/ABS(Assumptions!$B$21)),MAX(0.1,1-Assumptions!$B$31*(AF27/50)))))*Archetypes!$D$17*((Archetypes!$D$31)/100)*Assumptions!$B$30+-Assumptions!$B$25*Assumptions!$B$26)*$E27</f>
        <v>0.99480734497934031</v>
      </c>
      <c r="AI27" s="18">
        <f>(Archetypes!$D$11*(IF(AF27&lt;0,1+Assumptions!$B$32*MIN(1,ABS(AF27)/ABS(Assumptions!$B$21)),MAX(0.1,1-Assumptions!$B$31*(AF27/50)))))*$E27</f>
        <v>0.78638400199159697</v>
      </c>
      <c r="AJ27" s="19">
        <f>Archetypes!$D$30</f>
        <v>0.10400000000000001</v>
      </c>
      <c r="AK27" s="18">
        <f t="shared" si="6"/>
        <v>8.1783936207126096E-2</v>
      </c>
      <c r="AL27" s="18">
        <f>((AI27-AK27)*Archetypes!$D$15)+(AK27*Archetypes!$D$15*Archetypes!$D$22)</f>
        <v>1.228646364711671</v>
      </c>
      <c r="AM27" s="18">
        <f>AI27*Archetypes!$D$16</f>
        <v>0.1572768003983194</v>
      </c>
      <c r="AN27" s="18">
        <f>(IF(AF27&lt;0,Assumptions!$B$8,IF(AF27&lt;10,Assumptions!$B$34,IF(AF27&lt;25,Assumptions!$B$35,Assumptions!$B$36))))*((((Archetypes!$D$5*Assumptions!$B$4+Archetypes!$D$6*Assumptions!$B$5)*60))+(Assumptions!$B$6*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$20)+((Archetypes!$D$11*(IF(AF27&lt;0,1+Assumptions!$B$32*MIN(1,ABS(AF27)/ABS(Assumptions!$B$21)),MAX(0.1,1-Assumptions!$B$31*(AF27/50)))))*AJ27*Archetypes!$D$20*Archetypes!$D$21)*Assumptions!$B$18)*(IF($D27=1,1,Assumptions!$B$7)))+((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$15)*(Archetypes!$D$13*IF(AF27&lt;0,1-Assumptions!$B$33*MIN(1,ABS(AF27)/ABS(Assumptions!$B$21)),1))*5)+(((Archetypes!$D$11*(IF(AF27&lt;0,1+Assumptions!$B$32*MIN(1,ABS(AF27)/ABS(Assumptions!$B$21)),MAX(0.1,1-Assumptions!$B$31*(AF27/50)))))*AJ27*Archetypes!$D$15*Archetypes!$D$22)*(Archetypes!$D$13*IF(AF27&lt;0,1-Assumptions!$B$33*MIN(1,ABS(AF27)/ABS(Assumptions!$B$21)),1))*5*Assumptions!$B$18))*IF(AF27&lt;0,Assumptions!$B$9,1)))*$E27</f>
        <v>1261.4012605222104</v>
      </c>
      <c r="AO27" s="18">
        <f>(AO26)+(AN27)-(MAX(0,((AO26)+(AN27)-(AP27)))*(IF(Archetypes!$D$27="",Assumptions!$B$11,Archetypes!$D$27)))</f>
        <v>3201.6252408584869</v>
      </c>
      <c r="AP27" s="18">
        <f>Archetypes!$D$33</f>
        <v>201.32916645159378</v>
      </c>
      <c r="AQ27" s="18">
        <f t="shared" si="7"/>
        <v>3000.2960744068932</v>
      </c>
    </row>
    <row r="28" spans="1:43" x14ac:dyDescent="0.25">
      <c r="A28" s="14">
        <v>24</v>
      </c>
      <c r="B28" s="14">
        <f t="shared" si="0"/>
        <v>2</v>
      </c>
      <c r="C28" s="14">
        <f t="shared" si="1"/>
        <v>0</v>
      </c>
      <c r="D28" s="15">
        <f>IF(C28&lt;Assumptions!$B$10,1,0)</f>
        <v>1</v>
      </c>
      <c r="E28" s="15">
        <v>1</v>
      </c>
      <c r="F28" s="18">
        <f t="shared" si="8"/>
        <v>73.683440131439525</v>
      </c>
      <c r="G28" s="18">
        <f>MAX(Assumptions!$B$21,(F28)+(H28))</f>
        <v>74.422913247388166</v>
      </c>
      <c r="H28" s="18">
        <f>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$15)*Assumptions!$B$22+((Archetypes!$B$11*(IF(F28&lt;0,1+Assumptions!$B$32*MIN(1,ABS(F28)/ABS(Assumptions!$B$21)),MAX(0.1,1-Assumptions!$B$31*(F28/50)))))*J28*Archetypes!$B$15*Archetypes!$B$22)*Assumptions!$B$23+(Archetypes!$B$11*(IF(F28&lt;0,1+Assumptions!$B$32*MIN(1,ABS(F28)/ABS(Assumptions!$B$21)),MAX(0.1,1-Assumptions!$B$31*(F28/50)))))*Assumptions!$B$24+-((Archetypes!$B$11*(IF(F28&lt;0,1+Assumptions!$B$32*MIN(1,ABS(F28)/ABS(Assumptions!$B$21)),MAX(0.1,1-Assumptions!$B$31*(F28/50)))))*Archetypes!$B$16)*(Assumptions!$B$27*(1+Assumptions!$B$28*Archetypes!$B$14)/(1+Assumptions!$B$29*Archetypes!$B$12))+-(Archetypes!$B$11*(IF(F28&lt;0,1+Assumptions!$B$32*MIN(1,ABS(F28)/ABS(Assumptions!$B$21)),MAX(0.1,1-Assumptions!$B$31*(F28/50)))))*Archetypes!$B$17*((Archetypes!$B$31)/100)*Assumptions!$B$30+-Assumptions!$B$25*Assumptions!$B$26)*$E28</f>
        <v>0.73947311594864074</v>
      </c>
      <c r="I28" s="18">
        <f>(Archetypes!$B$11*(IF(F28&lt;0,1+Assumptions!$B$32*MIN(1,ABS(F28)/ABS(Assumptions!$B$21)),MAX(0.1,1-Assumptions!$B$31*(F28/50)))))*$E28</f>
        <v>1.1579871842272571</v>
      </c>
      <c r="J28" s="19">
        <f>Archetypes!$B$30</f>
        <v>2.1999999999999999E-2</v>
      </c>
      <c r="K28" s="18">
        <f t="shared" si="2"/>
        <v>2.5475718052999655E-2</v>
      </c>
      <c r="L28" s="18">
        <f>((I28-K28)*Archetypes!$B$15)+(K28*Archetypes!$B$15*Archetypes!$B$22)</f>
        <v>0.1163082327837857</v>
      </c>
      <c r="M28" s="18">
        <f>I28*Archetypes!$B$16</f>
        <v>0.86849038817044288</v>
      </c>
      <c r="N28" s="18">
        <f>(IF(F28&lt;0,Assumptions!$B$8,IF(F28&lt;10,Assumptions!$B$34,IF(F28&lt;25,Assumptions!$B$35,Assumptions!$B$36))))*((((Archetypes!$B$5*Assumptions!$B$4+Archetypes!$B$6*Assumptions!$B$5)*60))+(Assumptions!$B$6*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$20)+((Archetypes!$B$11*(IF(F28&lt;0,1+Assumptions!$B$32*MIN(1,ABS(F28)/ABS(Assumptions!$B$21)),MAX(0.1,1-Assumptions!$B$31*(F28/50)))))*J28*Archetypes!$B$20*Archetypes!$B$21)*Assumptions!$B$18)*(IF($D28=1,1,Assumptions!$B$7)))+((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$15)*(Archetypes!$B$13*IF(F28&lt;0,1-Assumptions!$B$33*MIN(1,ABS(F28)/ABS(Assumptions!$B$21)),1))*5)+(((Archetypes!$B$11*(IF(F28&lt;0,1+Assumptions!$B$32*MIN(1,ABS(F28)/ABS(Assumptions!$B$21)),MAX(0.1,1-Assumptions!$B$31*(F28/50)))))*J28*Archetypes!$B$15*Archetypes!$B$22)*(Archetypes!$B$13*IF(F28&lt;0,1-Assumptions!$B$33*MIN(1,ABS(F28)/ABS(Assumptions!$B$21)),1))*5*Assumptions!$B$18))*IF(F28&lt;0,Assumptions!$B$9,1)))*$E28</f>
        <v>203.2696132519263</v>
      </c>
      <c r="O28" s="18">
        <f>(O27)+(N28)-(MAX(0,((O27)+(N28)-(P28)))*(IF(Archetypes!$B$27="",Assumptions!$B$11,Archetypes!$B$27)))</f>
        <v>865.31197144232874</v>
      </c>
      <c r="P28" s="18">
        <f>Archetypes!$B$33</f>
        <v>25.423199999999998</v>
      </c>
      <c r="Q28" s="18">
        <f t="shared" si="3"/>
        <v>839.88877144232879</v>
      </c>
      <c r="S28" s="18">
        <f t="shared" si="9"/>
        <v>66.897663230035675</v>
      </c>
      <c r="T28" s="18">
        <f>MAX(Assumptions!$B$21,(S28)+(U28))</f>
        <v>67.857510498785885</v>
      </c>
      <c r="U28" s="18">
        <f>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$15)*Assumptions!$B$22+((Archetypes!$C$11*(IF(S28&lt;0,1+Assumptions!$B$32*MIN(1,ABS(S28)/ABS(Assumptions!$B$21)),MAX(0.1,1-Assumptions!$B$31*(S28/50)))))*W28*Archetypes!$C$15*Archetypes!$C$22)*Assumptions!$B$23+(Archetypes!$C$11*(IF(S28&lt;0,1+Assumptions!$B$32*MIN(1,ABS(S28)/ABS(Assumptions!$B$21)),MAX(0.1,1-Assumptions!$B$31*(S28/50)))))*Assumptions!$B$24+-((Archetypes!$C$11*(IF(S28&lt;0,1+Assumptions!$B$32*MIN(1,ABS(S28)/ABS(Assumptions!$B$21)),MAX(0.1,1-Assumptions!$B$31*(S28/50)))))*Archetypes!$C$16)*(Assumptions!$B$27*(1+Assumptions!$B$28*Archetypes!$C$14)/(1+Assumptions!$B$29*Archetypes!$C$12))+-(Archetypes!$C$11*(IF(S28&lt;0,1+Assumptions!$B$32*MIN(1,ABS(S28)/ABS(Assumptions!$B$21)),MAX(0.1,1-Assumptions!$B$31*(S28/50)))))*Archetypes!$C$17*((Archetypes!$C$31)/100)*Assumptions!$B$30+-Assumptions!$B$25*Assumptions!$B$26)*$E28</f>
        <v>0.95984726875021165</v>
      </c>
      <c r="V28" s="18">
        <f>(Archetypes!$C$11*(IF(S28&lt;0,1+Assumptions!$B$32*MIN(1,ABS(S28)/ABS(Assumptions!$B$21)),MAX(0.1,1-Assumptions!$B$31*(S28/50)))))*$E28</f>
        <v>1.1833682474374316</v>
      </c>
      <c r="W28" s="19">
        <f>Archetypes!$C$30</f>
        <v>3.7999999999999999E-2</v>
      </c>
      <c r="X28" s="18">
        <f t="shared" si="4"/>
        <v>4.4967993402622398E-2</v>
      </c>
      <c r="Y28" s="18">
        <f>((V28-X28)*Archetypes!$C$15)+(X28*Archetypes!$C$15*Archetypes!$C$22)</f>
        <v>0.5984293227291092</v>
      </c>
      <c r="Z28" s="18">
        <f>V28*Archetypes!$C$16</f>
        <v>0.53251571134684428</v>
      </c>
      <c r="AA28" s="18">
        <f>(IF(S28&lt;0,Assumptions!$B$8,IF(S28&lt;10,Assumptions!$B$34,IF(S28&lt;25,Assumptions!$B$35,Assumptions!$B$36))))*((((Archetypes!$C$5*Assumptions!$B$4+Archetypes!$C$6*Assumptions!$B$5)*60))+(Assumptions!$B$6*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$20)+((Archetypes!$C$11*(IF(S28&lt;0,1+Assumptions!$B$32*MIN(1,ABS(S28)/ABS(Assumptions!$B$21)),MAX(0.1,1-Assumptions!$B$31*(S28/50)))))*W28*Archetypes!$C$20*Archetypes!$C$21)*Assumptions!$B$18)*(IF($D28=1,1,Assumptions!$B$7)))+((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$15)*(Archetypes!$C$13*IF(S28&lt;0,1-Assumptions!$B$33*MIN(1,ABS(S28)/ABS(Assumptions!$B$21)),1))*5)+(((Archetypes!$C$11*(IF(S28&lt;0,1+Assumptions!$B$32*MIN(1,ABS(S28)/ABS(Assumptions!$B$21)),MAX(0.1,1-Assumptions!$B$31*(S28/50)))))*W28*Archetypes!$C$15*Archetypes!$C$22)*(Archetypes!$C$13*IF(S28&lt;0,1-Assumptions!$B$33*MIN(1,ABS(S28)/ABS(Assumptions!$B$21)),1))*5*Assumptions!$B$18))*IF(S28&lt;0,Assumptions!$B$9,1)))*$E28</f>
        <v>822.40414056074985</v>
      </c>
      <c r="AB28" s="18">
        <f>(AB27)+(AA28)-(MAX(0,((AB27)+(AA28)-(AC28)))*(IF(Archetypes!$C$27="",Assumptions!$B$11,Archetypes!$C$27)))</f>
        <v>2470.4112542972243</v>
      </c>
      <c r="AC28" s="18">
        <f>Archetypes!$C$33</f>
        <v>90.34</v>
      </c>
      <c r="AD28" s="18">
        <f t="shared" si="5"/>
        <v>2380.0712542972242</v>
      </c>
      <c r="AF28" s="18">
        <f t="shared" si="10"/>
        <v>62.484140622990537</v>
      </c>
      <c r="AG28" s="18">
        <f>MAX(Assumptions!$B$21,(AF28)+(AH28))</f>
        <v>63.42681178629585</v>
      </c>
      <c r="AH28" s="18">
        <f>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$15)*Assumptions!$B$22+((Archetypes!$D$11*(IF(AF28&lt;0,1+Assumptions!$B$32*MIN(1,ABS(AF28)/ABS(Assumptions!$B$21)),MAX(0.1,1-Assumptions!$B$31*(AF28/50)))))*AJ28*Archetypes!$D$15*Archetypes!$D$22)*Assumptions!$B$23+(Archetypes!$D$11*(IF(AF28&lt;0,1+Assumptions!$B$32*MIN(1,ABS(AF28)/ABS(Assumptions!$B$21)),MAX(0.1,1-Assumptions!$B$31*(AF28/50)))))*Assumptions!$B$24+-((Archetypes!$D$11*(IF(AF28&lt;0,1+Assumptions!$B$32*MIN(1,ABS(AF28)/ABS(Assumptions!$B$21)),MAX(0.1,1-Assumptions!$B$31*(AF28/50)))))*Archetypes!$D$16)*(Assumptions!$B$27*(1+Assumptions!$B$28*Archetypes!$D$14)/(1+Assumptions!$B$29*Archetypes!$D$12))+-(Archetypes!$D$11*(IF(AF28&lt;0,1+Assumptions!$B$32*MIN(1,ABS(AF28)/ABS(Assumptions!$B$21)),MAX(0.1,1-Assumptions!$B$31*(AF28/50)))))*Archetypes!$D$17*((Archetypes!$D$31)/100)*Assumptions!$B$30+-Assumptions!$B$25*Assumptions!$B$26)*$E28</f>
        <v>0.94267116330531275</v>
      </c>
      <c r="AI28" s="18">
        <f>(Archetypes!$D$11*(IF(AF28&lt;0,1+Assumptions!$B$32*MIN(1,ABS(AF28)/ABS(Assumptions!$B$21)),MAX(0.1,1-Assumptions!$B$31*(AF28/50)))))*$E28</f>
        <v>0.75057093757234083</v>
      </c>
      <c r="AJ28" s="19">
        <f>Archetypes!$D$30</f>
        <v>0.10400000000000001</v>
      </c>
      <c r="AK28" s="18">
        <f t="shared" si="6"/>
        <v>7.8059377507523453E-2</v>
      </c>
      <c r="AL28" s="18">
        <f>((AI28-AK28)*Archetypes!$D$15)+(AK28*Archetypes!$D$15*Archetypes!$D$22)</f>
        <v>1.1726920328630253</v>
      </c>
      <c r="AM28" s="18">
        <f>AI28*Archetypes!$D$16</f>
        <v>0.15011418751446817</v>
      </c>
      <c r="AN28" s="18">
        <f>(IF(AF28&lt;0,Assumptions!$B$8,IF(AF28&lt;10,Assumptions!$B$34,IF(AF28&lt;25,Assumptions!$B$35,Assumptions!$B$36))))*((((Archetypes!$D$5*Assumptions!$B$4+Archetypes!$D$6*Assumptions!$B$5)*60))+(Assumptions!$B$6*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$20)+((Archetypes!$D$11*(IF(AF28&lt;0,1+Assumptions!$B$32*MIN(1,ABS(AF28)/ABS(Assumptions!$B$21)),MAX(0.1,1-Assumptions!$B$31*(AF28/50)))))*AJ28*Archetypes!$D$20*Archetypes!$D$21)*Assumptions!$B$18)*(IF($D28=1,1,Assumptions!$B$7)))+((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$15)*(Archetypes!$D$13*IF(AF28&lt;0,1-Assumptions!$B$33*MIN(1,ABS(AF28)/ABS(Assumptions!$B$21)),1))*5)+(((Archetypes!$D$11*(IF(AF28&lt;0,1+Assumptions!$B$32*MIN(1,ABS(AF28)/ABS(Assumptions!$B$21)),MAX(0.1,1-Assumptions!$B$31*(AF28/50)))))*AJ28*Archetypes!$D$15*Archetypes!$D$22)*(Archetypes!$D$13*IF(AF28&lt;0,1-Assumptions!$B$33*MIN(1,ABS(AF28)/ABS(Assumptions!$B$21)),1))*5*Assumptions!$B$18))*IF(AF28&lt;0,Assumptions!$B$9,1)))*$E28</f>
        <v>1490.5391312654356</v>
      </c>
      <c r="AO28" s="18">
        <f>(AO27)+(AN28)-(MAX(0,((AO27)+(AN28)-(AP28)))*(IF(Archetypes!$D$27="",Assumptions!$B$11,Archetypes!$D$27)))</f>
        <v>3344.9138104222238</v>
      </c>
      <c r="AP28" s="18">
        <f>Archetypes!$D$33</f>
        <v>201.32916645159378</v>
      </c>
      <c r="AQ28" s="18">
        <f t="shared" si="7"/>
        <v>3143.5846439706302</v>
      </c>
    </row>
    <row r="29" spans="1:43" x14ac:dyDescent="0.25">
      <c r="A29" s="14">
        <v>25</v>
      </c>
      <c r="B29" s="14">
        <f t="shared" si="0"/>
        <v>2</v>
      </c>
      <c r="C29" s="14">
        <f t="shared" si="1"/>
        <v>1</v>
      </c>
      <c r="D29" s="15">
        <f>IF(C29&lt;Assumptions!$B$10,1,0)</f>
        <v>1</v>
      </c>
      <c r="E29" s="15">
        <v>1</v>
      </c>
      <c r="F29" s="18">
        <f t="shared" si="8"/>
        <v>74.422913247388166</v>
      </c>
      <c r="G29" s="18">
        <f>MAX(Assumptions!$B$21,(F29)+(H29))</f>
        <v>75.094225872558113</v>
      </c>
      <c r="H29" s="18">
        <f>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$15)*Assumptions!$B$22+((Archetypes!$B$11*(IF(F29&lt;0,1+Assumptions!$B$32*MIN(1,ABS(F29)/ABS(Assumptions!$B$21)),MAX(0.1,1-Assumptions!$B$31*(F29/50)))))*J29*Archetypes!$B$15*Archetypes!$B$22)*Assumptions!$B$23+(Archetypes!$B$11*(IF(F29&lt;0,1+Assumptions!$B$32*MIN(1,ABS(F29)/ABS(Assumptions!$B$21)),MAX(0.1,1-Assumptions!$B$31*(F29/50)))))*Assumptions!$B$24+-((Archetypes!$B$11*(IF(F29&lt;0,1+Assumptions!$B$32*MIN(1,ABS(F29)/ABS(Assumptions!$B$21)),MAX(0.1,1-Assumptions!$B$31*(F29/50)))))*Archetypes!$B$16)*(Assumptions!$B$27*(1+Assumptions!$B$28*Archetypes!$B$14)/(1+Assumptions!$B$29*Archetypes!$B$12))+-(Archetypes!$B$11*(IF(F29&lt;0,1+Assumptions!$B$32*MIN(1,ABS(F29)/ABS(Assumptions!$B$21)),MAX(0.1,1-Assumptions!$B$31*(F29/50)))))*Archetypes!$B$17*((Archetypes!$B$31)/100)*Assumptions!$B$30+-Assumptions!$B$25*Assumptions!$B$26)*$E29</f>
        <v>0.6713126251699445</v>
      </c>
      <c r="I29" s="18">
        <f>(Archetypes!$B$11*(IF(F29&lt;0,1+Assumptions!$B$32*MIN(1,ABS(F29)/ABS(Assumptions!$B$21)),MAX(0.1,1-Assumptions!$B$31*(F29/50)))))*$E29</f>
        <v>1.0692504103134204</v>
      </c>
      <c r="J29" s="19">
        <f>Archetypes!$B$30</f>
        <v>2.1999999999999999E-2</v>
      </c>
      <c r="K29" s="18">
        <f t="shared" si="2"/>
        <v>2.3523509026895248E-2</v>
      </c>
      <c r="L29" s="18">
        <f>((I29-K29)*Archetypes!$B$15)+(K29*Archetypes!$B$15*Archetypes!$B$22)</f>
        <v>0.10739551121187994</v>
      </c>
      <c r="M29" s="18">
        <f>I29*Archetypes!$B$16</f>
        <v>0.80193780773506529</v>
      </c>
      <c r="N29" s="18">
        <f>(IF(F29&lt;0,Assumptions!$B$8,IF(F29&lt;10,Assumptions!$B$34,IF(F29&lt;25,Assumptions!$B$35,Assumptions!$B$36))))*((((Archetypes!$B$5*Assumptions!$B$4+Archetypes!$B$6*Assumptions!$B$5)*60))+(Assumptions!$B$6*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$20)+((Archetypes!$B$11*(IF(F29&lt;0,1+Assumptions!$B$32*MIN(1,ABS(F29)/ABS(Assumptions!$B$21)),MAX(0.1,1-Assumptions!$B$31*(F29/50)))))*J29*Archetypes!$B$20*Archetypes!$B$21)*Assumptions!$B$18)*(IF($D29=1,1,Assumptions!$B$7)))+((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$15)*(Archetypes!$B$13*IF(F29&lt;0,1-Assumptions!$B$33*MIN(1,ABS(F29)/ABS(Assumptions!$B$21)),1))*5)+(((Archetypes!$B$11*(IF(F29&lt;0,1+Assumptions!$B$32*MIN(1,ABS(F29)/ABS(Assumptions!$B$21)),MAX(0.1,1-Assumptions!$B$31*(F29/50)))))*J29*Archetypes!$B$15*Archetypes!$B$22)*(Archetypes!$B$13*IF(F29&lt;0,1-Assumptions!$B$33*MIN(1,ABS(F29)/ABS(Assumptions!$B$21)),1))*5*Assumptions!$B$18))*IF(F29&lt;0,Assumptions!$B$9,1)))*$E29</f>
        <v>199.41744341219797</v>
      </c>
      <c r="O29" s="18">
        <f>(O28)+(N29)-(MAX(0,((O28)+(N29)-(P29)))*(IF(Archetypes!$B$27="",Assumptions!$B$11,Archetypes!$B$27)))</f>
        <v>856.86817188362147</v>
      </c>
      <c r="P29" s="18">
        <f>Archetypes!$B$33</f>
        <v>25.423199999999998</v>
      </c>
      <c r="Q29" s="18">
        <f t="shared" si="3"/>
        <v>831.44497188362152</v>
      </c>
      <c r="S29" s="18">
        <f t="shared" si="9"/>
        <v>67.857510498785885</v>
      </c>
      <c r="T29" s="18">
        <f>MAX(Assumptions!$B$21,(S29)+(U29))</f>
        <v>68.752542407837069</v>
      </c>
      <c r="U29" s="18">
        <f>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$15)*Assumptions!$B$22+((Archetypes!$C$11*(IF(S29&lt;0,1+Assumptions!$B$32*MIN(1,ABS(S29)/ABS(Assumptions!$B$21)),MAX(0.1,1-Assumptions!$B$31*(S29/50)))))*W29*Archetypes!$C$15*Archetypes!$C$22)*Assumptions!$B$23+(Archetypes!$C$11*(IF(S29&lt;0,1+Assumptions!$B$32*MIN(1,ABS(S29)/ABS(Assumptions!$B$21)),MAX(0.1,1-Assumptions!$B$31*(S29/50)))))*Assumptions!$B$24+-((Archetypes!$C$11*(IF(S29&lt;0,1+Assumptions!$B$32*MIN(1,ABS(S29)/ABS(Assumptions!$B$21)),MAX(0.1,1-Assumptions!$B$31*(S29/50)))))*Archetypes!$C$16)*(Assumptions!$B$27*(1+Assumptions!$B$28*Archetypes!$C$14)/(1+Assumptions!$B$29*Archetypes!$C$12))+-(Archetypes!$C$11*(IF(S29&lt;0,1+Assumptions!$B$32*MIN(1,ABS(S29)/ABS(Assumptions!$B$21)),MAX(0.1,1-Assumptions!$B$31*(S29/50)))))*Archetypes!$C$17*((Archetypes!$C$31)/100)*Assumptions!$B$30+-Assumptions!$B$25*Assumptions!$B$26)*$E29</f>
        <v>0.89503190905118524</v>
      </c>
      <c r="V29" s="18">
        <f>(Archetypes!$C$11*(IF(S29&lt;0,1+Assumptions!$B$32*MIN(1,ABS(S29)/ABS(Assumptions!$B$21)),MAX(0.1,1-Assumptions!$B$31*(S29/50)))))*$E29</f>
        <v>1.1142592440874164</v>
      </c>
      <c r="W29" s="19">
        <f>Archetypes!$C$30</f>
        <v>3.7999999999999999E-2</v>
      </c>
      <c r="X29" s="18">
        <f t="shared" si="4"/>
        <v>4.2341851275321821E-2</v>
      </c>
      <c r="Y29" s="18">
        <f>((V29-X29)*Archetypes!$C$15)+(X29*Archetypes!$C$15*Archetypes!$C$22)</f>
        <v>0.56348089973500648</v>
      </c>
      <c r="Z29" s="18">
        <f>V29*Archetypes!$C$16</f>
        <v>0.50141665983933736</v>
      </c>
      <c r="AA29" s="18">
        <f>(IF(S29&lt;0,Assumptions!$B$8,IF(S29&lt;10,Assumptions!$B$34,IF(S29&lt;25,Assumptions!$B$35,Assumptions!$B$36))))*((((Archetypes!$C$5*Assumptions!$B$4+Archetypes!$C$6*Assumptions!$B$5)*60))+(Assumptions!$B$6*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$20)+((Archetypes!$C$11*(IF(S29&lt;0,1+Assumptions!$B$32*MIN(1,ABS(S29)/ABS(Assumptions!$B$21)),MAX(0.1,1-Assumptions!$B$31*(S29/50)))))*W29*Archetypes!$C$20*Archetypes!$C$21)*Assumptions!$B$18)*(IF($D29=1,1,Assumptions!$B$7)))+((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$15)*(Archetypes!$C$13*IF(S29&lt;0,1-Assumptions!$B$33*MIN(1,ABS(S29)/ABS(Assumptions!$B$21)),1))*5)+(((Archetypes!$C$11*(IF(S29&lt;0,1+Assumptions!$B$32*MIN(1,ABS(S29)/ABS(Assumptions!$B$21)),MAX(0.1,1-Assumptions!$B$31*(S29/50)))))*W29*Archetypes!$C$15*Archetypes!$C$22)*(Archetypes!$C$13*IF(S29&lt;0,1-Assumptions!$B$33*MIN(1,ABS(S29)/ABS(Assumptions!$B$21)),1))*5*Assumptions!$B$18))*IF(S29&lt;0,Assumptions!$B$9,1)))*$E29</f>
        <v>813.09489865074033</v>
      </c>
      <c r="AB29" s="18">
        <f>(AB28)+(AA29)-(MAX(0,((AB28)+(AA29)-(AC29)))*(IF(Archetypes!$C$27="",Assumptions!$B$11,Archetypes!$C$27)))</f>
        <v>2485.2146147109734</v>
      </c>
      <c r="AC29" s="18">
        <f>Archetypes!$C$33</f>
        <v>90.34</v>
      </c>
      <c r="AD29" s="18">
        <f t="shared" si="5"/>
        <v>2394.8746147109732</v>
      </c>
      <c r="AF29" s="18">
        <f t="shared" si="10"/>
        <v>63.42681178629585</v>
      </c>
      <c r="AG29" s="18">
        <f>MAX(Assumptions!$B$21,(AF29)+(AH29))</f>
        <v>64.320079137619885</v>
      </c>
      <c r="AH29" s="18">
        <f>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$15)*Assumptions!$B$22+((Archetypes!$D$11*(IF(AF29&lt;0,1+Assumptions!$B$32*MIN(1,ABS(AF29)/ABS(Assumptions!$B$21)),MAX(0.1,1-Assumptions!$B$31*(AF29/50)))))*AJ29*Archetypes!$D$15*Archetypes!$D$22)*Assumptions!$B$23+(Archetypes!$D$11*(IF(AF29&lt;0,1+Assumptions!$B$32*MIN(1,ABS(AF29)/ABS(Assumptions!$B$21)),MAX(0.1,1-Assumptions!$B$31*(AF29/50)))))*Assumptions!$B$24+-((Archetypes!$D$11*(IF(AF29&lt;0,1+Assumptions!$B$32*MIN(1,ABS(AF29)/ABS(Assumptions!$B$21)),MAX(0.1,1-Assumptions!$B$31*(AF29/50)))))*Archetypes!$D$16)*(Assumptions!$B$27*(1+Assumptions!$B$28*Archetypes!$D$14)/(1+Assumptions!$B$29*Archetypes!$D$12))+-(Archetypes!$D$11*(IF(AF29&lt;0,1+Assumptions!$B$32*MIN(1,ABS(AF29)/ABS(Assumptions!$B$21)),MAX(0.1,1-Assumptions!$B$31*(AF29/50)))))*Archetypes!$D$17*((Archetypes!$D$31)/100)*Assumptions!$B$30+-Assumptions!$B$25*Assumptions!$B$26)*$E29</f>
        <v>0.89326735132403534</v>
      </c>
      <c r="AI29" s="18">
        <f>(Archetypes!$D$11*(IF(AF29&lt;0,1+Assumptions!$B$32*MIN(1,ABS(AF29)/ABS(Assumptions!$B$21)),MAX(0.1,1-Assumptions!$B$31*(AF29/50)))))*$E29</f>
        <v>0.71663477569334932</v>
      </c>
      <c r="AJ29" s="19">
        <f>Archetypes!$D$30</f>
        <v>0.10400000000000001</v>
      </c>
      <c r="AK29" s="18">
        <f t="shared" si="6"/>
        <v>7.4530016672108332E-2</v>
      </c>
      <c r="AL29" s="18">
        <f>((AI29-AK29)*Archetypes!$D$15)+(AK29*Archetypes!$D$15*Archetypes!$D$22)</f>
        <v>1.119670173543289</v>
      </c>
      <c r="AM29" s="18">
        <f>AI29*Archetypes!$D$16</f>
        <v>0.14332695513866986</v>
      </c>
      <c r="AN29" s="18">
        <f>(IF(AF29&lt;0,Assumptions!$B$8,IF(AF29&lt;10,Assumptions!$B$34,IF(AF29&lt;25,Assumptions!$B$35,Assumptions!$B$36))))*((((Archetypes!$D$5*Assumptions!$B$4+Archetypes!$D$6*Assumptions!$B$5)*60))+(Assumptions!$B$6*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$20)+((Archetypes!$D$11*(IF(AF29&lt;0,1+Assumptions!$B$32*MIN(1,ABS(AF29)/ABS(Assumptions!$B$21)),MAX(0.1,1-Assumptions!$B$31*(AF29/50)))))*AJ29*Archetypes!$D$20*Archetypes!$D$21)*Assumptions!$B$18)*(IF($D29=1,1,Assumptions!$B$7)))+((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$15)*(Archetypes!$D$13*IF(AF29&lt;0,1-Assumptions!$B$33*MIN(1,ABS(AF29)/ABS(Assumptions!$B$21)),1))*5)+(((Archetypes!$D$11*(IF(AF29&lt;0,1+Assumptions!$B$32*MIN(1,ABS(AF29)/ABS(Assumptions!$B$21)),MAX(0.1,1-Assumptions!$B$31*(AF29/50)))))*AJ29*Archetypes!$D$15*Archetypes!$D$22)*(Archetypes!$D$13*IF(AF29&lt;0,1-Assumptions!$B$33*MIN(1,ABS(AF29)/ABS(Assumptions!$B$21)),1))*5*Assumptions!$B$18))*IF(AF29&lt;0,Assumptions!$B$9,1)))*$E29</f>
        <v>1471.5701742215545</v>
      </c>
      <c r="AO29" s="18">
        <f>(AO28)+(AN29)-(MAX(0,((AO28)+(AN29)-(AP29)))*(IF(Archetypes!$D$27="",Assumptions!$B$11,Archetypes!$D$27)))</f>
        <v>3431.9375391861231</v>
      </c>
      <c r="AP29" s="18">
        <f>Archetypes!$D$33</f>
        <v>201.32916645159378</v>
      </c>
      <c r="AQ29" s="18">
        <f t="shared" si="7"/>
        <v>3230.6083727345294</v>
      </c>
    </row>
    <row r="30" spans="1:43" x14ac:dyDescent="0.25">
      <c r="A30" s="14">
        <v>26</v>
      </c>
      <c r="B30" s="14">
        <f t="shared" si="0"/>
        <v>2</v>
      </c>
      <c r="C30" s="14">
        <f t="shared" si="1"/>
        <v>2</v>
      </c>
      <c r="D30" s="15">
        <f>IF(C30&lt;Assumptions!$B$10,1,0)</f>
        <v>0</v>
      </c>
      <c r="E30" s="15">
        <v>1</v>
      </c>
      <c r="F30" s="18">
        <f t="shared" si="8"/>
        <v>75.094225872558113</v>
      </c>
      <c r="G30" s="18">
        <f>MAX(Assumptions!$B$21,(F30)+(H30))</f>
        <v>75.712345872558117</v>
      </c>
      <c r="H30" s="18">
        <f>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$15)*Assumptions!$B$22+((Archetypes!$B$11*(IF(F30&lt;0,1+Assumptions!$B$32*MIN(1,ABS(F30)/ABS(Assumptions!$B$21)),MAX(0.1,1-Assumptions!$B$31*(F30/50)))))*J30*Archetypes!$B$15*Archetypes!$B$22)*Assumptions!$B$23+(Archetypes!$B$11*(IF(F30&lt;0,1+Assumptions!$B$32*MIN(1,ABS(F30)/ABS(Assumptions!$B$21)),MAX(0.1,1-Assumptions!$B$31*(F30/50)))))*Assumptions!$B$24+-((Archetypes!$B$11*(IF(F30&lt;0,1+Assumptions!$B$32*MIN(1,ABS(F30)/ABS(Assumptions!$B$21)),MAX(0.1,1-Assumptions!$B$31*(F30/50)))))*Archetypes!$B$16)*(Assumptions!$B$27*(1+Assumptions!$B$28*Archetypes!$B$14)/(1+Assumptions!$B$29*Archetypes!$B$12))+-(Archetypes!$B$11*(IF(F30&lt;0,1+Assumptions!$B$32*MIN(1,ABS(F30)/ABS(Assumptions!$B$21)),MAX(0.1,1-Assumptions!$B$31*(F30/50)))))*Archetypes!$B$17*((Archetypes!$B$31)/100)*Assumptions!$B$30+-Assumptions!$B$25*Assumptions!$B$26)*$E30</f>
        <v>0.61812</v>
      </c>
      <c r="I30" s="18">
        <f>(Archetypes!$B$11*(IF(F30&lt;0,1+Assumptions!$B$32*MIN(1,ABS(F30)/ABS(Assumptions!$B$21)),MAX(0.1,1-Assumptions!$B$31*(F30/50)))))*$E30</f>
        <v>1</v>
      </c>
      <c r="J30" s="19">
        <f>Archetypes!$B$30</f>
        <v>2.1999999999999999E-2</v>
      </c>
      <c r="K30" s="18">
        <f t="shared" si="2"/>
        <v>2.1999999999999999E-2</v>
      </c>
      <c r="L30" s="18">
        <f>((I30-K30)*Archetypes!$B$15)+(K30*Archetypes!$B$15*Archetypes!$B$22)</f>
        <v>0.10044</v>
      </c>
      <c r="M30" s="18">
        <f>I30*Archetypes!$B$16</f>
        <v>0.75</v>
      </c>
      <c r="N30" s="18">
        <f>(IF(F30&lt;0,Assumptions!$B$8,IF(F30&lt;10,Assumptions!$B$34,IF(F30&lt;25,Assumptions!$B$35,Assumptions!$B$36))))*((((Archetypes!$B$5*Assumptions!$B$4+Archetypes!$B$6*Assumptions!$B$5)*60))+(Assumptions!$B$6*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$20)+((Archetypes!$B$11*(IF(F30&lt;0,1+Assumptions!$B$32*MIN(1,ABS(F30)/ABS(Assumptions!$B$21)),MAX(0.1,1-Assumptions!$B$31*(F30/50)))))*J30*Archetypes!$B$20*Archetypes!$B$21)*Assumptions!$B$18)*(IF($D30=1,1,Assumptions!$B$7)))+((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$15)*(Archetypes!$B$13*IF(F30&lt;0,1-Assumptions!$B$33*MIN(1,ABS(F30)/ABS(Assumptions!$B$21)),1))*5)+(((Archetypes!$B$11*(IF(F30&lt;0,1+Assumptions!$B$32*MIN(1,ABS(F30)/ABS(Assumptions!$B$21)),MAX(0.1,1-Assumptions!$B$31*(F30/50)))))*J30*Archetypes!$B$15*Archetypes!$B$22)*(Archetypes!$B$13*IF(F30&lt;0,1-Assumptions!$B$33*MIN(1,ABS(F30)/ABS(Assumptions!$B$21)),1))*5*Assumptions!$B$18))*IF(F30&lt;0,Assumptions!$B$9,1)))*$E30</f>
        <v>183.95189999999999</v>
      </c>
      <c r="O30" s="18">
        <f>(O29)+(N30)-(MAX(0,((O29)+(N30)-(P30)))*(IF(Archetypes!$B$27="",Assumptions!$B$11,Archetypes!$B$27)))</f>
        <v>837.74069750689716</v>
      </c>
      <c r="P30" s="18">
        <f>Archetypes!$B$33</f>
        <v>25.423199999999998</v>
      </c>
      <c r="Q30" s="18">
        <f t="shared" si="3"/>
        <v>812.31749750689721</v>
      </c>
      <c r="S30" s="18">
        <f t="shared" si="9"/>
        <v>68.752542407837069</v>
      </c>
      <c r="T30" s="18">
        <f>MAX(Assumptions!$B$21,(S30)+(U30))</f>
        <v>69.58713572731682</v>
      </c>
      <c r="U30" s="18">
        <f>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$15)*Assumptions!$B$22+((Archetypes!$C$11*(IF(S30&lt;0,1+Assumptions!$B$32*MIN(1,ABS(S30)/ABS(Assumptions!$B$21)),MAX(0.1,1-Assumptions!$B$31*(S30/50)))))*W30*Archetypes!$C$15*Archetypes!$C$22)*Assumptions!$B$23+(Archetypes!$C$11*(IF(S30&lt;0,1+Assumptions!$B$32*MIN(1,ABS(S30)/ABS(Assumptions!$B$21)),MAX(0.1,1-Assumptions!$B$31*(S30/50)))))*Assumptions!$B$24+-((Archetypes!$C$11*(IF(S30&lt;0,1+Assumptions!$B$32*MIN(1,ABS(S30)/ABS(Assumptions!$B$21)),MAX(0.1,1-Assumptions!$B$31*(S30/50)))))*Archetypes!$C$16)*(Assumptions!$B$27*(1+Assumptions!$B$28*Archetypes!$C$14)/(1+Assumptions!$B$29*Archetypes!$C$12))+-(Archetypes!$C$11*(IF(S30&lt;0,1+Assumptions!$B$32*MIN(1,ABS(S30)/ABS(Assumptions!$B$21)),MAX(0.1,1-Assumptions!$B$31*(S30/50)))))*Archetypes!$C$17*((Archetypes!$C$31)/100)*Assumptions!$B$30+-Assumptions!$B$25*Assumptions!$B$26)*$E30</f>
        <v>0.83459331947974824</v>
      </c>
      <c r="V30" s="18">
        <f>(Archetypes!$C$11*(IF(S30&lt;0,1+Assumptions!$B$32*MIN(1,ABS(S30)/ABS(Assumptions!$B$21)),MAX(0.1,1-Assumptions!$B$31*(S30/50)))))*$E30</f>
        <v>1.049816946635731</v>
      </c>
      <c r="W30" s="19">
        <f>Archetypes!$C$30</f>
        <v>3.7999999999999999E-2</v>
      </c>
      <c r="X30" s="18">
        <f t="shared" si="4"/>
        <v>3.9893043972157774E-2</v>
      </c>
      <c r="Y30" s="18">
        <f>((V30-X30)*Archetypes!$C$15)+(X30*Archetypes!$C$15*Archetypes!$C$22)</f>
        <v>0.53089242991368912</v>
      </c>
      <c r="Z30" s="18">
        <f>V30*Archetypes!$C$16</f>
        <v>0.47241762598607895</v>
      </c>
      <c r="AA30" s="18">
        <f>(IF(S30&lt;0,Assumptions!$B$8,IF(S30&lt;10,Assumptions!$B$34,IF(S30&lt;25,Assumptions!$B$35,Assumptions!$B$36))))*((((Archetypes!$C$5*Assumptions!$B$4+Archetypes!$C$6*Assumptions!$B$5)*60))+(Assumptions!$B$6*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$20)+((Archetypes!$C$11*(IF(S30&lt;0,1+Assumptions!$B$32*MIN(1,ABS(S30)/ABS(Assumptions!$B$21)),MAX(0.1,1-Assumptions!$B$31*(S30/50)))))*W30*Archetypes!$C$20*Archetypes!$C$21)*Assumptions!$B$18)*(IF($D30=1,1,Assumptions!$B$7)))+((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$15)*(Archetypes!$C$13*IF(S30&lt;0,1-Assumptions!$B$33*MIN(1,ABS(S30)/ABS(Assumptions!$B$21)),1))*5)+(((Archetypes!$C$11*(IF(S30&lt;0,1+Assumptions!$B$32*MIN(1,ABS(S30)/ABS(Assumptions!$B$21)),MAX(0.1,1-Assumptions!$B$31*(S30/50)))))*W30*Archetypes!$C$15*Archetypes!$C$22)*(Archetypes!$C$13*IF(S30&lt;0,1-Assumptions!$B$33*MIN(1,ABS(S30)/ABS(Assumptions!$B$21)),1))*5*Assumptions!$B$18))*IF(S30&lt;0,Assumptions!$B$9,1)))*$E30</f>
        <v>744.50495323104224</v>
      </c>
      <c r="AB30" s="18">
        <f>(AB29)+(AA30)-(MAX(0,((AB29)+(AA30)-(AC30)))*(IF(Archetypes!$C$27="",Assumptions!$B$11,Archetypes!$C$27)))</f>
        <v>2444.874675956512</v>
      </c>
      <c r="AC30" s="18">
        <f>Archetypes!$C$33</f>
        <v>90.34</v>
      </c>
      <c r="AD30" s="18">
        <f t="shared" si="5"/>
        <v>2354.5346759565118</v>
      </c>
      <c r="AF30" s="18">
        <f t="shared" si="10"/>
        <v>64.320079137619885</v>
      </c>
      <c r="AG30" s="18">
        <f>MAX(Assumptions!$B$21,(AF30)+(AH30))</f>
        <v>65.166531847750178</v>
      </c>
      <c r="AH30" s="18">
        <f>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$15)*Assumptions!$B$22+((Archetypes!$D$11*(IF(AF30&lt;0,1+Assumptions!$B$32*MIN(1,ABS(AF30)/ABS(Assumptions!$B$21)),MAX(0.1,1-Assumptions!$B$31*(AF30/50)))))*AJ30*Archetypes!$D$15*Archetypes!$D$22)*Assumptions!$B$23+(Archetypes!$D$11*(IF(AF30&lt;0,1+Assumptions!$B$32*MIN(1,ABS(AF30)/ABS(Assumptions!$B$21)),MAX(0.1,1-Assumptions!$B$31*(AF30/50)))))*Assumptions!$B$24+-((Archetypes!$D$11*(IF(AF30&lt;0,1+Assumptions!$B$32*MIN(1,ABS(AF30)/ABS(Assumptions!$B$21)),MAX(0.1,1-Assumptions!$B$31*(AF30/50)))))*Archetypes!$D$16)*(Assumptions!$B$27*(1+Assumptions!$B$28*Archetypes!$D$14)/(1+Assumptions!$B$29*Archetypes!$D$12))+-(Archetypes!$D$11*(IF(AF30&lt;0,1+Assumptions!$B$32*MIN(1,ABS(AF30)/ABS(Assumptions!$B$21)),MAX(0.1,1-Assumptions!$B$31*(AF30/50)))))*Archetypes!$D$17*((Archetypes!$D$31)/100)*Assumptions!$B$30+-Assumptions!$B$25*Assumptions!$B$26)*$E30</f>
        <v>0.84645271013029266</v>
      </c>
      <c r="AI30" s="18">
        <f>(Archetypes!$D$11*(IF(AF30&lt;0,1+Assumptions!$B$32*MIN(1,ABS(AF30)/ABS(Assumptions!$B$21)),MAX(0.1,1-Assumptions!$B$31*(AF30/50)))))*$E30</f>
        <v>0.68447715104568396</v>
      </c>
      <c r="AJ30" s="19">
        <f>Archetypes!$D$30</f>
        <v>0.10400000000000001</v>
      </c>
      <c r="AK30" s="18">
        <f t="shared" si="6"/>
        <v>7.1185623708751145E-2</v>
      </c>
      <c r="AL30" s="18">
        <f>((AI30-AK30)*Archetypes!$D$15)+(AK30*Archetypes!$D$15*Archetypes!$D$22)</f>
        <v>1.0694271007937766</v>
      </c>
      <c r="AM30" s="18">
        <f>AI30*Archetypes!$D$16</f>
        <v>0.1368954302091368</v>
      </c>
      <c r="AN30" s="18">
        <f>(IF(AF30&lt;0,Assumptions!$B$8,IF(AF30&lt;10,Assumptions!$B$34,IF(AF30&lt;25,Assumptions!$B$35,Assumptions!$B$36))))*((((Archetypes!$D$5*Assumptions!$B$4+Archetypes!$D$6*Assumptions!$B$5)*60))+(Assumptions!$B$6*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$20)+((Archetypes!$D$11*(IF(AF30&lt;0,1+Assumptions!$B$32*MIN(1,ABS(AF30)/ABS(Assumptions!$B$21)),MAX(0.1,1-Assumptions!$B$31*(AF30/50)))))*AJ30*Archetypes!$D$20*Archetypes!$D$21)*Assumptions!$B$18)*(IF($D30=1,1,Assumptions!$B$7)))+((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$15)*(Archetypes!$D$13*IF(AF30&lt;0,1-Assumptions!$B$33*MIN(1,ABS(AF30)/ABS(Assumptions!$B$21)),1))*5)+(((Archetypes!$D$11*(IF(AF30&lt;0,1+Assumptions!$B$32*MIN(1,ABS(AF30)/ABS(Assumptions!$B$21)),MAX(0.1,1-Assumptions!$B$31*(AF30/50)))))*AJ30*Archetypes!$D$15*Archetypes!$D$22)*(Archetypes!$D$13*IF(AF30&lt;0,1-Assumptions!$B$33*MIN(1,ABS(AF30)/ABS(Assumptions!$B$21)),1))*5*Assumptions!$B$18))*IF(AF30&lt;0,Assumptions!$B$9,1)))*$E30</f>
        <v>1236.7273190040585</v>
      </c>
      <c r="AO30" s="18">
        <f>(AO29)+(AN30)-(MAX(0,((AO29)+(AN30)-(AP30)))*(IF(Archetypes!$D$27="",Assumptions!$B$11,Archetypes!$D$27)))</f>
        <v>3328.4641506686057</v>
      </c>
      <c r="AP30" s="18">
        <f>Archetypes!$D$33</f>
        <v>201.32916645159378</v>
      </c>
      <c r="AQ30" s="18">
        <f t="shared" si="7"/>
        <v>3127.1349842170121</v>
      </c>
    </row>
    <row r="31" spans="1:43" x14ac:dyDescent="0.25">
      <c r="A31" s="14">
        <v>27</v>
      </c>
      <c r="B31" s="14">
        <f t="shared" si="0"/>
        <v>2</v>
      </c>
      <c r="C31" s="14">
        <f t="shared" si="1"/>
        <v>3</v>
      </c>
      <c r="D31" s="15">
        <f>IF(C31&lt;Assumptions!$B$10,1,0)</f>
        <v>0</v>
      </c>
      <c r="E31" s="15">
        <v>1</v>
      </c>
      <c r="F31" s="18">
        <f t="shared" si="8"/>
        <v>75.712345872558117</v>
      </c>
      <c r="G31" s="18">
        <f>MAX(Assumptions!$B$21,(F31)+(H31))</f>
        <v>76.330465872558122</v>
      </c>
      <c r="H31" s="18">
        <f>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$15)*Assumptions!$B$22+((Archetypes!$B$11*(IF(F31&lt;0,1+Assumptions!$B$32*MIN(1,ABS(F31)/ABS(Assumptions!$B$21)),MAX(0.1,1-Assumptions!$B$31*(F31/50)))))*J31*Archetypes!$B$15*Archetypes!$B$22)*Assumptions!$B$23+(Archetypes!$B$11*(IF(F31&lt;0,1+Assumptions!$B$32*MIN(1,ABS(F31)/ABS(Assumptions!$B$21)),MAX(0.1,1-Assumptions!$B$31*(F31/50)))))*Assumptions!$B$24+-((Archetypes!$B$11*(IF(F31&lt;0,1+Assumptions!$B$32*MIN(1,ABS(F31)/ABS(Assumptions!$B$21)),MAX(0.1,1-Assumptions!$B$31*(F31/50)))))*Archetypes!$B$16)*(Assumptions!$B$27*(1+Assumptions!$B$28*Archetypes!$B$14)/(1+Assumptions!$B$29*Archetypes!$B$12))+-(Archetypes!$B$11*(IF(F31&lt;0,1+Assumptions!$B$32*MIN(1,ABS(F31)/ABS(Assumptions!$B$21)),MAX(0.1,1-Assumptions!$B$31*(F31/50)))))*Archetypes!$B$17*((Archetypes!$B$31)/100)*Assumptions!$B$30+-Assumptions!$B$25*Assumptions!$B$26)*$E31</f>
        <v>0.61812</v>
      </c>
      <c r="I31" s="18">
        <f>(Archetypes!$B$11*(IF(F31&lt;0,1+Assumptions!$B$32*MIN(1,ABS(F31)/ABS(Assumptions!$B$21)),MAX(0.1,1-Assumptions!$B$31*(F31/50)))))*$E31</f>
        <v>1</v>
      </c>
      <c r="J31" s="19">
        <f>Archetypes!$B$30</f>
        <v>2.1999999999999999E-2</v>
      </c>
      <c r="K31" s="18">
        <f t="shared" si="2"/>
        <v>2.1999999999999999E-2</v>
      </c>
      <c r="L31" s="18">
        <f>((I31-K31)*Archetypes!$B$15)+(K31*Archetypes!$B$15*Archetypes!$B$22)</f>
        <v>0.10044</v>
      </c>
      <c r="M31" s="18">
        <f>I31*Archetypes!$B$16</f>
        <v>0.75</v>
      </c>
      <c r="N31" s="18">
        <f>(IF(F31&lt;0,Assumptions!$B$8,IF(F31&lt;10,Assumptions!$B$34,IF(F31&lt;25,Assumptions!$B$35,Assumptions!$B$36))))*((((Archetypes!$B$5*Assumptions!$B$4+Archetypes!$B$6*Assumptions!$B$5)*60))+(Assumptions!$B$6*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$20)+((Archetypes!$B$11*(IF(F31&lt;0,1+Assumptions!$B$32*MIN(1,ABS(F31)/ABS(Assumptions!$B$21)),MAX(0.1,1-Assumptions!$B$31*(F31/50)))))*J31*Archetypes!$B$20*Archetypes!$B$21)*Assumptions!$B$18)*(IF($D31=1,1,Assumptions!$B$7)))+((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$15)*(Archetypes!$B$13*IF(F31&lt;0,1-Assumptions!$B$33*MIN(1,ABS(F31)/ABS(Assumptions!$B$21)),1))*5)+(((Archetypes!$B$11*(IF(F31&lt;0,1+Assumptions!$B$32*MIN(1,ABS(F31)/ABS(Assumptions!$B$21)),MAX(0.1,1-Assumptions!$B$31*(F31/50)))))*J31*Archetypes!$B$15*Archetypes!$B$22)*(Archetypes!$B$13*IF(F31&lt;0,1-Assumptions!$B$33*MIN(1,ABS(F31)/ABS(Assumptions!$B$21)),1))*5*Assumptions!$B$18))*IF(F31&lt;0,Assumptions!$B$9,1)))*$E31</f>
        <v>183.95189999999999</v>
      </c>
      <c r="O31" s="18">
        <f>(O30)+(N31)-(MAX(0,((O30)+(N31)-(P31)))*(IF(Archetypes!$B$27="",Assumptions!$B$11,Archetypes!$B$27)))</f>
        <v>822.43871800551779</v>
      </c>
      <c r="P31" s="18">
        <f>Archetypes!$B$33</f>
        <v>25.423199999999998</v>
      </c>
      <c r="Q31" s="18">
        <f t="shared" si="3"/>
        <v>797.01551800551783</v>
      </c>
      <c r="S31" s="18">
        <f t="shared" si="9"/>
        <v>69.58713572731682</v>
      </c>
      <c r="T31" s="18">
        <f>MAX(Assumptions!$B$21,(S31)+(U31))</f>
        <v>70.365371678321765</v>
      </c>
      <c r="U31" s="18">
        <f>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$15)*Assumptions!$B$22+((Archetypes!$C$11*(IF(S31&lt;0,1+Assumptions!$B$32*MIN(1,ABS(S31)/ABS(Assumptions!$B$21)),MAX(0.1,1-Assumptions!$B$31*(S31/50)))))*W31*Archetypes!$C$15*Archetypes!$C$22)*Assumptions!$B$23+(Archetypes!$C$11*(IF(S31&lt;0,1+Assumptions!$B$32*MIN(1,ABS(S31)/ABS(Assumptions!$B$21)),MAX(0.1,1-Assumptions!$B$31*(S31/50)))))*Assumptions!$B$24+-((Archetypes!$C$11*(IF(S31&lt;0,1+Assumptions!$B$32*MIN(1,ABS(S31)/ABS(Assumptions!$B$21)),MAX(0.1,1-Assumptions!$B$31*(S31/50)))))*Archetypes!$C$16)*(Assumptions!$B$27*(1+Assumptions!$B$28*Archetypes!$C$14)/(1+Assumptions!$B$29*Archetypes!$C$12))+-(Archetypes!$C$11*(IF(S31&lt;0,1+Assumptions!$B$32*MIN(1,ABS(S31)/ABS(Assumptions!$B$21)),MAX(0.1,1-Assumptions!$B$31*(S31/50)))))*Archetypes!$C$17*((Archetypes!$C$31)/100)*Assumptions!$B$30+-Assumptions!$B$25*Assumptions!$B$26)*$E31</f>
        <v>0.77823595100495035</v>
      </c>
      <c r="V31" s="18">
        <f>(Archetypes!$C$11*(IF(S31&lt;0,1+Assumptions!$B$32*MIN(1,ABS(S31)/ABS(Assumptions!$B$21)),MAX(0.1,1-Assumptions!$B$31*(S31/50)))))*$E31</f>
        <v>0.98972622763318951</v>
      </c>
      <c r="W31" s="19">
        <f>Archetypes!$C$30</f>
        <v>3.7999999999999999E-2</v>
      </c>
      <c r="X31" s="18">
        <f t="shared" si="4"/>
        <v>3.7609596650061201E-2</v>
      </c>
      <c r="Y31" s="18">
        <f>((V31-X31)*Archetypes!$C$15)+(X31*Archetypes!$C$15*Archetypes!$C$22)</f>
        <v>0.50050455331410393</v>
      </c>
      <c r="Z31" s="18">
        <f>V31*Archetypes!$C$16</f>
        <v>0.44537680243493527</v>
      </c>
      <c r="AA31" s="18">
        <f>(IF(S31&lt;0,Assumptions!$B$8,IF(S31&lt;10,Assumptions!$B$34,IF(S31&lt;25,Assumptions!$B$35,Assumptions!$B$36))))*((((Archetypes!$C$5*Assumptions!$B$4+Archetypes!$C$6*Assumptions!$B$5)*60))+(Assumptions!$B$6*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$20)+((Archetypes!$C$11*(IF(S31&lt;0,1+Assumptions!$B$32*MIN(1,ABS(S31)/ABS(Assumptions!$B$21)),MAX(0.1,1-Assumptions!$B$31*(S31/50)))))*W31*Archetypes!$C$20*Archetypes!$C$21)*Assumptions!$B$18)*(IF($D31=1,1,Assumptions!$B$7)))+((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$15)*(Archetypes!$C$13*IF(S31&lt;0,1-Assumptions!$B$33*MIN(1,ABS(S31)/ABS(Assumptions!$B$21)),1))*5)+(((Archetypes!$C$11*(IF(S31&lt;0,1+Assumptions!$B$32*MIN(1,ABS(S31)/ABS(Assumptions!$B$21)),MAX(0.1,1-Assumptions!$B$31*(S31/50)))))*W31*Archetypes!$C$15*Archetypes!$C$22)*(Archetypes!$C$13*IF(S31&lt;0,1-Assumptions!$B$33*MIN(1,ABS(S31)/ABS(Assumptions!$B$21)),1))*5*Assumptions!$B$18))*IF(S31&lt;0,Assumptions!$B$9,1)))*$E31</f>
        <v>739.83967205262627</v>
      </c>
      <c r="AB31" s="18">
        <f>(AB30)+(AA31)-(MAX(0,((AB30)+(AA31)-(AC31)))*(IF(Archetypes!$C$27="",Assumptions!$B$11,Archetypes!$C$27)))</f>
        <v>2411.1207610068536</v>
      </c>
      <c r="AC31" s="18">
        <f>Archetypes!$C$33</f>
        <v>90.34</v>
      </c>
      <c r="AD31" s="18">
        <f t="shared" si="5"/>
        <v>2320.7807610068535</v>
      </c>
      <c r="AF31" s="18">
        <f t="shared" si="10"/>
        <v>65.166531847750178</v>
      </c>
      <c r="AG31" s="18">
        <f>MAX(Assumptions!$B$21,(AF31)+(AH31))</f>
        <v>65.968623393383098</v>
      </c>
      <c r="AH31" s="18">
        <f>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$15)*Assumptions!$B$22+((Archetypes!$D$11*(IF(AF31&lt;0,1+Assumptions!$B$32*MIN(1,ABS(AF31)/ABS(Assumptions!$B$21)),MAX(0.1,1-Assumptions!$B$31*(AF31/50)))))*AJ31*Archetypes!$D$15*Archetypes!$D$22)*Assumptions!$B$23+(Archetypes!$D$11*(IF(AF31&lt;0,1+Assumptions!$B$32*MIN(1,ABS(AF31)/ABS(Assumptions!$B$21)),MAX(0.1,1-Assumptions!$B$31*(AF31/50)))))*Assumptions!$B$24+-((Archetypes!$D$11*(IF(AF31&lt;0,1+Assumptions!$B$32*MIN(1,ABS(AF31)/ABS(Assumptions!$B$21)),MAX(0.1,1-Assumptions!$B$31*(AF31/50)))))*Archetypes!$D$16)*(Assumptions!$B$27*(1+Assumptions!$B$28*Archetypes!$D$14)/(1+Assumptions!$B$29*Archetypes!$D$12))+-(Archetypes!$D$11*(IF(AF31&lt;0,1+Assumptions!$B$32*MIN(1,ABS(AF31)/ABS(Assumptions!$B$21)),MAX(0.1,1-Assumptions!$B$31*(AF31/50)))))*Archetypes!$D$17*((Archetypes!$D$31)/100)*Assumptions!$B$30+-Assumptions!$B$25*Assumptions!$B$26)*$E31</f>
        <v>0.8020915456329174</v>
      </c>
      <c r="AI31" s="18">
        <f>(Archetypes!$D$11*(IF(AF31&lt;0,1+Assumptions!$B$32*MIN(1,ABS(AF31)/ABS(Assumptions!$B$21)),MAX(0.1,1-Assumptions!$B$31*(AF31/50)))))*$E31</f>
        <v>0.65400485348099369</v>
      </c>
      <c r="AJ31" s="19">
        <f>Archetypes!$D$30</f>
        <v>0.10400000000000001</v>
      </c>
      <c r="AK31" s="18">
        <f t="shared" si="6"/>
        <v>6.8016504762023353E-2</v>
      </c>
      <c r="AL31" s="18">
        <f>((AI31-AK31)*Archetypes!$D$15)+(AK31*Archetypes!$D$15*Archetypes!$D$22)</f>
        <v>1.0218171830787046</v>
      </c>
      <c r="AM31" s="18">
        <f>AI31*Archetypes!$D$16</f>
        <v>0.13080097069619875</v>
      </c>
      <c r="AN31" s="18">
        <f>(IF(AF31&lt;0,Assumptions!$B$8,IF(AF31&lt;10,Assumptions!$B$34,IF(AF31&lt;25,Assumptions!$B$35,Assumptions!$B$36))))*((((Archetypes!$D$5*Assumptions!$B$4+Archetypes!$D$6*Assumptions!$B$5)*60))+(Assumptions!$B$6*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$20)+((Archetypes!$D$11*(IF(AF31&lt;0,1+Assumptions!$B$32*MIN(1,ABS(AF31)/ABS(Assumptions!$B$21)),MAX(0.1,1-Assumptions!$B$31*(AF31/50)))))*AJ31*Archetypes!$D$20*Archetypes!$D$21)*Assumptions!$B$18)*(IF($D31=1,1,Assumptions!$B$7)))+((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$15)*(Archetypes!$D$13*IF(AF31&lt;0,1-Assumptions!$B$33*MIN(1,ABS(AF31)/ABS(Assumptions!$B$21)),1))*5)+(((Archetypes!$D$11*(IF(AF31&lt;0,1+Assumptions!$B$32*MIN(1,ABS(AF31)/ABS(Assumptions!$B$21)),MAX(0.1,1-Assumptions!$B$31*(AF31/50)))))*AJ31*Archetypes!$D$15*Archetypes!$D$22)*(Archetypes!$D$13*IF(AF31&lt;0,1-Assumptions!$B$33*MIN(1,ABS(AF31)/ABS(Assumptions!$B$21)),1))*5*Assumptions!$B$18))*IF(AF31&lt;0,Assumptions!$B$9,1)))*$E31</f>
        <v>1229.3492901369518</v>
      </c>
      <c r="AO31" s="18">
        <f>(AO30)+(AN31)-(MAX(0,((AO30)+(AN31)-(AP31)))*(IF(Archetypes!$D$27="",Assumptions!$B$11,Archetypes!$D$27)))</f>
        <v>3250.8681584993683</v>
      </c>
      <c r="AP31" s="18">
        <f>Archetypes!$D$33</f>
        <v>201.32916645159378</v>
      </c>
      <c r="AQ31" s="18">
        <f t="shared" si="7"/>
        <v>3049.5389920477746</v>
      </c>
    </row>
    <row r="32" spans="1:43" x14ac:dyDescent="0.25">
      <c r="A32" s="14">
        <v>28</v>
      </c>
      <c r="B32" s="14">
        <f t="shared" si="0"/>
        <v>2</v>
      </c>
      <c r="C32" s="14">
        <f t="shared" si="1"/>
        <v>4</v>
      </c>
      <c r="D32" s="15">
        <f>IF(C32&lt;Assumptions!$B$10,1,0)</f>
        <v>0</v>
      </c>
      <c r="E32" s="15">
        <v>1</v>
      </c>
      <c r="F32" s="18">
        <f t="shared" si="8"/>
        <v>76.330465872558122</v>
      </c>
      <c r="G32" s="18">
        <f>MAX(Assumptions!$B$21,(F32)+(H32))</f>
        <v>76.948585872558127</v>
      </c>
      <c r="H32" s="18">
        <f>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$15)*Assumptions!$B$22+((Archetypes!$B$11*(IF(F32&lt;0,1+Assumptions!$B$32*MIN(1,ABS(F32)/ABS(Assumptions!$B$21)),MAX(0.1,1-Assumptions!$B$31*(F32/50)))))*J32*Archetypes!$B$15*Archetypes!$B$22)*Assumptions!$B$23+(Archetypes!$B$11*(IF(F32&lt;0,1+Assumptions!$B$32*MIN(1,ABS(F32)/ABS(Assumptions!$B$21)),MAX(0.1,1-Assumptions!$B$31*(F32/50)))))*Assumptions!$B$24+-((Archetypes!$B$11*(IF(F32&lt;0,1+Assumptions!$B$32*MIN(1,ABS(F32)/ABS(Assumptions!$B$21)),MAX(0.1,1-Assumptions!$B$31*(F32/50)))))*Archetypes!$B$16)*(Assumptions!$B$27*(1+Assumptions!$B$28*Archetypes!$B$14)/(1+Assumptions!$B$29*Archetypes!$B$12))+-(Archetypes!$B$11*(IF(F32&lt;0,1+Assumptions!$B$32*MIN(1,ABS(F32)/ABS(Assumptions!$B$21)),MAX(0.1,1-Assumptions!$B$31*(F32/50)))))*Archetypes!$B$17*((Archetypes!$B$31)/100)*Assumptions!$B$30+-Assumptions!$B$25*Assumptions!$B$26)*$E32</f>
        <v>0.61812</v>
      </c>
      <c r="I32" s="18">
        <f>(Archetypes!$B$11*(IF(F32&lt;0,1+Assumptions!$B$32*MIN(1,ABS(F32)/ABS(Assumptions!$B$21)),MAX(0.1,1-Assumptions!$B$31*(F32/50)))))*$E32</f>
        <v>1</v>
      </c>
      <c r="J32" s="19">
        <f>Archetypes!$B$30</f>
        <v>2.1999999999999999E-2</v>
      </c>
      <c r="K32" s="18">
        <f t="shared" si="2"/>
        <v>2.1999999999999999E-2</v>
      </c>
      <c r="L32" s="18">
        <f>((I32-K32)*Archetypes!$B$15)+(K32*Archetypes!$B$15*Archetypes!$B$22)</f>
        <v>0.10044</v>
      </c>
      <c r="M32" s="18">
        <f>I32*Archetypes!$B$16</f>
        <v>0.75</v>
      </c>
      <c r="N32" s="18">
        <f>(IF(F32&lt;0,Assumptions!$B$8,IF(F32&lt;10,Assumptions!$B$34,IF(F32&lt;25,Assumptions!$B$35,Assumptions!$B$36))))*((((Archetypes!$B$5*Assumptions!$B$4+Archetypes!$B$6*Assumptions!$B$5)*60))+(Assumptions!$B$6*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$20)+((Archetypes!$B$11*(IF(F32&lt;0,1+Assumptions!$B$32*MIN(1,ABS(F32)/ABS(Assumptions!$B$21)),MAX(0.1,1-Assumptions!$B$31*(F32/50)))))*J32*Archetypes!$B$20*Archetypes!$B$21)*Assumptions!$B$18)*(IF($D32=1,1,Assumptions!$B$7)))+((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$15)*(Archetypes!$B$13*IF(F32&lt;0,1-Assumptions!$B$33*MIN(1,ABS(F32)/ABS(Assumptions!$B$21)),1))*5)+(((Archetypes!$B$11*(IF(F32&lt;0,1+Assumptions!$B$32*MIN(1,ABS(F32)/ABS(Assumptions!$B$21)),MAX(0.1,1-Assumptions!$B$31*(F32/50)))))*J32*Archetypes!$B$15*Archetypes!$B$22)*(Archetypes!$B$13*IF(F32&lt;0,1-Assumptions!$B$33*MIN(1,ABS(F32)/ABS(Assumptions!$B$21)),1))*5*Assumptions!$B$18))*IF(F32&lt;0,Assumptions!$B$9,1)))*$E32</f>
        <v>183.95189999999999</v>
      </c>
      <c r="O32" s="18">
        <f>(O31)+(N32)-(MAX(0,((O31)+(N32)-(P32)))*(IF(Archetypes!$B$27="",Assumptions!$B$11,Archetypes!$B$27)))</f>
        <v>810.19713440441421</v>
      </c>
      <c r="P32" s="18">
        <f>Archetypes!$B$33</f>
        <v>25.423199999999998</v>
      </c>
      <c r="Q32" s="18">
        <f t="shared" si="3"/>
        <v>784.77393440441426</v>
      </c>
      <c r="S32" s="18">
        <f t="shared" si="9"/>
        <v>70.365371678321765</v>
      </c>
      <c r="T32" s="18">
        <f>MAX(Assumptions!$B$21,(S32)+(U32))</f>
        <v>71.091055890381014</v>
      </c>
      <c r="U32" s="18">
        <f>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$15)*Assumptions!$B$22+((Archetypes!$C$11*(IF(S32&lt;0,1+Assumptions!$B$32*MIN(1,ABS(S32)/ABS(Assumptions!$B$21)),MAX(0.1,1-Assumptions!$B$31*(S32/50)))))*W32*Archetypes!$C$15*Archetypes!$C$22)*Assumptions!$B$23+(Archetypes!$C$11*(IF(S32&lt;0,1+Assumptions!$B$32*MIN(1,ABS(S32)/ABS(Assumptions!$B$21)),MAX(0.1,1-Assumptions!$B$31*(S32/50)))))*Assumptions!$B$24+-((Archetypes!$C$11*(IF(S32&lt;0,1+Assumptions!$B$32*MIN(1,ABS(S32)/ABS(Assumptions!$B$21)),MAX(0.1,1-Assumptions!$B$31*(S32/50)))))*Archetypes!$C$16)*(Assumptions!$B$27*(1+Assumptions!$B$28*Archetypes!$C$14)/(1+Assumptions!$B$29*Archetypes!$C$12))+-(Archetypes!$C$11*(IF(S32&lt;0,1+Assumptions!$B$32*MIN(1,ABS(S32)/ABS(Assumptions!$B$21)),MAX(0.1,1-Assumptions!$B$31*(S32/50)))))*Archetypes!$C$17*((Archetypes!$C$31)/100)*Assumptions!$B$30+-Assumptions!$B$25*Assumptions!$B$26)*$E32</f>
        <v>0.72568421205925515</v>
      </c>
      <c r="V32" s="18">
        <f>(Archetypes!$C$11*(IF(S32&lt;0,1+Assumptions!$B$32*MIN(1,ABS(S32)/ABS(Assumptions!$B$21)),MAX(0.1,1-Assumptions!$B$31*(S32/50)))))*$E32</f>
        <v>0.93369323916083324</v>
      </c>
      <c r="W32" s="19">
        <f>Archetypes!$C$30</f>
        <v>3.7999999999999999E-2</v>
      </c>
      <c r="X32" s="18">
        <f t="shared" si="4"/>
        <v>3.5480343088111661E-2</v>
      </c>
      <c r="Y32" s="18">
        <f>((V32-X32)*Archetypes!$C$15)+(X32*Archetypes!$C$15*Archetypes!$C$22)</f>
        <v>0.47216867104363336</v>
      </c>
      <c r="Z32" s="18">
        <f>V32*Archetypes!$C$16</f>
        <v>0.42016195762237496</v>
      </c>
      <c r="AA32" s="18">
        <f>(IF(S32&lt;0,Assumptions!$B$8,IF(S32&lt;10,Assumptions!$B$34,IF(S32&lt;25,Assumptions!$B$35,Assumptions!$B$36))))*((((Archetypes!$C$5*Assumptions!$B$4+Archetypes!$C$6*Assumptions!$B$5)*60))+(Assumptions!$B$6*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$20)+((Archetypes!$C$11*(IF(S32&lt;0,1+Assumptions!$B$32*MIN(1,ABS(S32)/ABS(Assumptions!$B$21)),MAX(0.1,1-Assumptions!$B$31*(S32/50)))))*W32*Archetypes!$C$20*Archetypes!$C$21)*Assumptions!$B$18)*(IF($D32=1,1,Assumptions!$B$7)))+((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$15)*(Archetypes!$C$13*IF(S32&lt;0,1-Assumptions!$B$33*MIN(1,ABS(S32)/ABS(Assumptions!$B$21)),1))*5)+(((Archetypes!$C$11*(IF(S32&lt;0,1+Assumptions!$B$32*MIN(1,ABS(S32)/ABS(Assumptions!$B$21)),MAX(0.1,1-Assumptions!$B$31*(S32/50)))))*W32*Archetypes!$C$15*Archetypes!$C$22)*(Archetypes!$C$13*IF(S32&lt;0,1-Assumptions!$B$33*MIN(1,ABS(S32)/ABS(Assumptions!$B$21)),1))*5*Assumptions!$B$18))*IF(S32&lt;0,Assumptions!$B$9,1)))*$E32</f>
        <v>735.48942211670135</v>
      </c>
      <c r="AB32" s="18">
        <f>(AB31)+(AA32)-(MAX(0,((AB31)+(AA32)-(AC32)))*(IF(Archetypes!$C$27="",Assumptions!$B$11,Archetypes!$C$27)))</f>
        <v>2382.5426373426662</v>
      </c>
      <c r="AC32" s="18">
        <f>Archetypes!$C$33</f>
        <v>90.34</v>
      </c>
      <c r="AD32" s="18">
        <f t="shared" si="5"/>
        <v>2292.2026373426661</v>
      </c>
      <c r="AF32" s="18">
        <f t="shared" si="10"/>
        <v>65.968623393383098</v>
      </c>
      <c r="AG32" s="18">
        <f>MAX(Assumptions!$B$21,(AF32)+(AH32))</f>
        <v>66.728678668623189</v>
      </c>
      <c r="AH32" s="18">
        <f>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$15)*Assumptions!$B$22+((Archetypes!$D$11*(IF(AF32&lt;0,1+Assumptions!$B$32*MIN(1,ABS(AF32)/ABS(Assumptions!$B$21)),MAX(0.1,1-Assumptions!$B$31*(AF32/50)))))*AJ32*Archetypes!$D$15*Archetypes!$D$22)*Assumptions!$B$23+(Archetypes!$D$11*(IF(AF32&lt;0,1+Assumptions!$B$32*MIN(1,ABS(AF32)/ABS(Assumptions!$B$21)),MAX(0.1,1-Assumptions!$B$31*(AF32/50)))))*Assumptions!$B$24+-((Archetypes!$D$11*(IF(AF32&lt;0,1+Assumptions!$B$32*MIN(1,ABS(AF32)/ABS(Assumptions!$B$21)),MAX(0.1,1-Assumptions!$B$31*(AF32/50)))))*Archetypes!$D$16)*(Assumptions!$B$27*(1+Assumptions!$B$28*Archetypes!$D$14)/(1+Assumptions!$B$29*Archetypes!$D$12))+-(Archetypes!$D$11*(IF(AF32&lt;0,1+Assumptions!$B$32*MIN(1,ABS(AF32)/ABS(Assumptions!$B$21)),MAX(0.1,1-Assumptions!$B$31*(AF32/50)))))*Archetypes!$D$17*((Archetypes!$D$31)/100)*Assumptions!$B$30+-Assumptions!$B$25*Assumptions!$B$26)*$E32</f>
        <v>0.76005527524009264</v>
      </c>
      <c r="AI32" s="18">
        <f>(Archetypes!$D$11*(IF(AF32&lt;0,1+Assumptions!$B$32*MIN(1,ABS(AF32)/ABS(Assumptions!$B$21)),MAX(0.1,1-Assumptions!$B$31*(AF32/50)))))*$E32</f>
        <v>0.62512955783820845</v>
      </c>
      <c r="AJ32" s="19">
        <f>Archetypes!$D$30</f>
        <v>0.10400000000000001</v>
      </c>
      <c r="AK32" s="18">
        <f t="shared" si="6"/>
        <v>6.5013474015173683E-2</v>
      </c>
      <c r="AL32" s="18">
        <f>((AI32-AK32)*Archetypes!$D$15)+(AK32*Archetypes!$D$15*Archetypes!$D$22)</f>
        <v>0.97670242116641692</v>
      </c>
      <c r="AM32" s="18">
        <f>AI32*Archetypes!$D$16</f>
        <v>0.1250259115676417</v>
      </c>
      <c r="AN32" s="18">
        <f>(IF(AF32&lt;0,Assumptions!$B$8,IF(AF32&lt;10,Assumptions!$B$34,IF(AF32&lt;25,Assumptions!$B$35,Assumptions!$B$36))))*((((Archetypes!$D$5*Assumptions!$B$4+Archetypes!$D$6*Assumptions!$B$5)*60))+(Assumptions!$B$6*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$20)+((Archetypes!$D$11*(IF(AF32&lt;0,1+Assumptions!$B$32*MIN(1,ABS(AF32)/ABS(Assumptions!$B$21)),MAX(0.1,1-Assumptions!$B$31*(AF32/50)))))*AJ32*Archetypes!$D$20*Archetypes!$D$21)*Assumptions!$B$18)*(IF($D32=1,1,Assumptions!$B$7)))+((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$15)*(Archetypes!$D$13*IF(AF32&lt;0,1-Assumptions!$B$33*MIN(1,ABS(AF32)/ABS(Assumptions!$B$21)),1))*5)+(((Archetypes!$D$11*(IF(AF32&lt;0,1+Assumptions!$B$32*MIN(1,ABS(AF32)/ABS(Assumptions!$B$21)),MAX(0.1,1-Assumptions!$B$31*(AF32/50)))))*AJ32*Archetypes!$D$15*Archetypes!$D$22)*(Archetypes!$D$13*IF(AF32&lt;0,1-Assumptions!$B$33*MIN(1,ABS(AF32)/ABS(Assumptions!$B$21)),1))*5*Assumptions!$B$18))*IF(AF32&lt;0,Assumptions!$B$9,1)))*$E32</f>
        <v>1222.3579313676817</v>
      </c>
      <c r="AO32" s="18">
        <f>(AO31)+(AN32)-(MAX(0,((AO31)+(AN32)-(AP32)))*(IF(Archetypes!$D$27="",Assumptions!$B$11,Archetypes!$D$27)))</f>
        <v>3191.6570128424132</v>
      </c>
      <c r="AP32" s="18">
        <f>Archetypes!$D$33</f>
        <v>201.32916645159378</v>
      </c>
      <c r="AQ32" s="18">
        <f t="shared" si="7"/>
        <v>2990.3278463908196</v>
      </c>
    </row>
    <row r="33" spans="1:43" x14ac:dyDescent="0.25">
      <c r="A33" s="14">
        <v>29</v>
      </c>
      <c r="B33" s="14">
        <f t="shared" si="0"/>
        <v>2</v>
      </c>
      <c r="C33" s="14">
        <f t="shared" si="1"/>
        <v>5</v>
      </c>
      <c r="D33" s="15">
        <f>IF(C33&lt;Assumptions!$B$10,1,0)</f>
        <v>0</v>
      </c>
      <c r="E33" s="15">
        <v>1</v>
      </c>
      <c r="F33" s="18">
        <f t="shared" si="8"/>
        <v>76.948585872558127</v>
      </c>
      <c r="G33" s="18">
        <f>MAX(Assumptions!$B$21,(F33)+(H33))</f>
        <v>77.566705872558131</v>
      </c>
      <c r="H33" s="18">
        <f>(((Archetypes!$B$11*(IF(F33&lt;0,1+Assumptions!$B$32*MIN(1,ABS(F33)/ABS(Assumptions!$B$21)),MAX(0.1,1-Assumptions!$B$31*(F33/50)))))-((Archetypes!$B$11*(IF(F33&lt;0,1+Assumptions!$B$32*MIN(1,ABS(F33)/ABS(Assumptions!$B$21)),MAX(0.1,1-Assumptions!$B$31*(F33/50)))))*J33)*Archetypes!$B$15)*Assumptions!$B$22+((Archetypes!$B$11*(IF(F33&lt;0,1+Assumptions!$B$32*MIN(1,ABS(F33)/ABS(Assumptions!$B$21)),MAX(0.1,1-Assumptions!$B$31*(F33/50)))))*J33*Archetypes!$B$15*Archetypes!$B$22)*Assumptions!$B$23+(Archetypes!$B$11*(IF(F33&lt;0,1+Assumptions!$B$32*MIN(1,ABS(F33)/ABS(Assumptions!$B$21)),MAX(0.1,1-Assumptions!$B$31*(F33/50)))))*Assumptions!$B$24+-((Archetypes!$B$11*(IF(F33&lt;0,1+Assumptions!$B$32*MIN(1,ABS(F33)/ABS(Assumptions!$B$21)),MAX(0.1,1-Assumptions!$B$31*(F33/50)))))*Archetypes!$B$16)*(Assumptions!$B$27*(1+Assumptions!$B$28*Archetypes!$B$14)/(1+Assumptions!$B$29*Archetypes!$B$12))+-(Archetypes!$B$11*(IF(F33&lt;0,1+Assumptions!$B$32*MIN(1,ABS(F33)/ABS(Assumptions!$B$21)),MAX(0.1,1-Assumptions!$B$31*(F33/50)))))*Archetypes!$B$17*((Archetypes!$B$31)/100)*Assumptions!$B$30+-Assumptions!$B$25*Assumptions!$B$26)*$E33</f>
        <v>0.61812</v>
      </c>
      <c r="I33" s="18">
        <f>(Archetypes!$B$11*(IF(F33&lt;0,1+Assumptions!$B$32*MIN(1,ABS(F33)/ABS(Assumptions!$B$21)),MAX(0.1,1-Assumptions!$B$31*(F33/50)))))*$E33</f>
        <v>1</v>
      </c>
      <c r="J33" s="19">
        <f>Archetypes!$B$30</f>
        <v>2.1999999999999999E-2</v>
      </c>
      <c r="K33" s="18">
        <f t="shared" si="2"/>
        <v>2.1999999999999999E-2</v>
      </c>
      <c r="L33" s="18">
        <f>((I33-K33)*Archetypes!$B$15)+(K33*Archetypes!$B$15*Archetypes!$B$22)</f>
        <v>0.10044</v>
      </c>
      <c r="M33" s="18">
        <f>I33*Archetypes!$B$16</f>
        <v>0.75</v>
      </c>
      <c r="N33" s="18">
        <f>(IF(F33&lt;0,Assumptions!$B$8,IF(F33&lt;10,Assumptions!$B$34,IF(F33&lt;25,Assumptions!$B$35,Assumptions!$B$36))))*((((Archetypes!$B$5*Assumptions!$B$4+Archetypes!$B$6*Assumptions!$B$5)*60))+(Assumptions!$B$6*(((Archetypes!$B$11*(IF(F33&lt;0,1+Assumptions!$B$32*MIN(1,ABS(F33)/ABS(Assumptions!$B$21)),MAX(0.1,1-Assumptions!$B$31*(F33/50)))))-((Archetypes!$B$11*(IF(F33&lt;0,1+Assumptions!$B$32*MIN(1,ABS(F33)/ABS(Assumptions!$B$21)),MAX(0.1,1-Assumptions!$B$31*(F33/50)))))*J33)*Archetypes!$B$20)+((Archetypes!$B$11*(IF(F33&lt;0,1+Assumptions!$B$32*MIN(1,ABS(F33)/ABS(Assumptions!$B$21)),MAX(0.1,1-Assumptions!$B$31*(F33/50)))))*J33*Archetypes!$B$20*Archetypes!$B$21)*Assumptions!$B$18)*(IF($D33=1,1,Assumptions!$B$7)))+(((((Archetypes!$B$11*(IF(F33&lt;0,1+Assumptions!$B$32*MIN(1,ABS(F33)/ABS(Assumptions!$B$21)),MAX(0.1,1-Assumptions!$B$31*(F33/50)))))-((Archetypes!$B$11*(IF(F33&lt;0,1+Assumptions!$B$32*MIN(1,ABS(F33)/ABS(Assumptions!$B$21)),MAX(0.1,1-Assumptions!$B$31*(F33/50)))))*J33)*Archetypes!$B$15)*(Archetypes!$B$13*IF(F33&lt;0,1-Assumptions!$B$33*MIN(1,ABS(F33)/ABS(Assumptions!$B$21)),1))*5)+(((Archetypes!$B$11*(IF(F33&lt;0,1+Assumptions!$B$32*MIN(1,ABS(F33)/ABS(Assumptions!$B$21)),MAX(0.1,1-Assumptions!$B$31*(F33/50)))))*J33*Archetypes!$B$15*Archetypes!$B$22)*(Archetypes!$B$13*IF(F33&lt;0,1-Assumptions!$B$33*MIN(1,ABS(F33)/ABS(Assumptions!$B$21)),1))*5*Assumptions!$B$18))*IF(F33&lt;0,Assumptions!$B$9,1)))*$E33</f>
        <v>183.95189999999999</v>
      </c>
      <c r="O33" s="18">
        <f>(O32)+(N33)-(MAX(0,((O32)+(N33)-(P33)))*(IF(Archetypes!$B$27="",Assumptions!$B$11,Archetypes!$B$27)))</f>
        <v>800.4038675235314</v>
      </c>
      <c r="P33" s="18">
        <f>Archetypes!$B$33</f>
        <v>25.423199999999998</v>
      </c>
      <c r="Q33" s="18">
        <f t="shared" si="3"/>
        <v>774.98066752353145</v>
      </c>
      <c r="S33" s="18">
        <f t="shared" si="9"/>
        <v>71.091055890381014</v>
      </c>
      <c r="T33" s="18">
        <f>MAX(Assumptions!$B$21,(S33)+(U33))</f>
        <v>71.767737011257054</v>
      </c>
      <c r="U33" s="18">
        <f>(((Archetypes!$C$11*(IF(S33&lt;0,1+Assumptions!$B$32*MIN(1,ABS(S33)/ABS(Assumptions!$B$21)),MAX(0.1,1-Assumptions!$B$31*(S33/50)))))-((Archetypes!$C$11*(IF(S33&lt;0,1+Assumptions!$B$32*MIN(1,ABS(S33)/ABS(Assumptions!$B$21)),MAX(0.1,1-Assumptions!$B$31*(S33/50)))))*W33)*Archetypes!$C$15)*Assumptions!$B$22+((Archetypes!$C$11*(IF(S33&lt;0,1+Assumptions!$B$32*MIN(1,ABS(S33)/ABS(Assumptions!$B$21)),MAX(0.1,1-Assumptions!$B$31*(S33/50)))))*W33*Archetypes!$C$15*Archetypes!$C$22)*Assumptions!$B$23+(Archetypes!$C$11*(IF(S33&lt;0,1+Assumptions!$B$32*MIN(1,ABS(S33)/ABS(Assumptions!$B$21)),MAX(0.1,1-Assumptions!$B$31*(S33/50)))))*Assumptions!$B$24+-((Archetypes!$C$11*(IF(S33&lt;0,1+Assumptions!$B$32*MIN(1,ABS(S33)/ABS(Assumptions!$B$21)),MAX(0.1,1-Assumptions!$B$31*(S33/50)))))*Archetypes!$C$16)*(Assumptions!$B$27*(1+Assumptions!$B$28*Archetypes!$C$14)/(1+Assumptions!$B$29*Archetypes!$C$12))+-(Archetypes!$C$11*(IF(S33&lt;0,1+Assumptions!$B$32*MIN(1,ABS(S33)/ABS(Assumptions!$B$21)),MAX(0.1,1-Assumptions!$B$31*(S33/50)))))*Archetypes!$C$17*((Archetypes!$C$31)/100)*Assumptions!$B$30+-Assumptions!$B$25*Assumptions!$B$26)*$E33</f>
        <v>0.6766811208760416</v>
      </c>
      <c r="V33" s="18">
        <f>(Archetypes!$C$11*(IF(S33&lt;0,1+Assumptions!$B$32*MIN(1,ABS(S33)/ABS(Assumptions!$B$21)),MAX(0.1,1-Assumptions!$B$31*(S33/50)))))*$E33</f>
        <v>0.88144397589256696</v>
      </c>
      <c r="W33" s="19">
        <f>Archetypes!$C$30</f>
        <v>3.7999999999999999E-2</v>
      </c>
      <c r="X33" s="18">
        <f t="shared" si="4"/>
        <v>3.3494871083917542E-2</v>
      </c>
      <c r="Y33" s="18">
        <f>((V33-X33)*Archetypes!$C$15)+(X33*Archetypes!$C$15*Archetypes!$C$22)</f>
        <v>0.44574621860887109</v>
      </c>
      <c r="Z33" s="18">
        <f>V33*Archetypes!$C$16</f>
        <v>0.39664978915165516</v>
      </c>
      <c r="AA33" s="18">
        <f>(IF(S33&lt;0,Assumptions!$B$8,IF(S33&lt;10,Assumptions!$B$34,IF(S33&lt;25,Assumptions!$B$35,Assumptions!$B$36))))*((((Archetypes!$C$5*Assumptions!$B$4+Archetypes!$C$6*Assumptions!$B$5)*60))+(Assumptions!$B$6*(((Archetypes!$C$11*(IF(S33&lt;0,1+Assumptions!$B$32*MIN(1,ABS(S33)/ABS(Assumptions!$B$21)),MAX(0.1,1-Assumptions!$B$31*(S33/50)))))-((Archetypes!$C$11*(IF(S33&lt;0,1+Assumptions!$B$32*MIN(1,ABS(S33)/ABS(Assumptions!$B$21)),MAX(0.1,1-Assumptions!$B$31*(S33/50)))))*W33)*Archetypes!$C$20)+((Archetypes!$C$11*(IF(S33&lt;0,1+Assumptions!$B$32*MIN(1,ABS(S33)/ABS(Assumptions!$B$21)),MAX(0.1,1-Assumptions!$B$31*(S33/50)))))*W33*Archetypes!$C$20*Archetypes!$C$21)*Assumptions!$B$18)*(IF($D33=1,1,Assumptions!$B$7)))+(((((Archetypes!$C$11*(IF(S33&lt;0,1+Assumptions!$B$32*MIN(1,ABS(S33)/ABS(Assumptions!$B$21)),MAX(0.1,1-Assumptions!$B$31*(S33/50)))))-((Archetypes!$C$11*(IF(S33&lt;0,1+Assumptions!$B$32*MIN(1,ABS(S33)/ABS(Assumptions!$B$21)),MAX(0.1,1-Assumptions!$B$31*(S33/50)))))*W33)*Archetypes!$C$15)*(Archetypes!$C$13*IF(S33&lt;0,1-Assumptions!$B$33*MIN(1,ABS(S33)/ABS(Assumptions!$B$21)),1))*5)+(((Archetypes!$C$11*(IF(S33&lt;0,1+Assumptions!$B$32*MIN(1,ABS(S33)/ABS(Assumptions!$B$21)),MAX(0.1,1-Assumptions!$B$31*(S33/50)))))*W33*Archetypes!$C$15*Archetypes!$C$22)*(Archetypes!$C$13*IF(S33&lt;0,1-Assumptions!$B$33*MIN(1,ABS(S33)/ABS(Assumptions!$B$21)),1))*5*Assumptions!$B$18))*IF(S33&lt;0,Assumptions!$B$9,1)))*$E33</f>
        <v>731.43293038956392</v>
      </c>
      <c r="AB33" s="18">
        <f>(AB32)+(AA33)-(MAX(0,((AB32)+(AA33)-(AC33)))*(IF(Archetypes!$C$27="",Assumptions!$B$11,Archetypes!$C$27)))</f>
        <v>2358.0666757991726</v>
      </c>
      <c r="AC33" s="18">
        <f>Archetypes!$C$33</f>
        <v>90.34</v>
      </c>
      <c r="AD33" s="18">
        <f t="shared" si="5"/>
        <v>2267.7266757991724</v>
      </c>
      <c r="AF33" s="18">
        <f t="shared" si="10"/>
        <v>66.728678668623189</v>
      </c>
      <c r="AG33" s="18">
        <f>MAX(Assumptions!$B$21,(AF33)+(AH33))</f>
        <v>67.44890072378081</v>
      </c>
      <c r="AH33" s="18">
        <f>(((Archetypes!$D$11*(IF(AF33&lt;0,1+Assumptions!$B$32*MIN(1,ABS(AF33)/ABS(Assumptions!$B$21)),MAX(0.1,1-Assumptions!$B$31*(AF33/50)))))-((Archetypes!$D$11*(IF(AF33&lt;0,1+Assumptions!$B$32*MIN(1,ABS(AF33)/ABS(Assumptions!$B$21)),MAX(0.1,1-Assumptions!$B$31*(AF33/50)))))*AJ33)*Archetypes!$D$15)*Assumptions!$B$22+((Archetypes!$D$11*(IF(AF33&lt;0,1+Assumptions!$B$32*MIN(1,ABS(AF33)/ABS(Assumptions!$B$21)),MAX(0.1,1-Assumptions!$B$31*(AF33/50)))))*AJ33*Archetypes!$D$15*Archetypes!$D$22)*Assumptions!$B$23+(Archetypes!$D$11*(IF(AF33&lt;0,1+Assumptions!$B$32*MIN(1,ABS(AF33)/ABS(Assumptions!$B$21)),MAX(0.1,1-Assumptions!$B$31*(AF33/50)))))*Assumptions!$B$24+-((Archetypes!$D$11*(IF(AF33&lt;0,1+Assumptions!$B$32*MIN(1,ABS(AF33)/ABS(Assumptions!$B$21)),MAX(0.1,1-Assumptions!$B$31*(AF33/50)))))*Archetypes!$D$16)*(Assumptions!$B$27*(1+Assumptions!$B$28*Archetypes!$D$14)/(1+Assumptions!$B$29*Archetypes!$D$12))+-(Archetypes!$D$11*(IF(AF33&lt;0,1+Assumptions!$B$32*MIN(1,ABS(AF33)/ABS(Assumptions!$B$21)),MAX(0.1,1-Assumptions!$B$31*(AF33/50)))))*Archetypes!$D$17*((Archetypes!$D$31)/100)*Assumptions!$B$30+-Assumptions!$B$25*Assumptions!$B$26)*$E33</f>
        <v>0.72022205515762183</v>
      </c>
      <c r="AI33" s="18">
        <f>(Archetypes!$D$11*(IF(AF33&lt;0,1+Assumptions!$B$32*MIN(1,ABS(AF33)/ABS(Assumptions!$B$21)),MAX(0.1,1-Assumptions!$B$31*(AF33/50)))))*$E33</f>
        <v>0.5977675679295652</v>
      </c>
      <c r="AJ33" s="19">
        <f>Archetypes!$D$30</f>
        <v>0.10400000000000001</v>
      </c>
      <c r="AK33" s="18">
        <f t="shared" si="6"/>
        <v>6.2167827064674788E-2</v>
      </c>
      <c r="AL33" s="18">
        <f>((AI33-AK33)*Archetypes!$D$15)+(AK33*Archetypes!$D$15*Archetypes!$D$22)</f>
        <v>0.93395204813315269</v>
      </c>
      <c r="AM33" s="18">
        <f>AI33*Archetypes!$D$16</f>
        <v>0.11955351358591304</v>
      </c>
      <c r="AN33" s="18">
        <f>(IF(AF33&lt;0,Assumptions!$B$8,IF(AF33&lt;10,Assumptions!$B$34,IF(AF33&lt;25,Assumptions!$B$35,Assumptions!$B$36))))*((((Archetypes!$D$5*Assumptions!$B$4+Archetypes!$D$6*Assumptions!$B$5)*60))+(Assumptions!$B$6*(((Archetypes!$D$11*(IF(AF33&lt;0,1+Assumptions!$B$32*MIN(1,ABS(AF33)/ABS(Assumptions!$B$21)),MAX(0.1,1-Assumptions!$B$31*(AF33/50)))))-((Archetypes!$D$11*(IF(AF33&lt;0,1+Assumptions!$B$32*MIN(1,ABS(AF33)/ABS(Assumptions!$B$21)),MAX(0.1,1-Assumptions!$B$31*(AF33/50)))))*AJ33)*Archetypes!$D$20)+((Archetypes!$D$11*(IF(AF33&lt;0,1+Assumptions!$B$32*MIN(1,ABS(AF33)/ABS(Assumptions!$B$21)),MAX(0.1,1-Assumptions!$B$31*(AF33/50)))))*AJ33*Archetypes!$D$20*Archetypes!$D$21)*Assumptions!$B$18)*(IF($D33=1,1,Assumptions!$B$7)))+(((((Archetypes!$D$11*(IF(AF33&lt;0,1+Assumptions!$B$32*MIN(1,ABS(AF33)/ABS(Assumptions!$B$21)),MAX(0.1,1-Assumptions!$B$31*(AF33/50)))))-((Archetypes!$D$11*(IF(AF33&lt;0,1+Assumptions!$B$32*MIN(1,ABS(AF33)/ABS(Assumptions!$B$21)),MAX(0.1,1-Assumptions!$B$31*(AF33/50)))))*AJ33)*Archetypes!$D$15)*(Archetypes!$D$13*IF(AF33&lt;0,1-Assumptions!$B$33*MIN(1,ABS(AF33)/ABS(Assumptions!$B$21)),1))*5)+(((Archetypes!$D$11*(IF(AF33&lt;0,1+Assumptions!$B$32*MIN(1,ABS(AF33)/ABS(Assumptions!$B$21)),MAX(0.1,1-Assumptions!$B$31*(AF33/50)))))*AJ33*Archetypes!$D$15*Archetypes!$D$22)*(Archetypes!$D$13*IF(AF33&lt;0,1-Assumptions!$B$33*MIN(1,ABS(AF33)/ABS(Assumptions!$B$21)),1))*5*Assumptions!$B$18))*IF(AF33&lt;0,Assumptions!$B$9,1)))*$E33</f>
        <v>1215.7329779660263</v>
      </c>
      <c r="AO33" s="18">
        <f>(AO32)+(AN33)-(MAX(0,((AO32)+(AN33)-(AP33)))*(IF(Archetypes!$D$27="",Assumptions!$B$11,Archetypes!$D$27)))</f>
        <v>3145.5717435013858</v>
      </c>
      <c r="AP33" s="18">
        <f>Archetypes!$D$33</f>
        <v>201.32916645159378</v>
      </c>
      <c r="AQ33" s="18">
        <f t="shared" si="7"/>
        <v>2944.2425770497921</v>
      </c>
    </row>
    <row r="34" spans="1:43" x14ac:dyDescent="0.25">
      <c r="A34" s="14">
        <v>30</v>
      </c>
      <c r="B34" s="14">
        <f t="shared" si="0"/>
        <v>2</v>
      </c>
      <c r="C34" s="14">
        <f t="shared" si="1"/>
        <v>6</v>
      </c>
      <c r="D34" s="15">
        <f>IF(C34&lt;Assumptions!$B$10,1,0)</f>
        <v>0</v>
      </c>
      <c r="E34" s="15">
        <v>1</v>
      </c>
      <c r="F34" s="18">
        <f t="shared" si="8"/>
        <v>77.566705872558131</v>
      </c>
      <c r="G34" s="18">
        <f>MAX(Assumptions!$B$21,(F34)+(H34))</f>
        <v>78.184825872558136</v>
      </c>
      <c r="H34" s="18">
        <f>(((Archetypes!$B$11*(IF(F34&lt;0,1+Assumptions!$B$32*MIN(1,ABS(F34)/ABS(Assumptions!$B$21)),MAX(0.1,1-Assumptions!$B$31*(F34/50)))))-((Archetypes!$B$11*(IF(F34&lt;0,1+Assumptions!$B$32*MIN(1,ABS(F34)/ABS(Assumptions!$B$21)),MAX(0.1,1-Assumptions!$B$31*(F34/50)))))*J34)*Archetypes!$B$15)*Assumptions!$B$22+((Archetypes!$B$11*(IF(F34&lt;0,1+Assumptions!$B$32*MIN(1,ABS(F34)/ABS(Assumptions!$B$21)),MAX(0.1,1-Assumptions!$B$31*(F34/50)))))*J34*Archetypes!$B$15*Archetypes!$B$22)*Assumptions!$B$23+(Archetypes!$B$11*(IF(F34&lt;0,1+Assumptions!$B$32*MIN(1,ABS(F34)/ABS(Assumptions!$B$21)),MAX(0.1,1-Assumptions!$B$31*(F34/50)))))*Assumptions!$B$24+-((Archetypes!$B$11*(IF(F34&lt;0,1+Assumptions!$B$32*MIN(1,ABS(F34)/ABS(Assumptions!$B$21)),MAX(0.1,1-Assumptions!$B$31*(F34/50)))))*Archetypes!$B$16)*(Assumptions!$B$27*(1+Assumptions!$B$28*Archetypes!$B$14)/(1+Assumptions!$B$29*Archetypes!$B$12))+-(Archetypes!$B$11*(IF(F34&lt;0,1+Assumptions!$B$32*MIN(1,ABS(F34)/ABS(Assumptions!$B$21)),MAX(0.1,1-Assumptions!$B$31*(F34/50)))))*Archetypes!$B$17*((Archetypes!$B$31)/100)*Assumptions!$B$30+-Assumptions!$B$25*Assumptions!$B$26)*$E34</f>
        <v>0.61812</v>
      </c>
      <c r="I34" s="18">
        <f>(Archetypes!$B$11*(IF(F34&lt;0,1+Assumptions!$B$32*MIN(1,ABS(F34)/ABS(Assumptions!$B$21)),MAX(0.1,1-Assumptions!$B$31*(F34/50)))))*$E34</f>
        <v>1</v>
      </c>
      <c r="J34" s="19">
        <f>Archetypes!$B$30</f>
        <v>2.1999999999999999E-2</v>
      </c>
      <c r="K34" s="18">
        <f t="shared" si="2"/>
        <v>2.1999999999999999E-2</v>
      </c>
      <c r="L34" s="18">
        <f>((I34-K34)*Archetypes!$B$15)+(K34*Archetypes!$B$15*Archetypes!$B$22)</f>
        <v>0.10044</v>
      </c>
      <c r="M34" s="18">
        <f>I34*Archetypes!$B$16</f>
        <v>0.75</v>
      </c>
      <c r="N34" s="18">
        <f>(IF(F34&lt;0,Assumptions!$B$8,IF(F34&lt;10,Assumptions!$B$34,IF(F34&lt;25,Assumptions!$B$35,Assumptions!$B$36))))*((((Archetypes!$B$5*Assumptions!$B$4+Archetypes!$B$6*Assumptions!$B$5)*60))+(Assumptions!$B$6*(((Archetypes!$B$11*(IF(F34&lt;0,1+Assumptions!$B$32*MIN(1,ABS(F34)/ABS(Assumptions!$B$21)),MAX(0.1,1-Assumptions!$B$31*(F34/50)))))-((Archetypes!$B$11*(IF(F34&lt;0,1+Assumptions!$B$32*MIN(1,ABS(F34)/ABS(Assumptions!$B$21)),MAX(0.1,1-Assumptions!$B$31*(F34/50)))))*J34)*Archetypes!$B$20)+((Archetypes!$B$11*(IF(F34&lt;0,1+Assumptions!$B$32*MIN(1,ABS(F34)/ABS(Assumptions!$B$21)),MAX(0.1,1-Assumptions!$B$31*(F34/50)))))*J34*Archetypes!$B$20*Archetypes!$B$21)*Assumptions!$B$18)*(IF($D34=1,1,Assumptions!$B$7)))+(((((Archetypes!$B$11*(IF(F34&lt;0,1+Assumptions!$B$32*MIN(1,ABS(F34)/ABS(Assumptions!$B$21)),MAX(0.1,1-Assumptions!$B$31*(F34/50)))))-((Archetypes!$B$11*(IF(F34&lt;0,1+Assumptions!$B$32*MIN(1,ABS(F34)/ABS(Assumptions!$B$21)),MAX(0.1,1-Assumptions!$B$31*(F34/50)))))*J34)*Archetypes!$B$15)*(Archetypes!$B$13*IF(F34&lt;0,1-Assumptions!$B$33*MIN(1,ABS(F34)/ABS(Assumptions!$B$21)),1))*5)+(((Archetypes!$B$11*(IF(F34&lt;0,1+Assumptions!$B$32*MIN(1,ABS(F34)/ABS(Assumptions!$B$21)),MAX(0.1,1-Assumptions!$B$31*(F34/50)))))*J34*Archetypes!$B$15*Archetypes!$B$22)*(Archetypes!$B$13*IF(F34&lt;0,1-Assumptions!$B$33*MIN(1,ABS(F34)/ABS(Assumptions!$B$21)),1))*5*Assumptions!$B$18))*IF(F34&lt;0,Assumptions!$B$9,1)))*$E34</f>
        <v>183.95189999999999</v>
      </c>
      <c r="O34" s="18">
        <f>(O33)+(N34)-(MAX(0,((O33)+(N34)-(P34)))*(IF(Archetypes!$B$27="",Assumptions!$B$11,Archetypes!$B$27)))</f>
        <v>792.56925401882518</v>
      </c>
      <c r="P34" s="18">
        <f>Archetypes!$B$33</f>
        <v>25.423199999999998</v>
      </c>
      <c r="Q34" s="18">
        <f t="shared" si="3"/>
        <v>767.14605401882523</v>
      </c>
      <c r="S34" s="18">
        <f t="shared" si="9"/>
        <v>71.767737011257054</v>
      </c>
      <c r="T34" s="18">
        <f>MAX(Assumptions!$B$21,(S34)+(U34))</f>
        <v>72.398724060087417</v>
      </c>
      <c r="U34" s="18">
        <f>(((Archetypes!$C$11*(IF(S34&lt;0,1+Assumptions!$B$32*MIN(1,ABS(S34)/ABS(Assumptions!$B$21)),MAX(0.1,1-Assumptions!$B$31*(S34/50)))))-((Archetypes!$C$11*(IF(S34&lt;0,1+Assumptions!$B$32*MIN(1,ABS(S34)/ABS(Assumptions!$B$21)),MAX(0.1,1-Assumptions!$B$31*(S34/50)))))*W34)*Archetypes!$C$15)*Assumptions!$B$22+((Archetypes!$C$11*(IF(S34&lt;0,1+Assumptions!$B$32*MIN(1,ABS(S34)/ABS(Assumptions!$B$21)),MAX(0.1,1-Assumptions!$B$31*(S34/50)))))*W34*Archetypes!$C$15*Archetypes!$C$22)*Assumptions!$B$23+(Archetypes!$C$11*(IF(S34&lt;0,1+Assumptions!$B$32*MIN(1,ABS(S34)/ABS(Assumptions!$B$21)),MAX(0.1,1-Assumptions!$B$31*(S34/50)))))*Assumptions!$B$24+-((Archetypes!$C$11*(IF(S34&lt;0,1+Assumptions!$B$32*MIN(1,ABS(S34)/ABS(Assumptions!$B$21)),MAX(0.1,1-Assumptions!$B$31*(S34/50)))))*Archetypes!$C$16)*(Assumptions!$B$27*(1+Assumptions!$B$28*Archetypes!$C$14)/(1+Assumptions!$B$29*Archetypes!$C$12))+-(Archetypes!$C$11*(IF(S34&lt;0,1+Assumptions!$B$32*MIN(1,ABS(S34)/ABS(Assumptions!$B$21)),MAX(0.1,1-Assumptions!$B$31*(S34/50)))))*Archetypes!$C$17*((Archetypes!$C$31)/100)*Assumptions!$B$30+-Assumptions!$B$25*Assumptions!$B$26)*$E34</f>
        <v>0.63098704883036261</v>
      </c>
      <c r="V34" s="18">
        <f>(Archetypes!$C$11*(IF(S34&lt;0,1+Assumptions!$B$32*MIN(1,ABS(S34)/ABS(Assumptions!$B$21)),MAX(0.1,1-Assumptions!$B$31*(S34/50)))))*$E34</f>
        <v>0.83272293518949247</v>
      </c>
      <c r="W34" s="19">
        <f>Archetypes!$C$30</f>
        <v>3.7999999999999999E-2</v>
      </c>
      <c r="X34" s="18">
        <f t="shared" si="4"/>
        <v>3.1643471537200714E-2</v>
      </c>
      <c r="Y34" s="18">
        <f>((V34-X34)*Archetypes!$C$15)+(X34*Archetypes!$C$15*Archetypes!$C$22)</f>
        <v>0.42110798832532637</v>
      </c>
      <c r="Z34" s="18">
        <f>V34*Archetypes!$C$16</f>
        <v>0.3747253208352716</v>
      </c>
      <c r="AA34" s="18">
        <f>(IF(S34&lt;0,Assumptions!$B$8,IF(S34&lt;10,Assumptions!$B$34,IF(S34&lt;25,Assumptions!$B$35,Assumptions!$B$36))))*((((Archetypes!$C$5*Assumptions!$B$4+Archetypes!$C$6*Assumptions!$B$5)*60))+(Assumptions!$B$6*(((Archetypes!$C$11*(IF(S34&lt;0,1+Assumptions!$B$32*MIN(1,ABS(S34)/ABS(Assumptions!$B$21)),MAX(0.1,1-Assumptions!$B$31*(S34/50)))))-((Archetypes!$C$11*(IF(S34&lt;0,1+Assumptions!$B$32*MIN(1,ABS(S34)/ABS(Assumptions!$B$21)),MAX(0.1,1-Assumptions!$B$31*(S34/50)))))*W34)*Archetypes!$C$20)+((Archetypes!$C$11*(IF(S34&lt;0,1+Assumptions!$B$32*MIN(1,ABS(S34)/ABS(Assumptions!$B$21)),MAX(0.1,1-Assumptions!$B$31*(S34/50)))))*W34*Archetypes!$C$20*Archetypes!$C$21)*Assumptions!$B$18)*(IF($D34=1,1,Assumptions!$B$7)))+(((((Archetypes!$C$11*(IF(S34&lt;0,1+Assumptions!$B$32*MIN(1,ABS(S34)/ABS(Assumptions!$B$21)),MAX(0.1,1-Assumptions!$B$31*(S34/50)))))-((Archetypes!$C$11*(IF(S34&lt;0,1+Assumptions!$B$32*MIN(1,ABS(S34)/ABS(Assumptions!$B$21)),MAX(0.1,1-Assumptions!$B$31*(S34/50)))))*W34)*Archetypes!$C$15)*(Archetypes!$C$13*IF(S34&lt;0,1-Assumptions!$B$33*MIN(1,ABS(S34)/ABS(Assumptions!$B$21)),1))*5)+(((Archetypes!$C$11*(IF(S34&lt;0,1+Assumptions!$B$32*MIN(1,ABS(S34)/ABS(Assumptions!$B$21)),MAX(0.1,1-Assumptions!$B$31*(S34/50)))))*W34*Archetypes!$C$15*Archetypes!$C$22)*(Archetypes!$C$13*IF(S34&lt;0,1-Assumptions!$B$33*MIN(1,ABS(S34)/ABS(Assumptions!$B$21)),1))*5*Assumptions!$B$18))*IF(S34&lt;0,Assumptions!$B$9,1)))*$E34</f>
        <v>727.65036033618719</v>
      </c>
      <c r="AB34" s="18">
        <f>(AB33)+(AA34)-(MAX(0,((AB33)+(AA34)-(AC34)))*(IF(Archetypes!$C$27="",Assumptions!$B$11,Archetypes!$C$27)))</f>
        <v>2336.8727771015197</v>
      </c>
      <c r="AC34" s="18">
        <f>Archetypes!$C$33</f>
        <v>90.34</v>
      </c>
      <c r="AD34" s="18">
        <f t="shared" si="5"/>
        <v>2246.5327771015195</v>
      </c>
      <c r="AF34" s="18">
        <f t="shared" si="10"/>
        <v>67.44890072378081</v>
      </c>
      <c r="AG34" s="18">
        <f>MAX(Assumptions!$B$21,(AF34)+(AH34))</f>
        <v>68.131377151000677</v>
      </c>
      <c r="AH34" s="18">
        <f>(((Archetypes!$D$11*(IF(AF34&lt;0,1+Assumptions!$B$32*MIN(1,ABS(AF34)/ABS(Assumptions!$B$21)),MAX(0.1,1-Assumptions!$B$31*(AF34/50)))))-((Archetypes!$D$11*(IF(AF34&lt;0,1+Assumptions!$B$32*MIN(1,ABS(AF34)/ABS(Assumptions!$B$21)),MAX(0.1,1-Assumptions!$B$31*(AF34/50)))))*AJ34)*Archetypes!$D$15)*Assumptions!$B$22+((Archetypes!$D$11*(IF(AF34&lt;0,1+Assumptions!$B$32*MIN(1,ABS(AF34)/ABS(Assumptions!$B$21)),MAX(0.1,1-Assumptions!$B$31*(AF34/50)))))*AJ34*Archetypes!$D$15*Archetypes!$D$22)*Assumptions!$B$23+(Archetypes!$D$11*(IF(AF34&lt;0,1+Assumptions!$B$32*MIN(1,ABS(AF34)/ABS(Assumptions!$B$21)),MAX(0.1,1-Assumptions!$B$31*(AF34/50)))))*Assumptions!$B$24+-((Archetypes!$D$11*(IF(AF34&lt;0,1+Assumptions!$B$32*MIN(1,ABS(AF34)/ABS(Assumptions!$B$21)),MAX(0.1,1-Assumptions!$B$31*(AF34/50)))))*Archetypes!$D$16)*(Assumptions!$B$27*(1+Assumptions!$B$28*Archetypes!$D$14)/(1+Assumptions!$B$29*Archetypes!$D$12))+-(Archetypes!$D$11*(IF(AF34&lt;0,1+Assumptions!$B$32*MIN(1,ABS(AF34)/ABS(Assumptions!$B$21)),MAX(0.1,1-Assumptions!$B$31*(AF34/50)))))*Archetypes!$D$17*((Archetypes!$D$31)/100)*Assumptions!$B$30+-Assumptions!$B$25*Assumptions!$B$26)*$E34</f>
        <v>0.68247642721986368</v>
      </c>
      <c r="AI34" s="18">
        <f>(Archetypes!$D$11*(IF(AF34&lt;0,1+Assumptions!$B$32*MIN(1,ABS(AF34)/ABS(Assumptions!$B$21)),MAX(0.1,1-Assumptions!$B$31*(AF34/50)))))*$E34</f>
        <v>0.57183957394389084</v>
      </c>
      <c r="AJ34" s="19">
        <f>Archetypes!$D$30</f>
        <v>0.10400000000000001</v>
      </c>
      <c r="AK34" s="18">
        <f t="shared" si="6"/>
        <v>5.9471315690164651E-2</v>
      </c>
      <c r="AL34" s="18">
        <f>((AI34-AK34)*Archetypes!$D$15)+(AK34*Archetypes!$D$15*Archetypes!$D$22)</f>
        <v>0.89344215032993501</v>
      </c>
      <c r="AM34" s="18">
        <f>AI34*Archetypes!$D$16</f>
        <v>0.11436791478877817</v>
      </c>
      <c r="AN34" s="18">
        <f>(IF(AF34&lt;0,Assumptions!$B$8,IF(AF34&lt;10,Assumptions!$B$34,IF(AF34&lt;25,Assumptions!$B$35,Assumptions!$B$36))))*((((Archetypes!$D$5*Assumptions!$B$4+Archetypes!$D$6*Assumptions!$B$5)*60))+(Assumptions!$B$6*(((Archetypes!$D$11*(IF(AF34&lt;0,1+Assumptions!$B$32*MIN(1,ABS(AF34)/ABS(Assumptions!$B$21)),MAX(0.1,1-Assumptions!$B$31*(AF34/50)))))-((Archetypes!$D$11*(IF(AF34&lt;0,1+Assumptions!$B$32*MIN(1,ABS(AF34)/ABS(Assumptions!$B$21)),MAX(0.1,1-Assumptions!$B$31*(AF34/50)))))*AJ34)*Archetypes!$D$20)+((Archetypes!$D$11*(IF(AF34&lt;0,1+Assumptions!$B$32*MIN(1,ABS(AF34)/ABS(Assumptions!$B$21)),MAX(0.1,1-Assumptions!$B$31*(AF34/50)))))*AJ34*Archetypes!$D$20*Archetypes!$D$21)*Assumptions!$B$18)*(IF($D34=1,1,Assumptions!$B$7)))+(((((Archetypes!$D$11*(IF(AF34&lt;0,1+Assumptions!$B$32*MIN(1,ABS(AF34)/ABS(Assumptions!$B$21)),MAX(0.1,1-Assumptions!$B$31*(AF34/50)))))-((Archetypes!$D$11*(IF(AF34&lt;0,1+Assumptions!$B$32*MIN(1,ABS(AF34)/ABS(Assumptions!$B$21)),MAX(0.1,1-Assumptions!$B$31*(AF34/50)))))*AJ34)*Archetypes!$D$15)*(Archetypes!$D$13*IF(AF34&lt;0,1-Assumptions!$B$33*MIN(1,ABS(AF34)/ABS(Assumptions!$B$21)),1))*5)+(((Archetypes!$D$11*(IF(AF34&lt;0,1+Assumptions!$B$32*MIN(1,ABS(AF34)/ABS(Assumptions!$B$21)),MAX(0.1,1-Assumptions!$B$31*(AF34/50)))))*AJ34*Archetypes!$D$15*Archetypes!$D$22)*(Archetypes!$D$13*IF(AF34&lt;0,1-Assumptions!$B$33*MIN(1,ABS(AF34)/ABS(Assumptions!$B$21)),1))*5*Assumptions!$B$18))*IF(AF34&lt;0,Assumptions!$B$9,1)))*$E34</f>
        <v>1209.4552272422295</v>
      </c>
      <c r="AO34" s="18">
        <f>(AO33)+(AN34)-(MAX(0,((AO33)+(AN34)-(AP34)))*(IF(Archetypes!$D$27="",Assumptions!$B$11,Archetypes!$D$27)))</f>
        <v>3108.9176294560093</v>
      </c>
      <c r="AP34" s="18">
        <f>Archetypes!$D$33</f>
        <v>201.32916645159378</v>
      </c>
      <c r="AQ34" s="18">
        <f t="shared" si="7"/>
        <v>2907.5884630044156</v>
      </c>
    </row>
    <row r="35" spans="1:43" x14ac:dyDescent="0.25">
      <c r="A35" s="14">
        <v>31</v>
      </c>
      <c r="B35" s="14">
        <f t="shared" si="0"/>
        <v>2</v>
      </c>
      <c r="C35" s="14">
        <f t="shared" si="1"/>
        <v>7</v>
      </c>
      <c r="D35" s="15">
        <f>IF(C35&lt;Assumptions!$B$10,1,0)</f>
        <v>0</v>
      </c>
      <c r="E35" s="15">
        <v>1</v>
      </c>
      <c r="F35" s="18">
        <f t="shared" si="8"/>
        <v>78.184825872558136</v>
      </c>
      <c r="G35" s="18">
        <f>MAX(Assumptions!$B$21,(F35)+(H35))</f>
        <v>78.802945872558141</v>
      </c>
      <c r="H35" s="18">
        <f>(((Archetypes!$B$11*(IF(F35&lt;0,1+Assumptions!$B$32*MIN(1,ABS(F35)/ABS(Assumptions!$B$21)),MAX(0.1,1-Assumptions!$B$31*(F35/50)))))-((Archetypes!$B$11*(IF(F35&lt;0,1+Assumptions!$B$32*MIN(1,ABS(F35)/ABS(Assumptions!$B$21)),MAX(0.1,1-Assumptions!$B$31*(F35/50)))))*J35)*Archetypes!$B$15)*Assumptions!$B$22+((Archetypes!$B$11*(IF(F35&lt;0,1+Assumptions!$B$32*MIN(1,ABS(F35)/ABS(Assumptions!$B$21)),MAX(0.1,1-Assumptions!$B$31*(F35/50)))))*J35*Archetypes!$B$15*Archetypes!$B$22)*Assumptions!$B$23+(Archetypes!$B$11*(IF(F35&lt;0,1+Assumptions!$B$32*MIN(1,ABS(F35)/ABS(Assumptions!$B$21)),MAX(0.1,1-Assumptions!$B$31*(F35/50)))))*Assumptions!$B$24+-((Archetypes!$B$11*(IF(F35&lt;0,1+Assumptions!$B$32*MIN(1,ABS(F35)/ABS(Assumptions!$B$21)),MAX(0.1,1-Assumptions!$B$31*(F35/50)))))*Archetypes!$B$16)*(Assumptions!$B$27*(1+Assumptions!$B$28*Archetypes!$B$14)/(1+Assumptions!$B$29*Archetypes!$B$12))+-(Archetypes!$B$11*(IF(F35&lt;0,1+Assumptions!$B$32*MIN(1,ABS(F35)/ABS(Assumptions!$B$21)),MAX(0.1,1-Assumptions!$B$31*(F35/50)))))*Archetypes!$B$17*((Archetypes!$B$31)/100)*Assumptions!$B$30+-Assumptions!$B$25*Assumptions!$B$26)*$E35</f>
        <v>0.61812</v>
      </c>
      <c r="I35" s="18">
        <f>(Archetypes!$B$11*(IF(F35&lt;0,1+Assumptions!$B$32*MIN(1,ABS(F35)/ABS(Assumptions!$B$21)),MAX(0.1,1-Assumptions!$B$31*(F35/50)))))*$E35</f>
        <v>1</v>
      </c>
      <c r="J35" s="19">
        <f>Archetypes!$B$30</f>
        <v>2.1999999999999999E-2</v>
      </c>
      <c r="K35" s="18">
        <f t="shared" si="2"/>
        <v>2.1999999999999999E-2</v>
      </c>
      <c r="L35" s="18">
        <f>((I35-K35)*Archetypes!$B$15)+(K35*Archetypes!$B$15*Archetypes!$B$22)</f>
        <v>0.10044</v>
      </c>
      <c r="M35" s="18">
        <f>I35*Archetypes!$B$16</f>
        <v>0.75</v>
      </c>
      <c r="N35" s="18">
        <f>(IF(F35&lt;0,Assumptions!$B$8,IF(F35&lt;10,Assumptions!$B$34,IF(F35&lt;25,Assumptions!$B$35,Assumptions!$B$36))))*((((Archetypes!$B$5*Assumptions!$B$4+Archetypes!$B$6*Assumptions!$B$5)*60))+(Assumptions!$B$6*(((Archetypes!$B$11*(IF(F35&lt;0,1+Assumptions!$B$32*MIN(1,ABS(F35)/ABS(Assumptions!$B$21)),MAX(0.1,1-Assumptions!$B$31*(F35/50)))))-((Archetypes!$B$11*(IF(F35&lt;0,1+Assumptions!$B$32*MIN(1,ABS(F35)/ABS(Assumptions!$B$21)),MAX(0.1,1-Assumptions!$B$31*(F35/50)))))*J35)*Archetypes!$B$20)+((Archetypes!$B$11*(IF(F35&lt;0,1+Assumptions!$B$32*MIN(1,ABS(F35)/ABS(Assumptions!$B$21)),MAX(0.1,1-Assumptions!$B$31*(F35/50)))))*J35*Archetypes!$B$20*Archetypes!$B$21)*Assumptions!$B$18)*(IF($D35=1,1,Assumptions!$B$7)))+(((((Archetypes!$B$11*(IF(F35&lt;0,1+Assumptions!$B$32*MIN(1,ABS(F35)/ABS(Assumptions!$B$21)),MAX(0.1,1-Assumptions!$B$31*(F35/50)))))-((Archetypes!$B$11*(IF(F35&lt;0,1+Assumptions!$B$32*MIN(1,ABS(F35)/ABS(Assumptions!$B$21)),MAX(0.1,1-Assumptions!$B$31*(F35/50)))))*J35)*Archetypes!$B$15)*(Archetypes!$B$13*IF(F35&lt;0,1-Assumptions!$B$33*MIN(1,ABS(F35)/ABS(Assumptions!$B$21)),1))*5)+(((Archetypes!$B$11*(IF(F35&lt;0,1+Assumptions!$B$32*MIN(1,ABS(F35)/ABS(Assumptions!$B$21)),MAX(0.1,1-Assumptions!$B$31*(F35/50)))))*J35*Archetypes!$B$15*Archetypes!$B$22)*(Archetypes!$B$13*IF(F35&lt;0,1-Assumptions!$B$33*MIN(1,ABS(F35)/ABS(Assumptions!$B$21)),1))*5*Assumptions!$B$18))*IF(F35&lt;0,Assumptions!$B$9,1)))*$E35</f>
        <v>183.95189999999999</v>
      </c>
      <c r="O35" s="18">
        <f>(O34)+(N35)-(MAX(0,((O34)+(N35)-(P35)))*(IF(Archetypes!$B$27="",Assumptions!$B$11,Archetypes!$B$27)))</f>
        <v>786.30156321506013</v>
      </c>
      <c r="P35" s="18">
        <f>Archetypes!$B$33</f>
        <v>25.423199999999998</v>
      </c>
      <c r="Q35" s="18">
        <f t="shared" si="3"/>
        <v>760.87836321506018</v>
      </c>
      <c r="S35" s="18">
        <f t="shared" si="9"/>
        <v>72.398724060087417</v>
      </c>
      <c r="T35" s="18">
        <f>MAX(Assumptions!$B$21,(S35)+(U35))</f>
        <v>72.987102608725223</v>
      </c>
      <c r="U35" s="18">
        <f>(((Archetypes!$C$11*(IF(S35&lt;0,1+Assumptions!$B$32*MIN(1,ABS(S35)/ABS(Assumptions!$B$21)),MAX(0.1,1-Assumptions!$B$31*(S35/50)))))-((Archetypes!$C$11*(IF(S35&lt;0,1+Assumptions!$B$32*MIN(1,ABS(S35)/ABS(Assumptions!$B$21)),MAX(0.1,1-Assumptions!$B$31*(S35/50)))))*W35)*Archetypes!$C$15)*Assumptions!$B$22+((Archetypes!$C$11*(IF(S35&lt;0,1+Assumptions!$B$32*MIN(1,ABS(S35)/ABS(Assumptions!$B$21)),MAX(0.1,1-Assumptions!$B$31*(S35/50)))))*W35*Archetypes!$C$15*Archetypes!$C$22)*Assumptions!$B$23+(Archetypes!$C$11*(IF(S35&lt;0,1+Assumptions!$B$32*MIN(1,ABS(S35)/ABS(Assumptions!$B$21)),MAX(0.1,1-Assumptions!$B$31*(S35/50)))))*Assumptions!$B$24+-((Archetypes!$C$11*(IF(S35&lt;0,1+Assumptions!$B$32*MIN(1,ABS(S35)/ABS(Assumptions!$B$21)),MAX(0.1,1-Assumptions!$B$31*(S35/50)))))*Archetypes!$C$16)*(Assumptions!$B$27*(1+Assumptions!$B$28*Archetypes!$C$14)/(1+Assumptions!$B$29*Archetypes!$C$12))+-(Archetypes!$C$11*(IF(S35&lt;0,1+Assumptions!$B$32*MIN(1,ABS(S35)/ABS(Assumptions!$B$21)),MAX(0.1,1-Assumptions!$B$31*(S35/50)))))*Archetypes!$C$17*((Archetypes!$C$31)/100)*Assumptions!$B$30+-Assumptions!$B$25*Assumptions!$B$26)*$E35</f>
        <v>0.58837854863780692</v>
      </c>
      <c r="V35" s="18">
        <f>(Archetypes!$C$11*(IF(S35&lt;0,1+Assumptions!$B$32*MIN(1,ABS(S35)/ABS(Assumptions!$B$21)),MAX(0.1,1-Assumptions!$B$31*(S35/50)))))*$E35</f>
        <v>0.78729186767370618</v>
      </c>
      <c r="W35" s="19">
        <f>Archetypes!$C$30</f>
        <v>3.7999999999999999E-2</v>
      </c>
      <c r="X35" s="18">
        <f t="shared" si="4"/>
        <v>2.9917090971600835E-2</v>
      </c>
      <c r="Y35" s="18">
        <f>((V35-X35)*Archetypes!$C$15)+(X35*Archetypes!$C$15*Archetypes!$C$22)</f>
        <v>0.39813349748259319</v>
      </c>
      <c r="Z35" s="18">
        <f>V35*Archetypes!$C$16</f>
        <v>0.35428134045316778</v>
      </c>
      <c r="AA35" s="18">
        <f>(IF(S35&lt;0,Assumptions!$B$8,IF(S35&lt;10,Assumptions!$B$34,IF(S35&lt;25,Assumptions!$B$35,Assumptions!$B$36))))*((((Archetypes!$C$5*Assumptions!$B$4+Archetypes!$C$6*Assumptions!$B$5)*60))+(Assumptions!$B$6*(((Archetypes!$C$11*(IF(S35&lt;0,1+Assumptions!$B$32*MIN(1,ABS(S35)/ABS(Assumptions!$B$21)),MAX(0.1,1-Assumptions!$B$31*(S35/50)))))-((Archetypes!$C$11*(IF(S35&lt;0,1+Assumptions!$B$32*MIN(1,ABS(S35)/ABS(Assumptions!$B$21)),MAX(0.1,1-Assumptions!$B$31*(S35/50)))))*W35)*Archetypes!$C$20)+((Archetypes!$C$11*(IF(S35&lt;0,1+Assumptions!$B$32*MIN(1,ABS(S35)/ABS(Assumptions!$B$21)),MAX(0.1,1-Assumptions!$B$31*(S35/50)))))*W35*Archetypes!$C$20*Archetypes!$C$21)*Assumptions!$B$18)*(IF($D35=1,1,Assumptions!$B$7)))+(((((Archetypes!$C$11*(IF(S35&lt;0,1+Assumptions!$B$32*MIN(1,ABS(S35)/ABS(Assumptions!$B$21)),MAX(0.1,1-Assumptions!$B$31*(S35/50)))))-((Archetypes!$C$11*(IF(S35&lt;0,1+Assumptions!$B$32*MIN(1,ABS(S35)/ABS(Assumptions!$B$21)),MAX(0.1,1-Assumptions!$B$31*(S35/50)))))*W35)*Archetypes!$C$15)*(Archetypes!$C$13*IF(S35&lt;0,1-Assumptions!$B$33*MIN(1,ABS(S35)/ABS(Assumptions!$B$21)),1))*5)+(((Archetypes!$C$11*(IF(S35&lt;0,1+Assumptions!$B$32*MIN(1,ABS(S35)/ABS(Assumptions!$B$21)),MAX(0.1,1-Assumptions!$B$31*(S35/50)))))*W35*Archetypes!$C$15*Archetypes!$C$22)*(Archetypes!$C$13*IF(S35&lt;0,1-Assumptions!$B$33*MIN(1,ABS(S35)/ABS(Assumptions!$B$21)),1))*5*Assumptions!$B$18))*IF(S35&lt;0,Assumptions!$B$9,1)))*$E35</f>
        <v>724.12321491814373</v>
      </c>
      <c r="AB35" s="18">
        <f>(AB34)+(AA35)-(MAX(0,((AB34)+(AA35)-(AC35)))*(IF(Archetypes!$C$27="",Assumptions!$B$11,Archetypes!$C$27)))</f>
        <v>2318.3319940147476</v>
      </c>
      <c r="AC35" s="18">
        <f>Archetypes!$C$33</f>
        <v>90.34</v>
      </c>
      <c r="AD35" s="18">
        <f t="shared" si="5"/>
        <v>2227.9919940147474</v>
      </c>
      <c r="AF35" s="18">
        <f t="shared" si="10"/>
        <v>68.131377151000677</v>
      </c>
      <c r="AG35" s="18">
        <f>MAX(Assumptions!$B$21,(AF35)+(AH35))</f>
        <v>68.778086135230339</v>
      </c>
      <c r="AH35" s="18">
        <f>(((Archetypes!$D$11*(IF(AF35&lt;0,1+Assumptions!$B$32*MIN(1,ABS(AF35)/ABS(Assumptions!$B$21)),MAX(0.1,1-Assumptions!$B$31*(AF35/50)))))-((Archetypes!$D$11*(IF(AF35&lt;0,1+Assumptions!$B$32*MIN(1,ABS(AF35)/ABS(Assumptions!$B$21)),MAX(0.1,1-Assumptions!$B$31*(AF35/50)))))*AJ35)*Archetypes!$D$15)*Assumptions!$B$22+((Archetypes!$D$11*(IF(AF35&lt;0,1+Assumptions!$B$32*MIN(1,ABS(AF35)/ABS(Assumptions!$B$21)),MAX(0.1,1-Assumptions!$B$31*(AF35/50)))))*AJ35*Archetypes!$D$15*Archetypes!$D$22)*Assumptions!$B$23+(Archetypes!$D$11*(IF(AF35&lt;0,1+Assumptions!$B$32*MIN(1,ABS(AF35)/ABS(Assumptions!$B$21)),MAX(0.1,1-Assumptions!$B$31*(AF35/50)))))*Assumptions!$B$24+-((Archetypes!$D$11*(IF(AF35&lt;0,1+Assumptions!$B$32*MIN(1,ABS(AF35)/ABS(Assumptions!$B$21)),MAX(0.1,1-Assumptions!$B$31*(AF35/50)))))*Archetypes!$D$16)*(Assumptions!$B$27*(1+Assumptions!$B$28*Archetypes!$D$14)/(1+Assumptions!$B$29*Archetypes!$D$12))+-(Archetypes!$D$11*(IF(AF35&lt;0,1+Assumptions!$B$32*MIN(1,ABS(AF35)/ABS(Assumptions!$B$21)),MAX(0.1,1-Assumptions!$B$31*(AF35/50)))))*Archetypes!$D$17*((Archetypes!$D$31)/100)*Assumptions!$B$30+-Assumptions!$B$25*Assumptions!$B$26)*$E35</f>
        <v>0.64670898422966816</v>
      </c>
      <c r="AI35" s="18">
        <f>(Archetypes!$D$11*(IF(AF35&lt;0,1+Assumptions!$B$32*MIN(1,ABS(AF35)/ABS(Assumptions!$B$21)),MAX(0.1,1-Assumptions!$B$31*(AF35/50)))))*$E35</f>
        <v>0.54727042256397562</v>
      </c>
      <c r="AJ35" s="19">
        <f>Archetypes!$D$30</f>
        <v>0.10400000000000001</v>
      </c>
      <c r="AK35" s="18">
        <f t="shared" si="6"/>
        <v>5.691612394665347E-2</v>
      </c>
      <c r="AL35" s="18">
        <f>((AI35-AK35)*Archetypes!$D$15)+(AK35*Archetypes!$D$15*Archetypes!$D$22)</f>
        <v>0.85505530821395548</v>
      </c>
      <c r="AM35" s="18">
        <f>AI35*Archetypes!$D$16</f>
        <v>0.10945408451279513</v>
      </c>
      <c r="AN35" s="18">
        <f>(IF(AF35&lt;0,Assumptions!$B$8,IF(AF35&lt;10,Assumptions!$B$34,IF(AF35&lt;25,Assumptions!$B$35,Assumptions!$B$36))))*((((Archetypes!$D$5*Assumptions!$B$4+Archetypes!$D$6*Assumptions!$B$5)*60))+(Assumptions!$B$6*(((Archetypes!$D$11*(IF(AF35&lt;0,1+Assumptions!$B$32*MIN(1,ABS(AF35)/ABS(Assumptions!$B$21)),MAX(0.1,1-Assumptions!$B$31*(AF35/50)))))-((Archetypes!$D$11*(IF(AF35&lt;0,1+Assumptions!$B$32*MIN(1,ABS(AF35)/ABS(Assumptions!$B$21)),MAX(0.1,1-Assumptions!$B$31*(AF35/50)))))*AJ35)*Archetypes!$D$20)+((Archetypes!$D$11*(IF(AF35&lt;0,1+Assumptions!$B$32*MIN(1,ABS(AF35)/ABS(Assumptions!$B$21)),MAX(0.1,1-Assumptions!$B$31*(AF35/50)))))*AJ35*Archetypes!$D$20*Archetypes!$D$21)*Assumptions!$B$18)*(IF($D35=1,1,Assumptions!$B$7)))+(((((Archetypes!$D$11*(IF(AF35&lt;0,1+Assumptions!$B$32*MIN(1,ABS(AF35)/ABS(Assumptions!$B$21)),MAX(0.1,1-Assumptions!$B$31*(AF35/50)))))-((Archetypes!$D$11*(IF(AF35&lt;0,1+Assumptions!$B$32*MIN(1,ABS(AF35)/ABS(Assumptions!$B$21)),MAX(0.1,1-Assumptions!$B$31*(AF35/50)))))*AJ35)*Archetypes!$D$15)*(Archetypes!$D$13*IF(AF35&lt;0,1-Assumptions!$B$33*MIN(1,ABS(AF35)/ABS(Assumptions!$B$21)),1))*5)+(((Archetypes!$D$11*(IF(AF35&lt;0,1+Assumptions!$B$32*MIN(1,ABS(AF35)/ABS(Assumptions!$B$21)),MAX(0.1,1-Assumptions!$B$31*(AF35/50)))))*AJ35*Archetypes!$D$15*Archetypes!$D$22)*(Archetypes!$D$13*IF(AF35&lt;0,1-Assumptions!$B$33*MIN(1,ABS(AF35)/ABS(Assumptions!$B$21)),1))*5*Assumptions!$B$18))*IF(AF35&lt;0,Assumptions!$B$9,1)))*$E35</f>
        <v>1203.5064828872462</v>
      </c>
      <c r="AO35" s="18">
        <f>(AO34)+(AN35)-(MAX(0,((AO34)+(AN35)-(AP35)))*(IF(Archetypes!$D$27="",Assumptions!$B$11,Archetypes!$D$27)))</f>
        <v>3079.0956285757575</v>
      </c>
      <c r="AP35" s="18">
        <f>Archetypes!$D$33</f>
        <v>201.32916645159378</v>
      </c>
      <c r="AQ35" s="18">
        <f t="shared" si="7"/>
        <v>2877.7664621241638</v>
      </c>
    </row>
    <row r="36" spans="1:43" x14ac:dyDescent="0.25">
      <c r="A36" s="14">
        <v>32</v>
      </c>
      <c r="B36" s="14">
        <f t="shared" si="0"/>
        <v>2</v>
      </c>
      <c r="C36" s="14">
        <f t="shared" si="1"/>
        <v>8</v>
      </c>
      <c r="D36" s="15">
        <f>IF(C36&lt;Assumptions!$B$10,1,0)</f>
        <v>0</v>
      </c>
      <c r="E36" s="15">
        <v>1</v>
      </c>
      <c r="F36" s="18">
        <f t="shared" si="8"/>
        <v>78.802945872558141</v>
      </c>
      <c r="G36" s="18">
        <f>MAX(Assumptions!$B$21,(F36)+(H36))</f>
        <v>79.421065872558145</v>
      </c>
      <c r="H36" s="18">
        <f>(((Archetypes!$B$11*(IF(F36&lt;0,1+Assumptions!$B$32*MIN(1,ABS(F36)/ABS(Assumptions!$B$21)),MAX(0.1,1-Assumptions!$B$31*(F36/50)))))-((Archetypes!$B$11*(IF(F36&lt;0,1+Assumptions!$B$32*MIN(1,ABS(F36)/ABS(Assumptions!$B$21)),MAX(0.1,1-Assumptions!$B$31*(F36/50)))))*J36)*Archetypes!$B$15)*Assumptions!$B$22+((Archetypes!$B$11*(IF(F36&lt;0,1+Assumptions!$B$32*MIN(1,ABS(F36)/ABS(Assumptions!$B$21)),MAX(0.1,1-Assumptions!$B$31*(F36/50)))))*J36*Archetypes!$B$15*Archetypes!$B$22)*Assumptions!$B$23+(Archetypes!$B$11*(IF(F36&lt;0,1+Assumptions!$B$32*MIN(1,ABS(F36)/ABS(Assumptions!$B$21)),MAX(0.1,1-Assumptions!$B$31*(F36/50)))))*Assumptions!$B$24+-((Archetypes!$B$11*(IF(F36&lt;0,1+Assumptions!$B$32*MIN(1,ABS(F36)/ABS(Assumptions!$B$21)),MAX(0.1,1-Assumptions!$B$31*(F36/50)))))*Archetypes!$B$16)*(Assumptions!$B$27*(1+Assumptions!$B$28*Archetypes!$B$14)/(1+Assumptions!$B$29*Archetypes!$B$12))+-(Archetypes!$B$11*(IF(F36&lt;0,1+Assumptions!$B$32*MIN(1,ABS(F36)/ABS(Assumptions!$B$21)),MAX(0.1,1-Assumptions!$B$31*(F36/50)))))*Archetypes!$B$17*((Archetypes!$B$31)/100)*Assumptions!$B$30+-Assumptions!$B$25*Assumptions!$B$26)*$E36</f>
        <v>0.61812</v>
      </c>
      <c r="I36" s="18">
        <f>(Archetypes!$B$11*(IF(F36&lt;0,1+Assumptions!$B$32*MIN(1,ABS(F36)/ABS(Assumptions!$B$21)),MAX(0.1,1-Assumptions!$B$31*(F36/50)))))*$E36</f>
        <v>1</v>
      </c>
      <c r="J36" s="19">
        <f>Archetypes!$B$30</f>
        <v>2.1999999999999999E-2</v>
      </c>
      <c r="K36" s="18">
        <f t="shared" si="2"/>
        <v>2.1999999999999999E-2</v>
      </c>
      <c r="L36" s="18">
        <f>((I36-K36)*Archetypes!$B$15)+(K36*Archetypes!$B$15*Archetypes!$B$22)</f>
        <v>0.10044</v>
      </c>
      <c r="M36" s="18">
        <f>I36*Archetypes!$B$16</f>
        <v>0.75</v>
      </c>
      <c r="N36" s="18">
        <f>(IF(F36&lt;0,Assumptions!$B$8,IF(F36&lt;10,Assumptions!$B$34,IF(F36&lt;25,Assumptions!$B$35,Assumptions!$B$36))))*((((Archetypes!$B$5*Assumptions!$B$4+Archetypes!$B$6*Assumptions!$B$5)*60))+(Assumptions!$B$6*(((Archetypes!$B$11*(IF(F36&lt;0,1+Assumptions!$B$32*MIN(1,ABS(F36)/ABS(Assumptions!$B$21)),MAX(0.1,1-Assumptions!$B$31*(F36/50)))))-((Archetypes!$B$11*(IF(F36&lt;0,1+Assumptions!$B$32*MIN(1,ABS(F36)/ABS(Assumptions!$B$21)),MAX(0.1,1-Assumptions!$B$31*(F36/50)))))*J36)*Archetypes!$B$20)+((Archetypes!$B$11*(IF(F36&lt;0,1+Assumptions!$B$32*MIN(1,ABS(F36)/ABS(Assumptions!$B$21)),MAX(0.1,1-Assumptions!$B$31*(F36/50)))))*J36*Archetypes!$B$20*Archetypes!$B$21)*Assumptions!$B$18)*(IF($D36=1,1,Assumptions!$B$7)))+(((((Archetypes!$B$11*(IF(F36&lt;0,1+Assumptions!$B$32*MIN(1,ABS(F36)/ABS(Assumptions!$B$21)),MAX(0.1,1-Assumptions!$B$31*(F36/50)))))-((Archetypes!$B$11*(IF(F36&lt;0,1+Assumptions!$B$32*MIN(1,ABS(F36)/ABS(Assumptions!$B$21)),MAX(0.1,1-Assumptions!$B$31*(F36/50)))))*J36)*Archetypes!$B$15)*(Archetypes!$B$13*IF(F36&lt;0,1-Assumptions!$B$33*MIN(1,ABS(F36)/ABS(Assumptions!$B$21)),1))*5)+(((Archetypes!$B$11*(IF(F36&lt;0,1+Assumptions!$B$32*MIN(1,ABS(F36)/ABS(Assumptions!$B$21)),MAX(0.1,1-Assumptions!$B$31*(F36/50)))))*J36*Archetypes!$B$15*Archetypes!$B$22)*(Archetypes!$B$13*IF(F36&lt;0,1-Assumptions!$B$33*MIN(1,ABS(F36)/ABS(Assumptions!$B$21)),1))*5*Assumptions!$B$18))*IF(F36&lt;0,Assumptions!$B$9,1)))*$E36</f>
        <v>183.95189999999999</v>
      </c>
      <c r="O36" s="18">
        <f>(O35)+(N36)-(MAX(0,((O35)+(N36)-(P36)))*(IF(Archetypes!$B$27="",Assumptions!$B$11,Archetypes!$B$27)))</f>
        <v>781.28741057204809</v>
      </c>
      <c r="P36" s="18">
        <f>Archetypes!$B$33</f>
        <v>25.423199999999998</v>
      </c>
      <c r="Q36" s="18">
        <f t="shared" si="3"/>
        <v>755.86421057204814</v>
      </c>
      <c r="S36" s="18">
        <f t="shared" si="9"/>
        <v>72.987102608725223</v>
      </c>
      <c r="T36" s="18">
        <f>MAX(Assumptions!$B$21,(S36)+(U36))</f>
        <v>73.535749870406505</v>
      </c>
      <c r="U36" s="18">
        <f>(((Archetypes!$C$11*(IF(S36&lt;0,1+Assumptions!$B$32*MIN(1,ABS(S36)/ABS(Assumptions!$B$21)),MAX(0.1,1-Assumptions!$B$31*(S36/50)))))-((Archetypes!$C$11*(IF(S36&lt;0,1+Assumptions!$B$32*MIN(1,ABS(S36)/ABS(Assumptions!$B$21)),MAX(0.1,1-Assumptions!$B$31*(S36/50)))))*W36)*Archetypes!$C$15)*Assumptions!$B$22+((Archetypes!$C$11*(IF(S36&lt;0,1+Assumptions!$B$32*MIN(1,ABS(S36)/ABS(Assumptions!$B$21)),MAX(0.1,1-Assumptions!$B$31*(S36/50)))))*W36*Archetypes!$C$15*Archetypes!$C$22)*Assumptions!$B$23+(Archetypes!$C$11*(IF(S36&lt;0,1+Assumptions!$B$32*MIN(1,ABS(S36)/ABS(Assumptions!$B$21)),MAX(0.1,1-Assumptions!$B$31*(S36/50)))))*Assumptions!$B$24+-((Archetypes!$C$11*(IF(S36&lt;0,1+Assumptions!$B$32*MIN(1,ABS(S36)/ABS(Assumptions!$B$21)),MAX(0.1,1-Assumptions!$B$31*(S36/50)))))*Archetypes!$C$16)*(Assumptions!$B$27*(1+Assumptions!$B$28*Archetypes!$C$14)/(1+Assumptions!$B$29*Archetypes!$C$12))+-(Archetypes!$C$11*(IF(S36&lt;0,1+Assumptions!$B$32*MIN(1,ABS(S36)/ABS(Assumptions!$B$21)),MAX(0.1,1-Assumptions!$B$31*(S36/50)))))*Archetypes!$C$17*((Archetypes!$C$31)/100)*Assumptions!$B$30+-Assumptions!$B$25*Assumptions!$B$26)*$E36</f>
        <v>0.54864726168128308</v>
      </c>
      <c r="V36" s="18">
        <f>(Archetypes!$C$11*(IF(S36&lt;0,1+Assumptions!$B$32*MIN(1,ABS(S36)/ABS(Assumptions!$B$21)),MAX(0.1,1-Assumptions!$B$31*(S36/50)))))*$E36</f>
        <v>0.74492861217178441</v>
      </c>
      <c r="W36" s="19">
        <f>Archetypes!$C$30</f>
        <v>3.7999999999999999E-2</v>
      </c>
      <c r="X36" s="18">
        <f t="shared" si="4"/>
        <v>2.8307287262527805E-2</v>
      </c>
      <c r="Y36" s="18">
        <f>((V36-X36)*Archetypes!$C$15)+(X36*Archetypes!$C$15*Archetypes!$C$22)</f>
        <v>0.37671039917527138</v>
      </c>
      <c r="Z36" s="18">
        <f>V36*Archetypes!$C$16</f>
        <v>0.33521787547730297</v>
      </c>
      <c r="AA36" s="18">
        <f>(IF(S36&lt;0,Assumptions!$B$8,IF(S36&lt;10,Assumptions!$B$34,IF(S36&lt;25,Assumptions!$B$35,Assumptions!$B$36))))*((((Archetypes!$C$5*Assumptions!$B$4+Archetypes!$C$6*Assumptions!$B$5)*60))+(Assumptions!$B$6*(((Archetypes!$C$11*(IF(S36&lt;0,1+Assumptions!$B$32*MIN(1,ABS(S36)/ABS(Assumptions!$B$21)),MAX(0.1,1-Assumptions!$B$31*(S36/50)))))-((Archetypes!$C$11*(IF(S36&lt;0,1+Assumptions!$B$32*MIN(1,ABS(S36)/ABS(Assumptions!$B$21)),MAX(0.1,1-Assumptions!$B$31*(S36/50)))))*W36)*Archetypes!$C$20)+((Archetypes!$C$11*(IF(S36&lt;0,1+Assumptions!$B$32*MIN(1,ABS(S36)/ABS(Assumptions!$B$21)),MAX(0.1,1-Assumptions!$B$31*(S36/50)))))*W36*Archetypes!$C$20*Archetypes!$C$21)*Assumptions!$B$18)*(IF($D36=1,1,Assumptions!$B$7)))+(((((Archetypes!$C$11*(IF(S36&lt;0,1+Assumptions!$B$32*MIN(1,ABS(S36)/ABS(Assumptions!$B$21)),MAX(0.1,1-Assumptions!$B$31*(S36/50)))))-((Archetypes!$C$11*(IF(S36&lt;0,1+Assumptions!$B$32*MIN(1,ABS(S36)/ABS(Assumptions!$B$21)),MAX(0.1,1-Assumptions!$B$31*(S36/50)))))*W36)*Archetypes!$C$15)*(Archetypes!$C$13*IF(S36&lt;0,1-Assumptions!$B$33*MIN(1,ABS(S36)/ABS(Assumptions!$B$21)),1))*5)+(((Archetypes!$C$11*(IF(S36&lt;0,1+Assumptions!$B$32*MIN(1,ABS(S36)/ABS(Assumptions!$B$21)),MAX(0.1,1-Assumptions!$B$31*(S36/50)))))*W36*Archetypes!$C$15*Archetypes!$C$22)*(Archetypes!$C$13*IF(S36&lt;0,1-Assumptions!$B$33*MIN(1,ABS(S36)/ABS(Assumptions!$B$21)),1))*5*Assumptions!$B$18))*IF(S36&lt;0,Assumptions!$B$9,1)))*$E36</f>
        <v>720.83424614176442</v>
      </c>
      <c r="AB36" s="18">
        <f>(AB35)+(AA36)-(MAX(0,((AB35)+(AA36)-(AC36)))*(IF(Archetypes!$C$27="",Assumptions!$B$11,Archetypes!$C$27)))</f>
        <v>2301.9596801173839</v>
      </c>
      <c r="AC36" s="18">
        <f>Archetypes!$C$33</f>
        <v>90.34</v>
      </c>
      <c r="AD36" s="18">
        <f t="shared" si="5"/>
        <v>2211.6196801173837</v>
      </c>
      <c r="AF36" s="18">
        <f t="shared" si="10"/>
        <v>68.778086135230339</v>
      </c>
      <c r="AG36" s="18">
        <f>MAX(Assumptions!$B$21,(AF36)+(AH36))</f>
        <v>69.390902188067628</v>
      </c>
      <c r="AH36" s="18">
        <f>(((Archetypes!$D$11*(IF(AF36&lt;0,1+Assumptions!$B$32*MIN(1,ABS(AF36)/ABS(Assumptions!$B$21)),MAX(0.1,1-Assumptions!$B$31*(AF36/50)))))-((Archetypes!$D$11*(IF(AF36&lt;0,1+Assumptions!$B$32*MIN(1,ABS(AF36)/ABS(Assumptions!$B$21)),MAX(0.1,1-Assumptions!$B$31*(AF36/50)))))*AJ36)*Archetypes!$D$15)*Assumptions!$B$22+((Archetypes!$D$11*(IF(AF36&lt;0,1+Assumptions!$B$32*MIN(1,ABS(AF36)/ABS(Assumptions!$B$21)),MAX(0.1,1-Assumptions!$B$31*(AF36/50)))))*AJ36*Archetypes!$D$15*Archetypes!$D$22)*Assumptions!$B$23+(Archetypes!$D$11*(IF(AF36&lt;0,1+Assumptions!$B$32*MIN(1,ABS(AF36)/ABS(Assumptions!$B$21)),MAX(0.1,1-Assumptions!$B$31*(AF36/50)))))*Assumptions!$B$24+-((Archetypes!$D$11*(IF(AF36&lt;0,1+Assumptions!$B$32*MIN(1,ABS(AF36)/ABS(Assumptions!$B$21)),MAX(0.1,1-Assumptions!$B$31*(AF36/50)))))*Archetypes!$D$16)*(Assumptions!$B$27*(1+Assumptions!$B$28*Archetypes!$D$14)/(1+Assumptions!$B$29*Archetypes!$D$12))+-(Archetypes!$D$11*(IF(AF36&lt;0,1+Assumptions!$B$32*MIN(1,ABS(AF36)/ABS(Assumptions!$B$21)),MAX(0.1,1-Assumptions!$B$31*(AF36/50)))))*Archetypes!$D$17*((Archetypes!$D$31)/100)*Assumptions!$B$30+-Assumptions!$B$25*Assumptions!$B$26)*$E36</f>
        <v>0.61281605283728491</v>
      </c>
      <c r="AI36" s="18">
        <f>(Archetypes!$D$11*(IF(AF36&lt;0,1+Assumptions!$B$32*MIN(1,ABS(AF36)/ABS(Assumptions!$B$21)),MAX(0.1,1-Assumptions!$B$31*(AF36/50)))))*$E36</f>
        <v>0.52398889913170765</v>
      </c>
      <c r="AJ36" s="19">
        <f>Archetypes!$D$30</f>
        <v>0.10400000000000001</v>
      </c>
      <c r="AK36" s="18">
        <f t="shared" si="6"/>
        <v>5.4494845509697604E-2</v>
      </c>
      <c r="AL36" s="18">
        <f>((AI36-AK36)*Archetypes!$D$15)+(AK36*Archetypes!$D$15*Archetypes!$D$22)</f>
        <v>0.81868025600338001</v>
      </c>
      <c r="AM36" s="18">
        <f>AI36*Archetypes!$D$16</f>
        <v>0.10479777982634153</v>
      </c>
      <c r="AN36" s="18">
        <f>(IF(AF36&lt;0,Assumptions!$B$8,IF(AF36&lt;10,Assumptions!$B$34,IF(AF36&lt;25,Assumptions!$B$35,Assumptions!$B$36))))*((((Archetypes!$D$5*Assumptions!$B$4+Archetypes!$D$6*Assumptions!$B$5)*60))+(Assumptions!$B$6*(((Archetypes!$D$11*(IF(AF36&lt;0,1+Assumptions!$B$32*MIN(1,ABS(AF36)/ABS(Assumptions!$B$21)),MAX(0.1,1-Assumptions!$B$31*(AF36/50)))))-((Archetypes!$D$11*(IF(AF36&lt;0,1+Assumptions!$B$32*MIN(1,ABS(AF36)/ABS(Assumptions!$B$21)),MAX(0.1,1-Assumptions!$B$31*(AF36/50)))))*AJ36)*Archetypes!$D$20)+((Archetypes!$D$11*(IF(AF36&lt;0,1+Assumptions!$B$32*MIN(1,ABS(AF36)/ABS(Assumptions!$B$21)),MAX(0.1,1-Assumptions!$B$31*(AF36/50)))))*AJ36*Archetypes!$D$20*Archetypes!$D$21)*Assumptions!$B$18)*(IF($D36=1,1,Assumptions!$B$7)))+(((((Archetypes!$D$11*(IF(AF36&lt;0,1+Assumptions!$B$32*MIN(1,ABS(AF36)/ABS(Assumptions!$B$21)),MAX(0.1,1-Assumptions!$B$31*(AF36/50)))))-((Archetypes!$D$11*(IF(AF36&lt;0,1+Assumptions!$B$32*MIN(1,ABS(AF36)/ABS(Assumptions!$B$21)),MAX(0.1,1-Assumptions!$B$31*(AF36/50)))))*AJ36)*Archetypes!$D$15)*(Archetypes!$D$13*IF(AF36&lt;0,1-Assumptions!$B$33*MIN(1,ABS(AF36)/ABS(Assumptions!$B$21)),1))*5)+(((Archetypes!$D$11*(IF(AF36&lt;0,1+Assumptions!$B$32*MIN(1,ABS(AF36)/ABS(Assumptions!$B$21)),MAX(0.1,1-Assumptions!$B$31*(AF36/50)))))*AJ36*Archetypes!$D$15*Archetypes!$D$22)*(Archetypes!$D$13*IF(AF36&lt;0,1-Assumptions!$B$33*MIN(1,ABS(AF36)/ABS(Assumptions!$B$21)),1))*5*Assumptions!$B$18))*IF(AF36&lt;0,Assumptions!$B$9,1)))*$E36</f>
        <v>1197.8695022300167</v>
      </c>
      <c r="AO36" s="18">
        <f>(AO35)+(AN36)-(MAX(0,((AO35)+(AN36)-(AP36)))*(IF(Archetypes!$D$27="",Assumptions!$B$11,Archetypes!$D$27)))</f>
        <v>3054.2743414995202</v>
      </c>
      <c r="AP36" s="18">
        <f>Archetypes!$D$33</f>
        <v>201.32916645159378</v>
      </c>
      <c r="AQ36" s="18">
        <f t="shared" si="7"/>
        <v>2852.9451750479266</v>
      </c>
    </row>
    <row r="37" spans="1:43" x14ac:dyDescent="0.25">
      <c r="A37" s="14">
        <v>33</v>
      </c>
      <c r="B37" s="14">
        <f t="shared" si="0"/>
        <v>2</v>
      </c>
      <c r="C37" s="14">
        <f t="shared" si="1"/>
        <v>9</v>
      </c>
      <c r="D37" s="15">
        <f>IF(C37&lt;Assumptions!$B$10,1,0)</f>
        <v>0</v>
      </c>
      <c r="E37" s="15">
        <v>1</v>
      </c>
      <c r="F37" s="18">
        <f t="shared" si="8"/>
        <v>79.421065872558145</v>
      </c>
      <c r="G37" s="18">
        <f>MAX(Assumptions!$B$21,(F37)+(H37))</f>
        <v>80.03918587255815</v>
      </c>
      <c r="H37" s="18">
        <f>(((Archetypes!$B$11*(IF(F37&lt;0,1+Assumptions!$B$32*MIN(1,ABS(F37)/ABS(Assumptions!$B$21)),MAX(0.1,1-Assumptions!$B$31*(F37/50)))))-((Archetypes!$B$11*(IF(F37&lt;0,1+Assumptions!$B$32*MIN(1,ABS(F37)/ABS(Assumptions!$B$21)),MAX(0.1,1-Assumptions!$B$31*(F37/50)))))*J37)*Archetypes!$B$15)*Assumptions!$B$22+((Archetypes!$B$11*(IF(F37&lt;0,1+Assumptions!$B$32*MIN(1,ABS(F37)/ABS(Assumptions!$B$21)),MAX(0.1,1-Assumptions!$B$31*(F37/50)))))*J37*Archetypes!$B$15*Archetypes!$B$22)*Assumptions!$B$23+(Archetypes!$B$11*(IF(F37&lt;0,1+Assumptions!$B$32*MIN(1,ABS(F37)/ABS(Assumptions!$B$21)),MAX(0.1,1-Assumptions!$B$31*(F37/50)))))*Assumptions!$B$24+-((Archetypes!$B$11*(IF(F37&lt;0,1+Assumptions!$B$32*MIN(1,ABS(F37)/ABS(Assumptions!$B$21)),MAX(0.1,1-Assumptions!$B$31*(F37/50)))))*Archetypes!$B$16)*(Assumptions!$B$27*(1+Assumptions!$B$28*Archetypes!$B$14)/(1+Assumptions!$B$29*Archetypes!$B$12))+-(Archetypes!$B$11*(IF(F37&lt;0,1+Assumptions!$B$32*MIN(1,ABS(F37)/ABS(Assumptions!$B$21)),MAX(0.1,1-Assumptions!$B$31*(F37/50)))))*Archetypes!$B$17*((Archetypes!$B$31)/100)*Assumptions!$B$30+-Assumptions!$B$25*Assumptions!$B$26)*$E37</f>
        <v>0.61812</v>
      </c>
      <c r="I37" s="18">
        <f>(Archetypes!$B$11*(IF(F37&lt;0,1+Assumptions!$B$32*MIN(1,ABS(F37)/ABS(Assumptions!$B$21)),MAX(0.1,1-Assumptions!$B$31*(F37/50)))))*$E37</f>
        <v>1</v>
      </c>
      <c r="J37" s="19">
        <f>Archetypes!$B$30</f>
        <v>2.1999999999999999E-2</v>
      </c>
      <c r="K37" s="18">
        <f t="shared" si="2"/>
        <v>2.1999999999999999E-2</v>
      </c>
      <c r="L37" s="18">
        <f>((I37-K37)*Archetypes!$B$15)+(K37*Archetypes!$B$15*Archetypes!$B$22)</f>
        <v>0.10044</v>
      </c>
      <c r="M37" s="18">
        <f>I37*Archetypes!$B$16</f>
        <v>0.75</v>
      </c>
      <c r="N37" s="18">
        <f>(IF(F37&lt;0,Assumptions!$B$8,IF(F37&lt;10,Assumptions!$B$34,IF(F37&lt;25,Assumptions!$B$35,Assumptions!$B$36))))*((((Archetypes!$B$5*Assumptions!$B$4+Archetypes!$B$6*Assumptions!$B$5)*60))+(Assumptions!$B$6*(((Archetypes!$B$11*(IF(F37&lt;0,1+Assumptions!$B$32*MIN(1,ABS(F37)/ABS(Assumptions!$B$21)),MAX(0.1,1-Assumptions!$B$31*(F37/50)))))-((Archetypes!$B$11*(IF(F37&lt;0,1+Assumptions!$B$32*MIN(1,ABS(F37)/ABS(Assumptions!$B$21)),MAX(0.1,1-Assumptions!$B$31*(F37/50)))))*J37)*Archetypes!$B$20)+((Archetypes!$B$11*(IF(F37&lt;0,1+Assumptions!$B$32*MIN(1,ABS(F37)/ABS(Assumptions!$B$21)),MAX(0.1,1-Assumptions!$B$31*(F37/50)))))*J37*Archetypes!$B$20*Archetypes!$B$21)*Assumptions!$B$18)*(IF($D37=1,1,Assumptions!$B$7)))+(((((Archetypes!$B$11*(IF(F37&lt;0,1+Assumptions!$B$32*MIN(1,ABS(F37)/ABS(Assumptions!$B$21)),MAX(0.1,1-Assumptions!$B$31*(F37/50)))))-((Archetypes!$B$11*(IF(F37&lt;0,1+Assumptions!$B$32*MIN(1,ABS(F37)/ABS(Assumptions!$B$21)),MAX(0.1,1-Assumptions!$B$31*(F37/50)))))*J37)*Archetypes!$B$15)*(Archetypes!$B$13*IF(F37&lt;0,1-Assumptions!$B$33*MIN(1,ABS(F37)/ABS(Assumptions!$B$21)),1))*5)+(((Archetypes!$B$11*(IF(F37&lt;0,1+Assumptions!$B$32*MIN(1,ABS(F37)/ABS(Assumptions!$B$21)),MAX(0.1,1-Assumptions!$B$31*(F37/50)))))*J37*Archetypes!$B$15*Archetypes!$B$22)*(Archetypes!$B$13*IF(F37&lt;0,1-Assumptions!$B$33*MIN(1,ABS(F37)/ABS(Assumptions!$B$21)),1))*5*Assumptions!$B$18))*IF(F37&lt;0,Assumptions!$B$9,1)))*$E37</f>
        <v>183.95189999999999</v>
      </c>
      <c r="O37" s="18">
        <f>(O36)+(N37)-(MAX(0,((O36)+(N37)-(P37)))*(IF(Archetypes!$B$27="",Assumptions!$B$11,Archetypes!$B$27)))</f>
        <v>777.27608845763848</v>
      </c>
      <c r="P37" s="18">
        <f>Archetypes!$B$33</f>
        <v>25.423199999999998</v>
      </c>
      <c r="Q37" s="18">
        <f t="shared" si="3"/>
        <v>751.85288845763853</v>
      </c>
      <c r="S37" s="18">
        <f t="shared" si="9"/>
        <v>73.535749870406505</v>
      </c>
      <c r="T37" s="18">
        <f>MAX(Assumptions!$B$21,(S37)+(U37))</f>
        <v>74.047348769528966</v>
      </c>
      <c r="U37" s="18">
        <f>(((Archetypes!$C$11*(IF(S37&lt;0,1+Assumptions!$B$32*MIN(1,ABS(S37)/ABS(Assumptions!$B$21)),MAX(0.1,1-Assumptions!$B$31*(S37/50)))))-((Archetypes!$C$11*(IF(S37&lt;0,1+Assumptions!$B$32*MIN(1,ABS(S37)/ABS(Assumptions!$B$21)),MAX(0.1,1-Assumptions!$B$31*(S37/50)))))*W37)*Archetypes!$C$15)*Assumptions!$B$22+((Archetypes!$C$11*(IF(S37&lt;0,1+Assumptions!$B$32*MIN(1,ABS(S37)/ABS(Assumptions!$B$21)),MAX(0.1,1-Assumptions!$B$31*(S37/50)))))*W37*Archetypes!$C$15*Archetypes!$C$22)*Assumptions!$B$23+(Archetypes!$C$11*(IF(S37&lt;0,1+Assumptions!$B$32*MIN(1,ABS(S37)/ABS(Assumptions!$B$21)),MAX(0.1,1-Assumptions!$B$31*(S37/50)))))*Assumptions!$B$24+-((Archetypes!$C$11*(IF(S37&lt;0,1+Assumptions!$B$32*MIN(1,ABS(S37)/ABS(Assumptions!$B$21)),MAX(0.1,1-Assumptions!$B$31*(S37/50)))))*Archetypes!$C$16)*(Assumptions!$B$27*(1+Assumptions!$B$28*Archetypes!$C$14)/(1+Assumptions!$B$29*Archetypes!$C$12))+-(Archetypes!$C$11*(IF(S37&lt;0,1+Assumptions!$B$32*MIN(1,ABS(S37)/ABS(Assumptions!$B$21)),MAX(0.1,1-Assumptions!$B$31*(S37/50)))))*Archetypes!$C$17*((Archetypes!$C$31)/100)*Assumptions!$B$30+-Assumptions!$B$25*Assumptions!$B$26)*$E37</f>
        <v>0.51159889912245504</v>
      </c>
      <c r="V37" s="18">
        <f>(Archetypes!$C$11*(IF(S37&lt;0,1+Assumptions!$B$32*MIN(1,ABS(S37)/ABS(Assumptions!$B$21)),MAX(0.1,1-Assumptions!$B$31*(S37/50)))))*$E37</f>
        <v>0.70542600933073141</v>
      </c>
      <c r="W37" s="19">
        <f>Archetypes!$C$30</f>
        <v>3.7999999999999999E-2</v>
      </c>
      <c r="X37" s="18">
        <f t="shared" si="4"/>
        <v>2.6806188354567793E-2</v>
      </c>
      <c r="Y37" s="18">
        <f>((V37-X37)*Archetypes!$C$15)+(X37*Archetypes!$C$15*Archetypes!$C$22)</f>
        <v>0.35673393291855088</v>
      </c>
      <c r="Z37" s="18">
        <f>V37*Archetypes!$C$16</f>
        <v>0.31744170419882917</v>
      </c>
      <c r="AA37" s="18">
        <f>(IF(S37&lt;0,Assumptions!$B$8,IF(S37&lt;10,Assumptions!$B$34,IF(S37&lt;25,Assumptions!$B$35,Assumptions!$B$36))))*((((Archetypes!$C$5*Assumptions!$B$4+Archetypes!$C$6*Assumptions!$B$5)*60))+(Assumptions!$B$6*(((Archetypes!$C$11*(IF(S37&lt;0,1+Assumptions!$B$32*MIN(1,ABS(S37)/ABS(Assumptions!$B$21)),MAX(0.1,1-Assumptions!$B$31*(S37/50)))))-((Archetypes!$C$11*(IF(S37&lt;0,1+Assumptions!$B$32*MIN(1,ABS(S37)/ABS(Assumptions!$B$21)),MAX(0.1,1-Assumptions!$B$31*(S37/50)))))*W37)*Archetypes!$C$20)+((Archetypes!$C$11*(IF(S37&lt;0,1+Assumptions!$B$32*MIN(1,ABS(S37)/ABS(Assumptions!$B$21)),MAX(0.1,1-Assumptions!$B$31*(S37/50)))))*W37*Archetypes!$C$20*Archetypes!$C$21)*Assumptions!$B$18)*(IF($D37=1,1,Assumptions!$B$7)))+(((((Archetypes!$C$11*(IF(S37&lt;0,1+Assumptions!$B$32*MIN(1,ABS(S37)/ABS(Assumptions!$B$21)),MAX(0.1,1-Assumptions!$B$31*(S37/50)))))-((Archetypes!$C$11*(IF(S37&lt;0,1+Assumptions!$B$32*MIN(1,ABS(S37)/ABS(Assumptions!$B$21)),MAX(0.1,1-Assumptions!$B$31*(S37/50)))))*W37)*Archetypes!$C$15)*(Archetypes!$C$13*IF(S37&lt;0,1-Assumptions!$B$33*MIN(1,ABS(S37)/ABS(Assumptions!$B$21)),1))*5)+(((Archetypes!$C$11*(IF(S37&lt;0,1+Assumptions!$B$32*MIN(1,ABS(S37)/ABS(Assumptions!$B$21)),MAX(0.1,1-Assumptions!$B$31*(S37/50)))))*W37*Archetypes!$C$15*Archetypes!$C$22)*(Archetypes!$C$13*IF(S37&lt;0,1-Assumptions!$B$33*MIN(1,ABS(S37)/ABS(Assumptions!$B$21)),1))*5*Assumptions!$B$18))*IF(S37&lt;0,Assumptions!$B$9,1)))*$E37</f>
        <v>717.76737071421269</v>
      </c>
      <c r="AB37" s="18">
        <f>(AB36)+(AA37)-(MAX(0,((AB36)+(AA37)-(AC37)))*(IF(Archetypes!$C$27="",Assumptions!$B$11,Archetypes!$C$27)))</f>
        <v>2287.3802881236975</v>
      </c>
      <c r="AC37" s="18">
        <f>Archetypes!$C$33</f>
        <v>90.34</v>
      </c>
      <c r="AD37" s="18">
        <f t="shared" si="5"/>
        <v>2197.0402881236973</v>
      </c>
      <c r="AF37" s="18">
        <f t="shared" si="10"/>
        <v>69.390902188067628</v>
      </c>
      <c r="AG37" s="18">
        <f>MAX(Assumptions!$B$21,(AF37)+(AH37))</f>
        <v>69.971601581106682</v>
      </c>
      <c r="AH37" s="18">
        <f>(((Archetypes!$D$11*(IF(AF37&lt;0,1+Assumptions!$B$32*MIN(1,ABS(AF37)/ABS(Assumptions!$B$21)),MAX(0.1,1-Assumptions!$B$31*(AF37/50)))))-((Archetypes!$D$11*(IF(AF37&lt;0,1+Assumptions!$B$32*MIN(1,ABS(AF37)/ABS(Assumptions!$B$21)),MAX(0.1,1-Assumptions!$B$31*(AF37/50)))))*AJ37)*Archetypes!$D$15)*Assumptions!$B$22+((Archetypes!$D$11*(IF(AF37&lt;0,1+Assumptions!$B$32*MIN(1,ABS(AF37)/ABS(Assumptions!$B$21)),MAX(0.1,1-Assumptions!$B$31*(AF37/50)))))*AJ37*Archetypes!$D$15*Archetypes!$D$22)*Assumptions!$B$23+(Archetypes!$D$11*(IF(AF37&lt;0,1+Assumptions!$B$32*MIN(1,ABS(AF37)/ABS(Assumptions!$B$21)),MAX(0.1,1-Assumptions!$B$31*(AF37/50)))))*Assumptions!$B$24+-((Archetypes!$D$11*(IF(AF37&lt;0,1+Assumptions!$B$32*MIN(1,ABS(AF37)/ABS(Assumptions!$B$21)),MAX(0.1,1-Assumptions!$B$31*(AF37/50)))))*Archetypes!$D$16)*(Assumptions!$B$27*(1+Assumptions!$B$28*Archetypes!$D$14)/(1+Assumptions!$B$29*Archetypes!$D$12))+-(Archetypes!$D$11*(IF(AF37&lt;0,1+Assumptions!$B$32*MIN(1,ABS(AF37)/ABS(Assumptions!$B$21)),MAX(0.1,1-Assumptions!$B$31*(AF37/50)))))*Archetypes!$D$17*((Archetypes!$D$31)/100)*Assumptions!$B$30+-Assumptions!$B$25*Assumptions!$B$26)*$E37</f>
        <v>0.58069939303905194</v>
      </c>
      <c r="AI37" s="18">
        <f>(Archetypes!$D$11*(IF(AF37&lt;0,1+Assumptions!$B$32*MIN(1,ABS(AF37)/ABS(Assumptions!$B$21)),MAX(0.1,1-Assumptions!$B$31*(AF37/50)))))*$E37</f>
        <v>0.50192752122956563</v>
      </c>
      <c r="AJ37" s="19">
        <f>Archetypes!$D$30</f>
        <v>0.10400000000000001</v>
      </c>
      <c r="AK37" s="18">
        <f t="shared" si="6"/>
        <v>5.2200462207874831E-2</v>
      </c>
      <c r="AL37" s="18">
        <f>((AI37-AK37)*Archetypes!$D$15)+(AK37*Archetypes!$D$15*Archetypes!$D$22)</f>
        <v>0.78421155916907326</v>
      </c>
      <c r="AM37" s="18">
        <f>AI37*Archetypes!$D$16</f>
        <v>0.10038550424591314</v>
      </c>
      <c r="AN37" s="18">
        <f>(IF(AF37&lt;0,Assumptions!$B$8,IF(AF37&lt;10,Assumptions!$B$34,IF(AF37&lt;25,Assumptions!$B$35,Assumptions!$B$36))))*((((Archetypes!$D$5*Assumptions!$B$4+Archetypes!$D$6*Assumptions!$B$5)*60))+(Assumptions!$B$6*(((Archetypes!$D$11*(IF(AF37&lt;0,1+Assumptions!$B$32*MIN(1,ABS(AF37)/ABS(Assumptions!$B$21)),MAX(0.1,1-Assumptions!$B$31*(AF37/50)))))-((Archetypes!$D$11*(IF(AF37&lt;0,1+Assumptions!$B$32*MIN(1,ABS(AF37)/ABS(Assumptions!$B$21)),MAX(0.1,1-Assumptions!$B$31*(AF37/50)))))*AJ37)*Archetypes!$D$20)+((Archetypes!$D$11*(IF(AF37&lt;0,1+Assumptions!$B$32*MIN(1,ABS(AF37)/ABS(Assumptions!$B$21)),MAX(0.1,1-Assumptions!$B$31*(AF37/50)))))*AJ37*Archetypes!$D$20*Archetypes!$D$21)*Assumptions!$B$18)*(IF($D37=1,1,Assumptions!$B$7)))+(((((Archetypes!$D$11*(IF(AF37&lt;0,1+Assumptions!$B$32*MIN(1,ABS(AF37)/ABS(Assumptions!$B$21)),MAX(0.1,1-Assumptions!$B$31*(AF37/50)))))-((Archetypes!$D$11*(IF(AF37&lt;0,1+Assumptions!$B$32*MIN(1,ABS(AF37)/ABS(Assumptions!$B$21)),MAX(0.1,1-Assumptions!$B$31*(AF37/50)))))*AJ37)*Archetypes!$D$15)*(Archetypes!$D$13*IF(AF37&lt;0,1-Assumptions!$B$33*MIN(1,ABS(AF37)/ABS(Assumptions!$B$21)),1))*5)+(((Archetypes!$D$11*(IF(AF37&lt;0,1+Assumptions!$B$32*MIN(1,ABS(AF37)/ABS(Assumptions!$B$21)),MAX(0.1,1-Assumptions!$B$31*(AF37/50)))))*AJ37*Archetypes!$D$15*Archetypes!$D$22)*(Archetypes!$D$13*IF(AF37&lt;0,1-Assumptions!$B$33*MIN(1,ABS(AF37)/ABS(Assumptions!$B$21)),1))*5*Assumptions!$B$18))*IF(AF37&lt;0,Assumptions!$B$9,1)))*$E37</f>
        <v>1192.5279462589053</v>
      </c>
      <c r="AO37" s="18">
        <f>(AO36)+(AN37)-(MAX(0,((AO36)+(AN37)-(AP37)))*(IF(Archetypes!$D$27="",Assumptions!$B$11,Archetypes!$D$27)))</f>
        <v>3033.1603513663758</v>
      </c>
      <c r="AP37" s="18">
        <f>Archetypes!$D$33</f>
        <v>201.32916645159378</v>
      </c>
      <c r="AQ37" s="18">
        <f t="shared" si="7"/>
        <v>2831.8311849147822</v>
      </c>
    </row>
    <row r="38" spans="1:43" x14ac:dyDescent="0.25">
      <c r="A38" s="14">
        <v>34</v>
      </c>
      <c r="B38" s="14">
        <f t="shared" si="0"/>
        <v>2</v>
      </c>
      <c r="C38" s="14">
        <f t="shared" si="1"/>
        <v>10</v>
      </c>
      <c r="D38" s="15">
        <f>IF(C38&lt;Assumptions!$B$10,1,0)</f>
        <v>0</v>
      </c>
      <c r="E38" s="15">
        <v>1</v>
      </c>
      <c r="F38" s="18">
        <f t="shared" si="8"/>
        <v>80.03918587255815</v>
      </c>
      <c r="G38" s="18">
        <f>MAX(Assumptions!$B$21,(F38)+(H38))</f>
        <v>80.657305872558155</v>
      </c>
      <c r="H38" s="18">
        <f>(((Archetypes!$B$11*(IF(F38&lt;0,1+Assumptions!$B$32*MIN(1,ABS(F38)/ABS(Assumptions!$B$21)),MAX(0.1,1-Assumptions!$B$31*(F38/50)))))-((Archetypes!$B$11*(IF(F38&lt;0,1+Assumptions!$B$32*MIN(1,ABS(F38)/ABS(Assumptions!$B$21)),MAX(0.1,1-Assumptions!$B$31*(F38/50)))))*J38)*Archetypes!$B$15)*Assumptions!$B$22+((Archetypes!$B$11*(IF(F38&lt;0,1+Assumptions!$B$32*MIN(1,ABS(F38)/ABS(Assumptions!$B$21)),MAX(0.1,1-Assumptions!$B$31*(F38/50)))))*J38*Archetypes!$B$15*Archetypes!$B$22)*Assumptions!$B$23+(Archetypes!$B$11*(IF(F38&lt;0,1+Assumptions!$B$32*MIN(1,ABS(F38)/ABS(Assumptions!$B$21)),MAX(0.1,1-Assumptions!$B$31*(F38/50)))))*Assumptions!$B$24+-((Archetypes!$B$11*(IF(F38&lt;0,1+Assumptions!$B$32*MIN(1,ABS(F38)/ABS(Assumptions!$B$21)),MAX(0.1,1-Assumptions!$B$31*(F38/50)))))*Archetypes!$B$16)*(Assumptions!$B$27*(1+Assumptions!$B$28*Archetypes!$B$14)/(1+Assumptions!$B$29*Archetypes!$B$12))+-(Archetypes!$B$11*(IF(F38&lt;0,1+Assumptions!$B$32*MIN(1,ABS(F38)/ABS(Assumptions!$B$21)),MAX(0.1,1-Assumptions!$B$31*(F38/50)))))*Archetypes!$B$17*((Archetypes!$B$31)/100)*Assumptions!$B$30+-Assumptions!$B$25*Assumptions!$B$26)*$E38</f>
        <v>0.61812</v>
      </c>
      <c r="I38" s="18">
        <f>(Archetypes!$B$11*(IF(F38&lt;0,1+Assumptions!$B$32*MIN(1,ABS(F38)/ABS(Assumptions!$B$21)),MAX(0.1,1-Assumptions!$B$31*(F38/50)))))*$E38</f>
        <v>1</v>
      </c>
      <c r="J38" s="19">
        <f>Archetypes!$B$30</f>
        <v>2.1999999999999999E-2</v>
      </c>
      <c r="K38" s="18">
        <f t="shared" si="2"/>
        <v>2.1999999999999999E-2</v>
      </c>
      <c r="L38" s="18">
        <f>((I38-K38)*Archetypes!$B$15)+(K38*Archetypes!$B$15*Archetypes!$B$22)</f>
        <v>0.10044</v>
      </c>
      <c r="M38" s="18">
        <f>I38*Archetypes!$B$16</f>
        <v>0.75</v>
      </c>
      <c r="N38" s="18">
        <f>(IF(F38&lt;0,Assumptions!$B$8,IF(F38&lt;10,Assumptions!$B$34,IF(F38&lt;25,Assumptions!$B$35,Assumptions!$B$36))))*((((Archetypes!$B$5*Assumptions!$B$4+Archetypes!$B$6*Assumptions!$B$5)*60))+(Assumptions!$B$6*(((Archetypes!$B$11*(IF(F38&lt;0,1+Assumptions!$B$32*MIN(1,ABS(F38)/ABS(Assumptions!$B$21)),MAX(0.1,1-Assumptions!$B$31*(F38/50)))))-((Archetypes!$B$11*(IF(F38&lt;0,1+Assumptions!$B$32*MIN(1,ABS(F38)/ABS(Assumptions!$B$21)),MAX(0.1,1-Assumptions!$B$31*(F38/50)))))*J38)*Archetypes!$B$20)+((Archetypes!$B$11*(IF(F38&lt;0,1+Assumptions!$B$32*MIN(1,ABS(F38)/ABS(Assumptions!$B$21)),MAX(0.1,1-Assumptions!$B$31*(F38/50)))))*J38*Archetypes!$B$20*Archetypes!$B$21)*Assumptions!$B$18)*(IF($D38=1,1,Assumptions!$B$7)))+(((((Archetypes!$B$11*(IF(F38&lt;0,1+Assumptions!$B$32*MIN(1,ABS(F38)/ABS(Assumptions!$B$21)),MAX(0.1,1-Assumptions!$B$31*(F38/50)))))-((Archetypes!$B$11*(IF(F38&lt;0,1+Assumptions!$B$32*MIN(1,ABS(F38)/ABS(Assumptions!$B$21)),MAX(0.1,1-Assumptions!$B$31*(F38/50)))))*J38)*Archetypes!$B$15)*(Archetypes!$B$13*IF(F38&lt;0,1-Assumptions!$B$33*MIN(1,ABS(F38)/ABS(Assumptions!$B$21)),1))*5)+(((Archetypes!$B$11*(IF(F38&lt;0,1+Assumptions!$B$32*MIN(1,ABS(F38)/ABS(Assumptions!$B$21)),MAX(0.1,1-Assumptions!$B$31*(F38/50)))))*J38*Archetypes!$B$15*Archetypes!$B$22)*(Archetypes!$B$13*IF(F38&lt;0,1-Assumptions!$B$33*MIN(1,ABS(F38)/ABS(Assumptions!$B$21)),1))*5*Assumptions!$B$18))*IF(F38&lt;0,Assumptions!$B$9,1)))*$E38</f>
        <v>183.95189999999999</v>
      </c>
      <c r="O38" s="18">
        <f>(O37)+(N38)-(MAX(0,((O37)+(N38)-(P38)))*(IF(Archetypes!$B$27="",Assumptions!$B$11,Archetypes!$B$27)))</f>
        <v>774.06703076611075</v>
      </c>
      <c r="P38" s="18">
        <f>Archetypes!$B$33</f>
        <v>25.423199999999998</v>
      </c>
      <c r="Q38" s="18">
        <f t="shared" si="3"/>
        <v>748.6438307661108</v>
      </c>
      <c r="S38" s="18">
        <f t="shared" si="9"/>
        <v>74.047348769528966</v>
      </c>
      <c r="T38" s="18">
        <f>MAX(Assumptions!$B$21,(S38)+(U38))</f>
        <v>74.524401061344378</v>
      </c>
      <c r="U38" s="18">
        <f>(((Archetypes!$C$11*(IF(S38&lt;0,1+Assumptions!$B$32*MIN(1,ABS(S38)/ABS(Assumptions!$B$21)),MAX(0.1,1-Assumptions!$B$31*(S38/50)))))-((Archetypes!$C$11*(IF(S38&lt;0,1+Assumptions!$B$32*MIN(1,ABS(S38)/ABS(Assumptions!$B$21)),MAX(0.1,1-Assumptions!$B$31*(S38/50)))))*W38)*Archetypes!$C$15)*Assumptions!$B$22+((Archetypes!$C$11*(IF(S38&lt;0,1+Assumptions!$B$32*MIN(1,ABS(S38)/ABS(Assumptions!$B$21)),MAX(0.1,1-Assumptions!$B$31*(S38/50)))))*W38*Archetypes!$C$15*Archetypes!$C$22)*Assumptions!$B$23+(Archetypes!$C$11*(IF(S38&lt;0,1+Assumptions!$B$32*MIN(1,ABS(S38)/ABS(Assumptions!$B$21)),MAX(0.1,1-Assumptions!$B$31*(S38/50)))))*Assumptions!$B$24+-((Archetypes!$C$11*(IF(S38&lt;0,1+Assumptions!$B$32*MIN(1,ABS(S38)/ABS(Assumptions!$B$21)),MAX(0.1,1-Assumptions!$B$31*(S38/50)))))*Archetypes!$C$16)*(Assumptions!$B$27*(1+Assumptions!$B$28*Archetypes!$C$14)/(1+Assumptions!$B$29*Archetypes!$C$12))+-(Archetypes!$C$11*(IF(S38&lt;0,1+Assumptions!$B$32*MIN(1,ABS(S38)/ABS(Assumptions!$B$21)),MAX(0.1,1-Assumptions!$B$31*(S38/50)))))*Archetypes!$C$17*((Archetypes!$C$31)/100)*Assumptions!$B$30+-Assumptions!$B$25*Assumptions!$B$26)*$E38</f>
        <v>0.47705229181541564</v>
      </c>
      <c r="V38" s="18">
        <f>(Archetypes!$C$11*(IF(S38&lt;0,1+Assumptions!$B$32*MIN(1,ABS(S38)/ABS(Assumptions!$B$21)),MAX(0.1,1-Assumptions!$B$31*(S38/50)))))*$E38</f>
        <v>0.66859088859391469</v>
      </c>
      <c r="W38" s="19">
        <f>Archetypes!$C$30</f>
        <v>3.7999999999999999E-2</v>
      </c>
      <c r="X38" s="18">
        <f t="shared" si="4"/>
        <v>2.5406453766568759E-2</v>
      </c>
      <c r="Y38" s="18">
        <f>((V38-X38)*Archetypes!$C$15)+(X38*Archetypes!$C$15*Archetypes!$C$22)</f>
        <v>0.33810641236194261</v>
      </c>
      <c r="Z38" s="18">
        <f>V38*Archetypes!$C$16</f>
        <v>0.30086589986726164</v>
      </c>
      <c r="AA38" s="18">
        <f>(IF(S38&lt;0,Assumptions!$B$8,IF(S38&lt;10,Assumptions!$B$34,IF(S38&lt;25,Assumptions!$B$35,Assumptions!$B$36))))*((((Archetypes!$C$5*Assumptions!$B$4+Archetypes!$C$6*Assumptions!$B$5)*60))+(Assumptions!$B$6*(((Archetypes!$C$11*(IF(S38&lt;0,1+Assumptions!$B$32*MIN(1,ABS(S38)/ABS(Assumptions!$B$21)),MAX(0.1,1-Assumptions!$B$31*(S38/50)))))-((Archetypes!$C$11*(IF(S38&lt;0,1+Assumptions!$B$32*MIN(1,ABS(S38)/ABS(Assumptions!$B$21)),MAX(0.1,1-Assumptions!$B$31*(S38/50)))))*W38)*Archetypes!$C$20)+((Archetypes!$C$11*(IF(S38&lt;0,1+Assumptions!$B$32*MIN(1,ABS(S38)/ABS(Assumptions!$B$21)),MAX(0.1,1-Assumptions!$B$31*(S38/50)))))*W38*Archetypes!$C$20*Archetypes!$C$21)*Assumptions!$B$18)*(IF($D38=1,1,Assumptions!$B$7)))+(((((Archetypes!$C$11*(IF(S38&lt;0,1+Assumptions!$B$32*MIN(1,ABS(S38)/ABS(Assumptions!$B$21)),MAX(0.1,1-Assumptions!$B$31*(S38/50)))))-((Archetypes!$C$11*(IF(S38&lt;0,1+Assumptions!$B$32*MIN(1,ABS(S38)/ABS(Assumptions!$B$21)),MAX(0.1,1-Assumptions!$B$31*(S38/50)))))*W38)*Archetypes!$C$15)*(Archetypes!$C$13*IF(S38&lt;0,1-Assumptions!$B$33*MIN(1,ABS(S38)/ABS(Assumptions!$B$21)),1))*5)+(((Archetypes!$C$11*(IF(S38&lt;0,1+Assumptions!$B$32*MIN(1,ABS(S38)/ABS(Assumptions!$B$21)),MAX(0.1,1-Assumptions!$B$31*(S38/50)))))*W38*Archetypes!$C$15*Archetypes!$C$22)*(Archetypes!$C$13*IF(S38&lt;0,1-Assumptions!$B$33*MIN(1,ABS(S38)/ABS(Assumptions!$B$21)),1))*5*Assumptions!$B$18))*IF(S38&lt;0,Assumptions!$B$9,1)))*$E38</f>
        <v>714.90759139503223</v>
      </c>
      <c r="AB38" s="18">
        <f>(AB37)+(AA38)-(MAX(0,((AB37)+(AA38)-(AC38)))*(IF(Archetypes!$C$27="",Assumptions!$B$11,Archetypes!$C$27)))</f>
        <v>2274.3009096390474</v>
      </c>
      <c r="AC38" s="18">
        <f>Archetypes!$C$33</f>
        <v>90.34</v>
      </c>
      <c r="AD38" s="18">
        <f t="shared" si="5"/>
        <v>2183.9609096390473</v>
      </c>
      <c r="AF38" s="18">
        <f t="shared" si="10"/>
        <v>69.971601581106682</v>
      </c>
      <c r="AG38" s="18">
        <f>MAX(Assumptions!$B$21,(AF38)+(AH38))</f>
        <v>70.521867494531534</v>
      </c>
      <c r="AH38" s="18">
        <f>(((Archetypes!$D$11*(IF(AF38&lt;0,1+Assumptions!$B$32*MIN(1,ABS(AF38)/ABS(Assumptions!$B$21)),MAX(0.1,1-Assumptions!$B$31*(AF38/50)))))-((Archetypes!$D$11*(IF(AF38&lt;0,1+Assumptions!$B$32*MIN(1,ABS(AF38)/ABS(Assumptions!$B$21)),MAX(0.1,1-Assumptions!$B$31*(AF38/50)))))*AJ38)*Archetypes!$D$15)*Assumptions!$B$22+((Archetypes!$D$11*(IF(AF38&lt;0,1+Assumptions!$B$32*MIN(1,ABS(AF38)/ABS(Assumptions!$B$21)),MAX(0.1,1-Assumptions!$B$31*(AF38/50)))))*AJ38*Archetypes!$D$15*Archetypes!$D$22)*Assumptions!$B$23+(Archetypes!$D$11*(IF(AF38&lt;0,1+Assumptions!$B$32*MIN(1,ABS(AF38)/ABS(Assumptions!$B$21)),MAX(0.1,1-Assumptions!$B$31*(AF38/50)))))*Assumptions!$B$24+-((Archetypes!$D$11*(IF(AF38&lt;0,1+Assumptions!$B$32*MIN(1,ABS(AF38)/ABS(Assumptions!$B$21)),MAX(0.1,1-Assumptions!$B$31*(AF38/50)))))*Archetypes!$D$16)*(Assumptions!$B$27*(1+Assumptions!$B$28*Archetypes!$D$14)/(1+Assumptions!$B$29*Archetypes!$D$12))+-(Archetypes!$D$11*(IF(AF38&lt;0,1+Assumptions!$B$32*MIN(1,ABS(AF38)/ABS(Assumptions!$B$21)),MAX(0.1,1-Assumptions!$B$31*(AF38/50)))))*Archetypes!$D$17*((Archetypes!$D$31)/100)*Assumptions!$B$30+-Assumptions!$B$25*Assumptions!$B$26)*$E38</f>
        <v>0.55026591342485542</v>
      </c>
      <c r="AI38" s="18">
        <f>(Archetypes!$D$11*(IF(AF38&lt;0,1+Assumptions!$B$32*MIN(1,ABS(AF38)/ABS(Assumptions!$B$21)),MAX(0.1,1-Assumptions!$B$31*(AF38/50)))))*$E38</f>
        <v>0.48102234308015968</v>
      </c>
      <c r="AJ38" s="19">
        <f>Archetypes!$D$30</f>
        <v>0.10400000000000001</v>
      </c>
      <c r="AK38" s="18">
        <f t="shared" si="6"/>
        <v>5.0026323680336611E-2</v>
      </c>
      <c r="AL38" s="18">
        <f>((AI38-AK38)*Archetypes!$D$15)+(AK38*Archetypes!$D$15*Archetypes!$D$22)</f>
        <v>0.75154930882844151</v>
      </c>
      <c r="AM38" s="18">
        <f>AI38*Archetypes!$D$16</f>
        <v>9.6204468616031935E-2</v>
      </c>
      <c r="AN38" s="18">
        <f>(IF(AF38&lt;0,Assumptions!$B$8,IF(AF38&lt;10,Assumptions!$B$34,IF(AF38&lt;25,Assumptions!$B$35,Assumptions!$B$36))))*((((Archetypes!$D$5*Assumptions!$B$4+Archetypes!$D$6*Assumptions!$B$5)*60))+(Assumptions!$B$6*(((Archetypes!$D$11*(IF(AF38&lt;0,1+Assumptions!$B$32*MIN(1,ABS(AF38)/ABS(Assumptions!$B$21)),MAX(0.1,1-Assumptions!$B$31*(AF38/50)))))-((Archetypes!$D$11*(IF(AF38&lt;0,1+Assumptions!$B$32*MIN(1,ABS(AF38)/ABS(Assumptions!$B$21)),MAX(0.1,1-Assumptions!$B$31*(AF38/50)))))*AJ38)*Archetypes!$D$20)+((Archetypes!$D$11*(IF(AF38&lt;0,1+Assumptions!$B$32*MIN(1,ABS(AF38)/ABS(Assumptions!$B$21)),MAX(0.1,1-Assumptions!$B$31*(AF38/50)))))*AJ38*Archetypes!$D$20*Archetypes!$D$21)*Assumptions!$B$18)*(IF($D38=1,1,Assumptions!$B$7)))+(((((Archetypes!$D$11*(IF(AF38&lt;0,1+Assumptions!$B$32*MIN(1,ABS(AF38)/ABS(Assumptions!$B$21)),MAX(0.1,1-Assumptions!$B$31*(AF38/50)))))-((Archetypes!$D$11*(IF(AF38&lt;0,1+Assumptions!$B$32*MIN(1,ABS(AF38)/ABS(Assumptions!$B$21)),MAX(0.1,1-Assumptions!$B$31*(AF38/50)))))*AJ38)*Archetypes!$D$15)*(Archetypes!$D$13*IF(AF38&lt;0,1-Assumptions!$B$33*MIN(1,ABS(AF38)/ABS(Assumptions!$B$21)),1))*5)+(((Archetypes!$D$11*(IF(AF38&lt;0,1+Assumptions!$B$32*MIN(1,ABS(AF38)/ABS(Assumptions!$B$21)),MAX(0.1,1-Assumptions!$B$31*(AF38/50)))))*AJ38*Archetypes!$D$15*Archetypes!$D$22)*(Archetypes!$D$13*IF(AF38&lt;0,1-Assumptions!$B$33*MIN(1,ABS(AF38)/ABS(Assumptions!$B$21)),1))*5*Assumptions!$B$18))*IF(AF38&lt;0,Assumptions!$B$9,1)))*$E38</f>
        <v>1187.466332262426</v>
      </c>
      <c r="AO38" s="18">
        <f>(AO37)+(AN38)-(MAX(0,((AO37)+(AN38)-(AP38)))*(IF(Archetypes!$D$27="",Assumptions!$B$11,Archetypes!$D$27)))</f>
        <v>3014.8374284756392</v>
      </c>
      <c r="AP38" s="18">
        <f>Archetypes!$D$33</f>
        <v>201.32916645159378</v>
      </c>
      <c r="AQ38" s="18">
        <f t="shared" si="7"/>
        <v>2813.5082620240455</v>
      </c>
    </row>
    <row r="39" spans="1:43" x14ac:dyDescent="0.25">
      <c r="A39" s="14">
        <v>35</v>
      </c>
      <c r="B39" s="14">
        <f t="shared" si="0"/>
        <v>2</v>
      </c>
      <c r="C39" s="14">
        <f t="shared" si="1"/>
        <v>11</v>
      </c>
      <c r="D39" s="15">
        <f>IF(C39&lt;Assumptions!$B$10,1,0)</f>
        <v>0</v>
      </c>
      <c r="E39" s="15">
        <v>1</v>
      </c>
      <c r="F39" s="18">
        <f t="shared" si="8"/>
        <v>80.657305872558155</v>
      </c>
      <c r="G39" s="18">
        <f>MAX(Assumptions!$B$21,(F39)+(H39))</f>
        <v>81.275425872558159</v>
      </c>
      <c r="H39" s="18">
        <f>(((Archetypes!$B$11*(IF(F39&lt;0,1+Assumptions!$B$32*MIN(1,ABS(F39)/ABS(Assumptions!$B$21)),MAX(0.1,1-Assumptions!$B$31*(F39/50)))))-((Archetypes!$B$11*(IF(F39&lt;0,1+Assumptions!$B$32*MIN(1,ABS(F39)/ABS(Assumptions!$B$21)),MAX(0.1,1-Assumptions!$B$31*(F39/50)))))*J39)*Archetypes!$B$15)*Assumptions!$B$22+((Archetypes!$B$11*(IF(F39&lt;0,1+Assumptions!$B$32*MIN(1,ABS(F39)/ABS(Assumptions!$B$21)),MAX(0.1,1-Assumptions!$B$31*(F39/50)))))*J39*Archetypes!$B$15*Archetypes!$B$22)*Assumptions!$B$23+(Archetypes!$B$11*(IF(F39&lt;0,1+Assumptions!$B$32*MIN(1,ABS(F39)/ABS(Assumptions!$B$21)),MAX(0.1,1-Assumptions!$B$31*(F39/50)))))*Assumptions!$B$24+-((Archetypes!$B$11*(IF(F39&lt;0,1+Assumptions!$B$32*MIN(1,ABS(F39)/ABS(Assumptions!$B$21)),MAX(0.1,1-Assumptions!$B$31*(F39/50)))))*Archetypes!$B$16)*(Assumptions!$B$27*(1+Assumptions!$B$28*Archetypes!$B$14)/(1+Assumptions!$B$29*Archetypes!$B$12))+-(Archetypes!$B$11*(IF(F39&lt;0,1+Assumptions!$B$32*MIN(1,ABS(F39)/ABS(Assumptions!$B$21)),MAX(0.1,1-Assumptions!$B$31*(F39/50)))))*Archetypes!$B$17*((Archetypes!$B$31)/100)*Assumptions!$B$30+-Assumptions!$B$25*Assumptions!$B$26)*$E39</f>
        <v>0.61812</v>
      </c>
      <c r="I39" s="18">
        <f>(Archetypes!$B$11*(IF(F39&lt;0,1+Assumptions!$B$32*MIN(1,ABS(F39)/ABS(Assumptions!$B$21)),MAX(0.1,1-Assumptions!$B$31*(F39/50)))))*$E39</f>
        <v>1</v>
      </c>
      <c r="J39" s="19">
        <f>Archetypes!$B$30</f>
        <v>2.1999999999999999E-2</v>
      </c>
      <c r="K39" s="18">
        <f t="shared" si="2"/>
        <v>2.1999999999999999E-2</v>
      </c>
      <c r="L39" s="18">
        <f>((I39-K39)*Archetypes!$B$15)+(K39*Archetypes!$B$15*Archetypes!$B$22)</f>
        <v>0.10044</v>
      </c>
      <c r="M39" s="18">
        <f>I39*Archetypes!$B$16</f>
        <v>0.75</v>
      </c>
      <c r="N39" s="18">
        <f>(IF(F39&lt;0,Assumptions!$B$8,IF(F39&lt;10,Assumptions!$B$34,IF(F39&lt;25,Assumptions!$B$35,Assumptions!$B$36))))*((((Archetypes!$B$5*Assumptions!$B$4+Archetypes!$B$6*Assumptions!$B$5)*60))+(Assumptions!$B$6*(((Archetypes!$B$11*(IF(F39&lt;0,1+Assumptions!$B$32*MIN(1,ABS(F39)/ABS(Assumptions!$B$21)),MAX(0.1,1-Assumptions!$B$31*(F39/50)))))-((Archetypes!$B$11*(IF(F39&lt;0,1+Assumptions!$B$32*MIN(1,ABS(F39)/ABS(Assumptions!$B$21)),MAX(0.1,1-Assumptions!$B$31*(F39/50)))))*J39)*Archetypes!$B$20)+((Archetypes!$B$11*(IF(F39&lt;0,1+Assumptions!$B$32*MIN(1,ABS(F39)/ABS(Assumptions!$B$21)),MAX(0.1,1-Assumptions!$B$31*(F39/50)))))*J39*Archetypes!$B$20*Archetypes!$B$21)*Assumptions!$B$18)*(IF($D39=1,1,Assumptions!$B$7)))+(((((Archetypes!$B$11*(IF(F39&lt;0,1+Assumptions!$B$32*MIN(1,ABS(F39)/ABS(Assumptions!$B$21)),MAX(0.1,1-Assumptions!$B$31*(F39/50)))))-((Archetypes!$B$11*(IF(F39&lt;0,1+Assumptions!$B$32*MIN(1,ABS(F39)/ABS(Assumptions!$B$21)),MAX(0.1,1-Assumptions!$B$31*(F39/50)))))*J39)*Archetypes!$B$15)*(Archetypes!$B$13*IF(F39&lt;0,1-Assumptions!$B$33*MIN(1,ABS(F39)/ABS(Assumptions!$B$21)),1))*5)+(((Archetypes!$B$11*(IF(F39&lt;0,1+Assumptions!$B$32*MIN(1,ABS(F39)/ABS(Assumptions!$B$21)),MAX(0.1,1-Assumptions!$B$31*(F39/50)))))*J39*Archetypes!$B$15*Archetypes!$B$22)*(Archetypes!$B$13*IF(F39&lt;0,1-Assumptions!$B$33*MIN(1,ABS(F39)/ABS(Assumptions!$B$21)),1))*5*Assumptions!$B$18))*IF(F39&lt;0,Assumptions!$B$9,1)))*$E39</f>
        <v>183.95189999999999</v>
      </c>
      <c r="O39" s="18">
        <f>(O38)+(N39)-(MAX(0,((O38)+(N39)-(P39)))*(IF(Archetypes!$B$27="",Assumptions!$B$11,Archetypes!$B$27)))</f>
        <v>771.49978461288856</v>
      </c>
      <c r="P39" s="18">
        <f>Archetypes!$B$33</f>
        <v>25.423199999999998</v>
      </c>
      <c r="Q39" s="18">
        <f t="shared" si="3"/>
        <v>746.07658461288861</v>
      </c>
      <c r="S39" s="18">
        <f t="shared" si="9"/>
        <v>74.524401061344378</v>
      </c>
      <c r="T39" s="18">
        <f>MAX(Assumptions!$B$21,(S39)+(U39))</f>
        <v>74.969239565720969</v>
      </c>
      <c r="U39" s="18">
        <f>(((Archetypes!$C$11*(IF(S39&lt;0,1+Assumptions!$B$32*MIN(1,ABS(S39)/ABS(Assumptions!$B$21)),MAX(0.1,1-Assumptions!$B$31*(S39/50)))))-((Archetypes!$C$11*(IF(S39&lt;0,1+Assumptions!$B$32*MIN(1,ABS(S39)/ABS(Assumptions!$B$21)),MAX(0.1,1-Assumptions!$B$31*(S39/50)))))*W39)*Archetypes!$C$15)*Assumptions!$B$22+((Archetypes!$C$11*(IF(S39&lt;0,1+Assumptions!$B$32*MIN(1,ABS(S39)/ABS(Assumptions!$B$21)),MAX(0.1,1-Assumptions!$B$31*(S39/50)))))*W39*Archetypes!$C$15*Archetypes!$C$22)*Assumptions!$B$23+(Archetypes!$C$11*(IF(S39&lt;0,1+Assumptions!$B$32*MIN(1,ABS(S39)/ABS(Assumptions!$B$21)),MAX(0.1,1-Assumptions!$B$31*(S39/50)))))*Assumptions!$B$24+-((Archetypes!$C$11*(IF(S39&lt;0,1+Assumptions!$B$32*MIN(1,ABS(S39)/ABS(Assumptions!$B$21)),MAX(0.1,1-Assumptions!$B$31*(S39/50)))))*Archetypes!$C$16)*(Assumptions!$B$27*(1+Assumptions!$B$28*Archetypes!$C$14)/(1+Assumptions!$B$29*Archetypes!$C$12))+-(Archetypes!$C$11*(IF(S39&lt;0,1+Assumptions!$B$32*MIN(1,ABS(S39)/ABS(Assumptions!$B$21)),MAX(0.1,1-Assumptions!$B$31*(S39/50)))))*Archetypes!$C$17*((Archetypes!$C$31)/100)*Assumptions!$B$30+-Assumptions!$B$25*Assumptions!$B$26)*$E39</f>
        <v>0.44483850437658501</v>
      </c>
      <c r="V39" s="18">
        <f>(Archetypes!$C$11*(IF(S39&lt;0,1+Assumptions!$B$32*MIN(1,ABS(S39)/ABS(Assumptions!$B$21)),MAX(0.1,1-Assumptions!$B$31*(S39/50)))))*$E39</f>
        <v>0.63424312358320445</v>
      </c>
      <c r="W39" s="19">
        <f>Archetypes!$C$30</f>
        <v>3.7999999999999999E-2</v>
      </c>
      <c r="X39" s="18">
        <f t="shared" si="4"/>
        <v>2.4101238696161768E-2</v>
      </c>
      <c r="Y39" s="18">
        <f>((V39-X39)*Archetypes!$C$15)+(X39*Archetypes!$C$15*Archetypes!$C$22)</f>
        <v>0.32073674759602649</v>
      </c>
      <c r="Z39" s="18">
        <f>V39*Archetypes!$C$16</f>
        <v>0.28540940561244199</v>
      </c>
      <c r="AA39" s="18">
        <f>(IF(S39&lt;0,Assumptions!$B$8,IF(S39&lt;10,Assumptions!$B$34,IF(S39&lt;25,Assumptions!$B$35,Assumptions!$B$36))))*((((Archetypes!$C$5*Assumptions!$B$4+Archetypes!$C$6*Assumptions!$B$5)*60))+(Assumptions!$B$6*(((Archetypes!$C$11*(IF(S39&lt;0,1+Assumptions!$B$32*MIN(1,ABS(S39)/ABS(Assumptions!$B$21)),MAX(0.1,1-Assumptions!$B$31*(S39/50)))))-((Archetypes!$C$11*(IF(S39&lt;0,1+Assumptions!$B$32*MIN(1,ABS(S39)/ABS(Assumptions!$B$21)),MAX(0.1,1-Assumptions!$B$31*(S39/50)))))*W39)*Archetypes!$C$20)+((Archetypes!$C$11*(IF(S39&lt;0,1+Assumptions!$B$32*MIN(1,ABS(S39)/ABS(Assumptions!$B$21)),MAX(0.1,1-Assumptions!$B$31*(S39/50)))))*W39*Archetypes!$C$20*Archetypes!$C$21)*Assumptions!$B$18)*(IF($D39=1,1,Assumptions!$B$7)))+(((((Archetypes!$C$11*(IF(S39&lt;0,1+Assumptions!$B$32*MIN(1,ABS(S39)/ABS(Assumptions!$B$21)),MAX(0.1,1-Assumptions!$B$31*(S39/50)))))-((Archetypes!$C$11*(IF(S39&lt;0,1+Assumptions!$B$32*MIN(1,ABS(S39)/ABS(Assumptions!$B$21)),MAX(0.1,1-Assumptions!$B$31*(S39/50)))))*W39)*Archetypes!$C$15)*(Archetypes!$C$13*IF(S39&lt;0,1-Assumptions!$B$33*MIN(1,ABS(S39)/ABS(Assumptions!$B$21)),1))*5)+(((Archetypes!$C$11*(IF(S39&lt;0,1+Assumptions!$B$32*MIN(1,ABS(S39)/ABS(Assumptions!$B$21)),MAX(0.1,1-Assumptions!$B$31*(S39/50)))))*W39*Archetypes!$C$15*Archetypes!$C$22)*(Archetypes!$C$13*IF(S39&lt;0,1-Assumptions!$B$33*MIN(1,ABS(S39)/ABS(Assumptions!$B$21)),1))*5*Assumptions!$B$18))*IF(S39&lt;0,Assumptions!$B$9,1)))*$E39</f>
        <v>712.24092365856632</v>
      </c>
      <c r="AB39" s="18">
        <f>(AB38)+(AA39)-(MAX(0,((AB38)+(AA39)-(AC39)))*(IF(Archetypes!$C$27="",Assumptions!$B$11,Archetypes!$C$27)))</f>
        <v>2262.4913749732104</v>
      </c>
      <c r="AC39" s="18">
        <f>Archetypes!$C$33</f>
        <v>90.34</v>
      </c>
      <c r="AD39" s="18">
        <f t="shared" si="5"/>
        <v>2172.1513749732103</v>
      </c>
      <c r="AF39" s="18">
        <f t="shared" si="10"/>
        <v>70.521867494531534</v>
      </c>
      <c r="AG39" s="18">
        <f>MAX(Assumptions!$B$21,(AF39)+(AH39))</f>
        <v>71.043294895880521</v>
      </c>
      <c r="AH39" s="18">
        <f>(((Archetypes!$D$11*(IF(AF39&lt;0,1+Assumptions!$B$32*MIN(1,ABS(AF39)/ABS(Assumptions!$B$21)),MAX(0.1,1-Assumptions!$B$31*(AF39/50)))))-((Archetypes!$D$11*(IF(AF39&lt;0,1+Assumptions!$B$32*MIN(1,ABS(AF39)/ABS(Assumptions!$B$21)),MAX(0.1,1-Assumptions!$B$31*(AF39/50)))))*AJ39)*Archetypes!$D$15)*Assumptions!$B$22+((Archetypes!$D$11*(IF(AF39&lt;0,1+Assumptions!$B$32*MIN(1,ABS(AF39)/ABS(Assumptions!$B$21)),MAX(0.1,1-Assumptions!$B$31*(AF39/50)))))*AJ39*Archetypes!$D$15*Archetypes!$D$22)*Assumptions!$B$23+(Archetypes!$D$11*(IF(AF39&lt;0,1+Assumptions!$B$32*MIN(1,ABS(AF39)/ABS(Assumptions!$B$21)),MAX(0.1,1-Assumptions!$B$31*(AF39/50)))))*Assumptions!$B$24+-((Archetypes!$D$11*(IF(AF39&lt;0,1+Assumptions!$B$32*MIN(1,ABS(AF39)/ABS(Assumptions!$B$21)),MAX(0.1,1-Assumptions!$B$31*(AF39/50)))))*Archetypes!$D$16)*(Assumptions!$B$27*(1+Assumptions!$B$28*Archetypes!$D$14)/(1+Assumptions!$B$29*Archetypes!$D$12))+-(Archetypes!$D$11*(IF(AF39&lt;0,1+Assumptions!$B$32*MIN(1,ABS(AF39)/ABS(Assumptions!$B$21)),MAX(0.1,1-Assumptions!$B$31*(AF39/50)))))*Archetypes!$D$17*((Archetypes!$D$31)/100)*Assumptions!$B$30+-Assumptions!$B$25*Assumptions!$B$26)*$E39</f>
        <v>0.52142740134899312</v>
      </c>
      <c r="AI39" s="18">
        <f>(Archetypes!$D$11*(IF(AF39&lt;0,1+Assumptions!$B$32*MIN(1,ABS(AF39)/ABS(Assumptions!$B$21)),MAX(0.1,1-Assumptions!$B$31*(AF39/50)))))*$E39</f>
        <v>0.4612127701968648</v>
      </c>
      <c r="AJ39" s="19">
        <f>Archetypes!$D$30</f>
        <v>0.10400000000000001</v>
      </c>
      <c r="AK39" s="18">
        <f t="shared" si="6"/>
        <v>4.7966128100473945E-2</v>
      </c>
      <c r="AL39" s="18">
        <f>((AI39-AK39)*Archetypes!$D$15)+(AK39*Archetypes!$D$15*Archetypes!$D$22)</f>
        <v>0.72059883215558163</v>
      </c>
      <c r="AM39" s="18">
        <f>AI39*Archetypes!$D$16</f>
        <v>9.2242554039372968E-2</v>
      </c>
      <c r="AN39" s="18">
        <f>(IF(AF39&lt;0,Assumptions!$B$8,IF(AF39&lt;10,Assumptions!$B$34,IF(AF39&lt;25,Assumptions!$B$35,Assumptions!$B$36))))*((((Archetypes!$D$5*Assumptions!$B$4+Archetypes!$D$6*Assumptions!$B$5)*60))+(Assumptions!$B$6*(((Archetypes!$D$11*(IF(AF39&lt;0,1+Assumptions!$B$32*MIN(1,ABS(AF39)/ABS(Assumptions!$B$21)),MAX(0.1,1-Assumptions!$B$31*(AF39/50)))))-((Archetypes!$D$11*(IF(AF39&lt;0,1+Assumptions!$B$32*MIN(1,ABS(AF39)/ABS(Assumptions!$B$21)),MAX(0.1,1-Assumptions!$B$31*(AF39/50)))))*AJ39)*Archetypes!$D$20)+((Archetypes!$D$11*(IF(AF39&lt;0,1+Assumptions!$B$32*MIN(1,ABS(AF39)/ABS(Assumptions!$B$21)),MAX(0.1,1-Assumptions!$B$31*(AF39/50)))))*AJ39*Archetypes!$D$20*Archetypes!$D$21)*Assumptions!$B$18)*(IF($D39=1,1,Assumptions!$B$7)))+(((((Archetypes!$D$11*(IF(AF39&lt;0,1+Assumptions!$B$32*MIN(1,ABS(AF39)/ABS(Assumptions!$B$21)),MAX(0.1,1-Assumptions!$B$31*(AF39/50)))))-((Archetypes!$D$11*(IF(AF39&lt;0,1+Assumptions!$B$32*MIN(1,ABS(AF39)/ABS(Assumptions!$B$21)),MAX(0.1,1-Assumptions!$B$31*(AF39/50)))))*AJ39)*Archetypes!$D$15)*(Archetypes!$D$13*IF(AF39&lt;0,1-Assumptions!$B$33*MIN(1,ABS(AF39)/ABS(Assumptions!$B$21)),1))*5)+(((Archetypes!$D$11*(IF(AF39&lt;0,1+Assumptions!$B$32*MIN(1,ABS(AF39)/ABS(Assumptions!$B$21)),MAX(0.1,1-Assumptions!$B$31*(AF39/50)))))*AJ39*Archetypes!$D$15*Archetypes!$D$22)*(Archetypes!$D$13*IF(AF39&lt;0,1-Assumptions!$B$33*MIN(1,ABS(AF39)/ABS(Assumptions!$B$21)),1))*5*Assumptions!$B$18))*IF(AF39&lt;0,Assumptions!$B$9,1)))*$E39</f>
        <v>1182.6699889519905</v>
      </c>
      <c r="AO39" s="18">
        <f>(AO38)+(AN39)-(MAX(0,((AO38)+(AN39)-(AP39)))*(IF(Archetypes!$D$27="",Assumptions!$B$11,Archetypes!$D$27)))</f>
        <v>2998.6539421348189</v>
      </c>
      <c r="AP39" s="18">
        <f>Archetypes!$D$33</f>
        <v>201.32916645159378</v>
      </c>
      <c r="AQ39" s="18">
        <f t="shared" si="7"/>
        <v>2797.3247756832252</v>
      </c>
    </row>
    <row r="40" spans="1:43" x14ac:dyDescent="0.25">
      <c r="A40" s="14">
        <v>36</v>
      </c>
      <c r="B40" s="14">
        <f t="shared" si="0"/>
        <v>2</v>
      </c>
      <c r="C40" s="14">
        <f t="shared" si="1"/>
        <v>12</v>
      </c>
      <c r="D40" s="15">
        <f>IF(C40&lt;Assumptions!$B$10,1,0)</f>
        <v>0</v>
      </c>
      <c r="E40" s="15">
        <v>1</v>
      </c>
      <c r="F40" s="18">
        <f t="shared" si="8"/>
        <v>81.275425872558159</v>
      </c>
      <c r="G40" s="18">
        <f>MAX(Assumptions!$B$21,(F40)+(H40))</f>
        <v>81.893545872558164</v>
      </c>
      <c r="H40" s="18">
        <f>(((Archetypes!$B$11*(IF(F40&lt;0,1+Assumptions!$B$32*MIN(1,ABS(F40)/ABS(Assumptions!$B$21)),MAX(0.1,1-Assumptions!$B$31*(F40/50)))))-((Archetypes!$B$11*(IF(F40&lt;0,1+Assumptions!$B$32*MIN(1,ABS(F40)/ABS(Assumptions!$B$21)),MAX(0.1,1-Assumptions!$B$31*(F40/50)))))*J40)*Archetypes!$B$15)*Assumptions!$B$22+((Archetypes!$B$11*(IF(F40&lt;0,1+Assumptions!$B$32*MIN(1,ABS(F40)/ABS(Assumptions!$B$21)),MAX(0.1,1-Assumptions!$B$31*(F40/50)))))*J40*Archetypes!$B$15*Archetypes!$B$22)*Assumptions!$B$23+(Archetypes!$B$11*(IF(F40&lt;0,1+Assumptions!$B$32*MIN(1,ABS(F40)/ABS(Assumptions!$B$21)),MAX(0.1,1-Assumptions!$B$31*(F40/50)))))*Assumptions!$B$24+-((Archetypes!$B$11*(IF(F40&lt;0,1+Assumptions!$B$32*MIN(1,ABS(F40)/ABS(Assumptions!$B$21)),MAX(0.1,1-Assumptions!$B$31*(F40/50)))))*Archetypes!$B$16)*(Assumptions!$B$27*(1+Assumptions!$B$28*Archetypes!$B$14)/(1+Assumptions!$B$29*Archetypes!$B$12))+-(Archetypes!$B$11*(IF(F40&lt;0,1+Assumptions!$B$32*MIN(1,ABS(F40)/ABS(Assumptions!$B$21)),MAX(0.1,1-Assumptions!$B$31*(F40/50)))))*Archetypes!$B$17*((Archetypes!$B$31)/100)*Assumptions!$B$30+-Assumptions!$B$25*Assumptions!$B$26)*$E40</f>
        <v>0.61812</v>
      </c>
      <c r="I40" s="18">
        <f>(Archetypes!$B$11*(IF(F40&lt;0,1+Assumptions!$B$32*MIN(1,ABS(F40)/ABS(Assumptions!$B$21)),MAX(0.1,1-Assumptions!$B$31*(F40/50)))))*$E40</f>
        <v>1</v>
      </c>
      <c r="J40" s="19">
        <f>Archetypes!$B$30</f>
        <v>2.1999999999999999E-2</v>
      </c>
      <c r="K40" s="18">
        <f t="shared" si="2"/>
        <v>2.1999999999999999E-2</v>
      </c>
      <c r="L40" s="18">
        <f>((I40-K40)*Archetypes!$B$15)+(K40*Archetypes!$B$15*Archetypes!$B$22)</f>
        <v>0.10044</v>
      </c>
      <c r="M40" s="18">
        <f>I40*Archetypes!$B$16</f>
        <v>0.75</v>
      </c>
      <c r="N40" s="18">
        <f>(IF(F40&lt;0,Assumptions!$B$8,IF(F40&lt;10,Assumptions!$B$34,IF(F40&lt;25,Assumptions!$B$35,Assumptions!$B$36))))*((((Archetypes!$B$5*Assumptions!$B$4+Archetypes!$B$6*Assumptions!$B$5)*60))+(Assumptions!$B$6*(((Archetypes!$B$11*(IF(F40&lt;0,1+Assumptions!$B$32*MIN(1,ABS(F40)/ABS(Assumptions!$B$21)),MAX(0.1,1-Assumptions!$B$31*(F40/50)))))-((Archetypes!$B$11*(IF(F40&lt;0,1+Assumptions!$B$32*MIN(1,ABS(F40)/ABS(Assumptions!$B$21)),MAX(0.1,1-Assumptions!$B$31*(F40/50)))))*J40)*Archetypes!$B$20)+((Archetypes!$B$11*(IF(F40&lt;0,1+Assumptions!$B$32*MIN(1,ABS(F40)/ABS(Assumptions!$B$21)),MAX(0.1,1-Assumptions!$B$31*(F40/50)))))*J40*Archetypes!$B$20*Archetypes!$B$21)*Assumptions!$B$18)*(IF($D40=1,1,Assumptions!$B$7)))+(((((Archetypes!$B$11*(IF(F40&lt;0,1+Assumptions!$B$32*MIN(1,ABS(F40)/ABS(Assumptions!$B$21)),MAX(0.1,1-Assumptions!$B$31*(F40/50)))))-((Archetypes!$B$11*(IF(F40&lt;0,1+Assumptions!$B$32*MIN(1,ABS(F40)/ABS(Assumptions!$B$21)),MAX(0.1,1-Assumptions!$B$31*(F40/50)))))*J40)*Archetypes!$B$15)*(Archetypes!$B$13*IF(F40&lt;0,1-Assumptions!$B$33*MIN(1,ABS(F40)/ABS(Assumptions!$B$21)),1))*5)+(((Archetypes!$B$11*(IF(F40&lt;0,1+Assumptions!$B$32*MIN(1,ABS(F40)/ABS(Assumptions!$B$21)),MAX(0.1,1-Assumptions!$B$31*(F40/50)))))*J40*Archetypes!$B$15*Archetypes!$B$22)*(Archetypes!$B$13*IF(F40&lt;0,1-Assumptions!$B$33*MIN(1,ABS(F40)/ABS(Assumptions!$B$21)),1))*5*Assumptions!$B$18))*IF(F40&lt;0,Assumptions!$B$9,1)))*$E40</f>
        <v>183.95189999999999</v>
      </c>
      <c r="O40" s="18">
        <f>(O39)+(N40)-(MAX(0,((O39)+(N40)-(P40)))*(IF(Archetypes!$B$27="",Assumptions!$B$11,Archetypes!$B$27)))</f>
        <v>769.44598769031086</v>
      </c>
      <c r="P40" s="18">
        <f>Archetypes!$B$33</f>
        <v>25.423199999999998</v>
      </c>
      <c r="Q40" s="18">
        <f t="shared" si="3"/>
        <v>744.02278769031091</v>
      </c>
      <c r="S40" s="18">
        <f t="shared" si="9"/>
        <v>74.969239565720969</v>
      </c>
      <c r="T40" s="18">
        <f>MAX(Assumptions!$B$21,(S40)+(U40))</f>
        <v>75.384039574799559</v>
      </c>
      <c r="U40" s="18">
        <f>(((Archetypes!$C$11*(IF(S40&lt;0,1+Assumptions!$B$32*MIN(1,ABS(S40)/ABS(Assumptions!$B$21)),MAX(0.1,1-Assumptions!$B$31*(S40/50)))))-((Archetypes!$C$11*(IF(S40&lt;0,1+Assumptions!$B$32*MIN(1,ABS(S40)/ABS(Assumptions!$B$21)),MAX(0.1,1-Assumptions!$B$31*(S40/50)))))*W40)*Archetypes!$C$15)*Assumptions!$B$22+((Archetypes!$C$11*(IF(S40&lt;0,1+Assumptions!$B$32*MIN(1,ABS(S40)/ABS(Assumptions!$B$21)),MAX(0.1,1-Assumptions!$B$31*(S40/50)))))*W40*Archetypes!$C$15*Archetypes!$C$22)*Assumptions!$B$23+(Archetypes!$C$11*(IF(S40&lt;0,1+Assumptions!$B$32*MIN(1,ABS(S40)/ABS(Assumptions!$B$21)),MAX(0.1,1-Assumptions!$B$31*(S40/50)))))*Assumptions!$B$24+-((Archetypes!$C$11*(IF(S40&lt;0,1+Assumptions!$B$32*MIN(1,ABS(S40)/ABS(Assumptions!$B$21)),MAX(0.1,1-Assumptions!$B$31*(S40/50)))))*Archetypes!$C$16)*(Assumptions!$B$27*(1+Assumptions!$B$28*Archetypes!$C$14)/(1+Assumptions!$B$29*Archetypes!$C$12))+-(Archetypes!$C$11*(IF(S40&lt;0,1+Assumptions!$B$32*MIN(1,ABS(S40)/ABS(Assumptions!$B$21)),MAX(0.1,1-Assumptions!$B$31*(S40/50)))))*Archetypes!$C$17*((Archetypes!$C$31)/100)*Assumptions!$B$30+-Assumptions!$B$25*Assumptions!$B$26)*$E40</f>
        <v>0.41480000907859171</v>
      </c>
      <c r="V40" s="18">
        <f>(Archetypes!$C$11*(IF(S40&lt;0,1+Assumptions!$B$32*MIN(1,ABS(S40)/ABS(Assumptions!$B$21)),MAX(0.1,1-Assumptions!$B$31*(S40/50)))))*$E40</f>
        <v>0.60221475126809065</v>
      </c>
      <c r="W40" s="19">
        <f>Archetypes!$C$30</f>
        <v>3.7999999999999999E-2</v>
      </c>
      <c r="X40" s="18">
        <f t="shared" si="4"/>
        <v>2.2884160548187444E-2</v>
      </c>
      <c r="Y40" s="18">
        <f>((V40-X40)*Archetypes!$C$15)+(X40*Archetypes!$C$15*Archetypes!$C$22)</f>
        <v>0.30453999971627344</v>
      </c>
      <c r="Z40" s="18">
        <f>V40*Archetypes!$C$16</f>
        <v>0.27099663807064078</v>
      </c>
      <c r="AA40" s="18">
        <f>(IF(S40&lt;0,Assumptions!$B$8,IF(S40&lt;10,Assumptions!$B$34,IF(S40&lt;25,Assumptions!$B$35,Assumptions!$B$36))))*((((Archetypes!$C$5*Assumptions!$B$4+Archetypes!$C$6*Assumptions!$B$5)*60))+(Assumptions!$B$6*(((Archetypes!$C$11*(IF(S40&lt;0,1+Assumptions!$B$32*MIN(1,ABS(S40)/ABS(Assumptions!$B$21)),MAX(0.1,1-Assumptions!$B$31*(S40/50)))))-((Archetypes!$C$11*(IF(S40&lt;0,1+Assumptions!$B$32*MIN(1,ABS(S40)/ABS(Assumptions!$B$21)),MAX(0.1,1-Assumptions!$B$31*(S40/50)))))*W40)*Archetypes!$C$20)+((Archetypes!$C$11*(IF(S40&lt;0,1+Assumptions!$B$32*MIN(1,ABS(S40)/ABS(Assumptions!$B$21)),MAX(0.1,1-Assumptions!$B$31*(S40/50)))))*W40*Archetypes!$C$20*Archetypes!$C$21)*Assumptions!$B$18)*(IF($D40=1,1,Assumptions!$B$7)))+(((((Archetypes!$C$11*(IF(S40&lt;0,1+Assumptions!$B$32*MIN(1,ABS(S40)/ABS(Assumptions!$B$21)),MAX(0.1,1-Assumptions!$B$31*(S40/50)))))-((Archetypes!$C$11*(IF(S40&lt;0,1+Assumptions!$B$32*MIN(1,ABS(S40)/ABS(Assumptions!$B$21)),MAX(0.1,1-Assumptions!$B$31*(S40/50)))))*W40)*Archetypes!$C$15)*(Archetypes!$C$13*IF(S40&lt;0,1-Assumptions!$B$33*MIN(1,ABS(S40)/ABS(Assumptions!$B$21)),1))*5)+(((Archetypes!$C$11*(IF(S40&lt;0,1+Assumptions!$B$32*MIN(1,ABS(S40)/ABS(Assumptions!$B$21)),MAX(0.1,1-Assumptions!$B$31*(S40/50)))))*W40*Archetypes!$C$15*Archetypes!$C$22)*(Archetypes!$C$13*IF(S40&lt;0,1-Assumptions!$B$33*MIN(1,ABS(S40)/ABS(Assumptions!$B$21)),1))*5*Assumptions!$B$18))*IF(S40&lt;0,Assumptions!$B$9,1)))*$E40</f>
        <v>709.7543273086261</v>
      </c>
      <c r="AB40" s="18">
        <f>(AB39)+(AA40)-(MAX(0,((AB39)+(AA40)-(AC40)))*(IF(Archetypes!$C$27="",Assumptions!$B$11,Archetypes!$C$27)))</f>
        <v>2251.7692767113776</v>
      </c>
      <c r="AC40" s="18">
        <f>Archetypes!$C$33</f>
        <v>90.34</v>
      </c>
      <c r="AD40" s="18">
        <f t="shared" si="5"/>
        <v>2161.4292767113775</v>
      </c>
      <c r="AF40" s="18">
        <f t="shared" si="10"/>
        <v>71.043294895880521</v>
      </c>
      <c r="AG40" s="18">
        <f>MAX(Assumptions!$B$21,(AF40)+(AH40))</f>
        <v>71.537395163122852</v>
      </c>
      <c r="AH40" s="18">
        <f>(((Archetypes!$D$11*(IF(AF40&lt;0,1+Assumptions!$B$32*MIN(1,ABS(AF40)/ABS(Assumptions!$B$21)),MAX(0.1,1-Assumptions!$B$31*(AF40/50)))))-((Archetypes!$D$11*(IF(AF40&lt;0,1+Assumptions!$B$32*MIN(1,ABS(AF40)/ABS(Assumptions!$B$21)),MAX(0.1,1-Assumptions!$B$31*(AF40/50)))))*AJ40)*Archetypes!$D$15)*Assumptions!$B$22+((Archetypes!$D$11*(IF(AF40&lt;0,1+Assumptions!$B$32*MIN(1,ABS(AF40)/ABS(Assumptions!$B$21)),MAX(0.1,1-Assumptions!$B$31*(AF40/50)))))*AJ40*Archetypes!$D$15*Archetypes!$D$22)*Assumptions!$B$23+(Archetypes!$D$11*(IF(AF40&lt;0,1+Assumptions!$B$32*MIN(1,ABS(AF40)/ABS(Assumptions!$B$21)),MAX(0.1,1-Assumptions!$B$31*(AF40/50)))))*Assumptions!$B$24+-((Archetypes!$D$11*(IF(AF40&lt;0,1+Assumptions!$B$32*MIN(1,ABS(AF40)/ABS(Assumptions!$B$21)),MAX(0.1,1-Assumptions!$B$31*(AF40/50)))))*Archetypes!$D$16)*(Assumptions!$B$27*(1+Assumptions!$B$28*Archetypes!$D$14)/(1+Assumptions!$B$29*Archetypes!$D$12))+-(Archetypes!$D$11*(IF(AF40&lt;0,1+Assumptions!$B$32*MIN(1,ABS(AF40)/ABS(Assumptions!$B$21)),MAX(0.1,1-Assumptions!$B$31*(AF40/50)))))*Archetypes!$D$17*((Archetypes!$D$31)/100)*Assumptions!$B$30+-Assumptions!$B$25*Assumptions!$B$26)*$E40</f>
        <v>0.4941002672423267</v>
      </c>
      <c r="AI40" s="18">
        <f>(Archetypes!$D$11*(IF(AF40&lt;0,1+Assumptions!$B$32*MIN(1,ABS(AF40)/ABS(Assumptions!$B$21)),MAX(0.1,1-Assumptions!$B$31*(AF40/50)))))*$E40</f>
        <v>0.44244138374830111</v>
      </c>
      <c r="AJ40" s="19">
        <f>Archetypes!$D$30</f>
        <v>0.10400000000000001</v>
      </c>
      <c r="AK40" s="18">
        <f t="shared" si="6"/>
        <v>4.6013903909823323E-2</v>
      </c>
      <c r="AL40" s="18">
        <f>((AI40-AK40)*Archetypes!$D$15)+(AK40*Archetypes!$D$15*Archetypes!$D$22)</f>
        <v>0.69127041796834565</v>
      </c>
      <c r="AM40" s="18">
        <f>AI40*Archetypes!$D$16</f>
        <v>8.8488276749660227E-2</v>
      </c>
      <c r="AN40" s="18">
        <f>(IF(AF40&lt;0,Assumptions!$B$8,IF(AF40&lt;10,Assumptions!$B$34,IF(AF40&lt;25,Assumptions!$B$35,Assumptions!$B$36))))*((((Archetypes!$D$5*Assumptions!$B$4+Archetypes!$D$6*Assumptions!$B$5)*60))+(Assumptions!$B$6*(((Archetypes!$D$11*(IF(AF40&lt;0,1+Assumptions!$B$32*MIN(1,ABS(AF40)/ABS(Assumptions!$B$21)),MAX(0.1,1-Assumptions!$B$31*(AF40/50)))))-((Archetypes!$D$11*(IF(AF40&lt;0,1+Assumptions!$B$32*MIN(1,ABS(AF40)/ABS(Assumptions!$B$21)),MAX(0.1,1-Assumptions!$B$31*(AF40/50)))))*AJ40)*Archetypes!$D$20)+((Archetypes!$D$11*(IF(AF40&lt;0,1+Assumptions!$B$32*MIN(1,ABS(AF40)/ABS(Assumptions!$B$21)),MAX(0.1,1-Assumptions!$B$31*(AF40/50)))))*AJ40*Archetypes!$D$20*Archetypes!$D$21)*Assumptions!$B$18)*(IF($D40=1,1,Assumptions!$B$7)))+(((((Archetypes!$D$11*(IF(AF40&lt;0,1+Assumptions!$B$32*MIN(1,ABS(AF40)/ABS(Assumptions!$B$21)),MAX(0.1,1-Assumptions!$B$31*(AF40/50)))))-((Archetypes!$D$11*(IF(AF40&lt;0,1+Assumptions!$B$32*MIN(1,ABS(AF40)/ABS(Assumptions!$B$21)),MAX(0.1,1-Assumptions!$B$31*(AF40/50)))))*AJ40)*Archetypes!$D$15)*(Archetypes!$D$13*IF(AF40&lt;0,1-Assumptions!$B$33*MIN(1,ABS(AF40)/ABS(Assumptions!$B$21)),1))*5)+(((Archetypes!$D$11*(IF(AF40&lt;0,1+Assumptions!$B$32*MIN(1,ABS(AF40)/ABS(Assumptions!$B$21)),MAX(0.1,1-Assumptions!$B$31*(AF40/50)))))*AJ40*Archetypes!$D$15*Archetypes!$D$22)*(Archetypes!$D$13*IF(AF40&lt;0,1-Assumptions!$B$33*MIN(1,ABS(AF40)/ABS(Assumptions!$B$21)),1))*5*Assumptions!$B$18))*IF(AF40&lt;0,Assumptions!$B$9,1)))*$E40</f>
        <v>1178.125013936598</v>
      </c>
      <c r="AO40" s="18">
        <f>(AO39)+(AN40)-(MAX(0,((AO39)+(AN40)-(AP40)))*(IF(Archetypes!$D$27="",Assumptions!$B$11,Archetypes!$D$27)))</f>
        <v>2984.1440191854699</v>
      </c>
      <c r="AP40" s="18">
        <f>Archetypes!$D$33</f>
        <v>201.32916645159378</v>
      </c>
      <c r="AQ40" s="18">
        <f t="shared" si="7"/>
        <v>2782.8148527338763</v>
      </c>
    </row>
    <row r="41" spans="1:43" x14ac:dyDescent="0.25">
      <c r="A41" s="14">
        <v>37</v>
      </c>
      <c r="B41" s="14">
        <f t="shared" si="0"/>
        <v>2</v>
      </c>
      <c r="C41" s="14">
        <f t="shared" si="1"/>
        <v>13</v>
      </c>
      <c r="D41" s="15">
        <f>IF(C41&lt;Assumptions!$B$10,1,0)</f>
        <v>0</v>
      </c>
      <c r="E41" s="15">
        <v>1</v>
      </c>
      <c r="F41" s="18">
        <f t="shared" si="8"/>
        <v>81.893545872558164</v>
      </c>
      <c r="G41" s="18">
        <f>MAX(Assumptions!$B$21,(F41)+(H41))</f>
        <v>82.511665872558169</v>
      </c>
      <c r="H41" s="18">
        <f>(((Archetypes!$B$11*(IF(F41&lt;0,1+Assumptions!$B$32*MIN(1,ABS(F41)/ABS(Assumptions!$B$21)),MAX(0.1,1-Assumptions!$B$31*(F41/50)))))-((Archetypes!$B$11*(IF(F41&lt;0,1+Assumptions!$B$32*MIN(1,ABS(F41)/ABS(Assumptions!$B$21)),MAX(0.1,1-Assumptions!$B$31*(F41/50)))))*J41)*Archetypes!$B$15)*Assumptions!$B$22+((Archetypes!$B$11*(IF(F41&lt;0,1+Assumptions!$B$32*MIN(1,ABS(F41)/ABS(Assumptions!$B$21)),MAX(0.1,1-Assumptions!$B$31*(F41/50)))))*J41*Archetypes!$B$15*Archetypes!$B$22)*Assumptions!$B$23+(Archetypes!$B$11*(IF(F41&lt;0,1+Assumptions!$B$32*MIN(1,ABS(F41)/ABS(Assumptions!$B$21)),MAX(0.1,1-Assumptions!$B$31*(F41/50)))))*Assumptions!$B$24+-((Archetypes!$B$11*(IF(F41&lt;0,1+Assumptions!$B$32*MIN(1,ABS(F41)/ABS(Assumptions!$B$21)),MAX(0.1,1-Assumptions!$B$31*(F41/50)))))*Archetypes!$B$16)*(Assumptions!$B$27*(1+Assumptions!$B$28*Archetypes!$B$14)/(1+Assumptions!$B$29*Archetypes!$B$12))+-(Archetypes!$B$11*(IF(F41&lt;0,1+Assumptions!$B$32*MIN(1,ABS(F41)/ABS(Assumptions!$B$21)),MAX(0.1,1-Assumptions!$B$31*(F41/50)))))*Archetypes!$B$17*((Archetypes!$B$31)/100)*Assumptions!$B$30+-Assumptions!$B$25*Assumptions!$B$26)*$E41</f>
        <v>0.61812</v>
      </c>
      <c r="I41" s="18">
        <f>(Archetypes!$B$11*(IF(F41&lt;0,1+Assumptions!$B$32*MIN(1,ABS(F41)/ABS(Assumptions!$B$21)),MAX(0.1,1-Assumptions!$B$31*(F41/50)))))*$E41</f>
        <v>1</v>
      </c>
      <c r="J41" s="19">
        <f>Archetypes!$B$30</f>
        <v>2.1999999999999999E-2</v>
      </c>
      <c r="K41" s="18">
        <f t="shared" si="2"/>
        <v>2.1999999999999999E-2</v>
      </c>
      <c r="L41" s="18">
        <f>((I41-K41)*Archetypes!$B$15)+(K41*Archetypes!$B$15*Archetypes!$B$22)</f>
        <v>0.10044</v>
      </c>
      <c r="M41" s="18">
        <f>I41*Archetypes!$B$16</f>
        <v>0.75</v>
      </c>
      <c r="N41" s="18">
        <f>(IF(F41&lt;0,Assumptions!$B$8,IF(F41&lt;10,Assumptions!$B$34,IF(F41&lt;25,Assumptions!$B$35,Assumptions!$B$36))))*((((Archetypes!$B$5*Assumptions!$B$4+Archetypes!$B$6*Assumptions!$B$5)*60))+(Assumptions!$B$6*(((Archetypes!$B$11*(IF(F41&lt;0,1+Assumptions!$B$32*MIN(1,ABS(F41)/ABS(Assumptions!$B$21)),MAX(0.1,1-Assumptions!$B$31*(F41/50)))))-((Archetypes!$B$11*(IF(F41&lt;0,1+Assumptions!$B$32*MIN(1,ABS(F41)/ABS(Assumptions!$B$21)),MAX(0.1,1-Assumptions!$B$31*(F41/50)))))*J41)*Archetypes!$B$20)+((Archetypes!$B$11*(IF(F41&lt;0,1+Assumptions!$B$32*MIN(1,ABS(F41)/ABS(Assumptions!$B$21)),MAX(0.1,1-Assumptions!$B$31*(F41/50)))))*J41*Archetypes!$B$20*Archetypes!$B$21)*Assumptions!$B$18)*(IF($D41=1,1,Assumptions!$B$7)))+(((((Archetypes!$B$11*(IF(F41&lt;0,1+Assumptions!$B$32*MIN(1,ABS(F41)/ABS(Assumptions!$B$21)),MAX(0.1,1-Assumptions!$B$31*(F41/50)))))-((Archetypes!$B$11*(IF(F41&lt;0,1+Assumptions!$B$32*MIN(1,ABS(F41)/ABS(Assumptions!$B$21)),MAX(0.1,1-Assumptions!$B$31*(F41/50)))))*J41)*Archetypes!$B$15)*(Archetypes!$B$13*IF(F41&lt;0,1-Assumptions!$B$33*MIN(1,ABS(F41)/ABS(Assumptions!$B$21)),1))*5)+(((Archetypes!$B$11*(IF(F41&lt;0,1+Assumptions!$B$32*MIN(1,ABS(F41)/ABS(Assumptions!$B$21)),MAX(0.1,1-Assumptions!$B$31*(F41/50)))))*J41*Archetypes!$B$15*Archetypes!$B$22)*(Archetypes!$B$13*IF(F41&lt;0,1-Assumptions!$B$33*MIN(1,ABS(F41)/ABS(Assumptions!$B$21)),1))*5*Assumptions!$B$18))*IF(F41&lt;0,Assumptions!$B$9,1)))*$E41</f>
        <v>183.95189999999999</v>
      </c>
      <c r="O41" s="18">
        <f>(O40)+(N41)-(MAX(0,((O40)+(N41)-(P41)))*(IF(Archetypes!$B$27="",Assumptions!$B$11,Archetypes!$B$27)))</f>
        <v>767.80295015224874</v>
      </c>
      <c r="P41" s="18">
        <f>Archetypes!$B$33</f>
        <v>25.423199999999998</v>
      </c>
      <c r="Q41" s="18">
        <f t="shared" si="3"/>
        <v>742.37975015224879</v>
      </c>
      <c r="S41" s="18">
        <f t="shared" si="9"/>
        <v>75.384039574799559</v>
      </c>
      <c r="T41" s="18">
        <f>MAX(Assumptions!$B$21,(S41)+(U41))</f>
        <v>75.796762431942412</v>
      </c>
      <c r="U41" s="18">
        <f>(((Archetypes!$C$11*(IF(S41&lt;0,1+Assumptions!$B$32*MIN(1,ABS(S41)/ABS(Assumptions!$B$21)),MAX(0.1,1-Assumptions!$B$31*(S41/50)))))-((Archetypes!$C$11*(IF(S41&lt;0,1+Assumptions!$B$32*MIN(1,ABS(S41)/ABS(Assumptions!$B$21)),MAX(0.1,1-Assumptions!$B$31*(S41/50)))))*W41)*Archetypes!$C$15)*Assumptions!$B$22+((Archetypes!$C$11*(IF(S41&lt;0,1+Assumptions!$B$32*MIN(1,ABS(S41)/ABS(Assumptions!$B$21)),MAX(0.1,1-Assumptions!$B$31*(S41/50)))))*W41*Archetypes!$C$15*Archetypes!$C$22)*Assumptions!$B$23+(Archetypes!$C$11*(IF(S41&lt;0,1+Assumptions!$B$32*MIN(1,ABS(S41)/ABS(Assumptions!$B$21)),MAX(0.1,1-Assumptions!$B$31*(S41/50)))))*Assumptions!$B$24+-((Archetypes!$C$11*(IF(S41&lt;0,1+Assumptions!$B$32*MIN(1,ABS(S41)/ABS(Assumptions!$B$21)),MAX(0.1,1-Assumptions!$B$31*(S41/50)))))*Archetypes!$C$16)*(Assumptions!$B$27*(1+Assumptions!$B$28*Archetypes!$C$14)/(1+Assumptions!$B$29*Archetypes!$C$12))+-(Archetypes!$C$11*(IF(S41&lt;0,1+Assumptions!$B$32*MIN(1,ABS(S41)/ABS(Assumptions!$B$21)),MAX(0.1,1-Assumptions!$B$31*(S41/50)))))*Archetypes!$C$17*((Archetypes!$C$31)/100)*Assumptions!$B$30+-Assumptions!$B$25*Assumptions!$B$26)*$E41</f>
        <v>0.41272285714285728</v>
      </c>
      <c r="V41" s="18">
        <f>(Archetypes!$C$11*(IF(S41&lt;0,1+Assumptions!$B$32*MIN(1,ABS(S41)/ABS(Assumptions!$B$21)),MAX(0.1,1-Assumptions!$B$31*(S41/50)))))*$E41</f>
        <v>0.60000000000000009</v>
      </c>
      <c r="W41" s="19">
        <f>Archetypes!$C$30</f>
        <v>3.7999999999999999E-2</v>
      </c>
      <c r="X41" s="18">
        <f t="shared" si="4"/>
        <v>2.2800000000000004E-2</v>
      </c>
      <c r="Y41" s="18">
        <f>((V41-X41)*Archetypes!$C$15)+(X41*Archetypes!$C$15*Archetypes!$C$22)</f>
        <v>0.30342000000000002</v>
      </c>
      <c r="Z41" s="18">
        <f>V41*Archetypes!$C$16</f>
        <v>0.27000000000000007</v>
      </c>
      <c r="AA41" s="18">
        <f>(IF(S41&lt;0,Assumptions!$B$8,IF(S41&lt;10,Assumptions!$B$34,IF(S41&lt;25,Assumptions!$B$35,Assumptions!$B$36))))*((((Archetypes!$C$5*Assumptions!$B$4+Archetypes!$C$6*Assumptions!$B$5)*60))+(Assumptions!$B$6*(((Archetypes!$C$11*(IF(S41&lt;0,1+Assumptions!$B$32*MIN(1,ABS(S41)/ABS(Assumptions!$B$21)),MAX(0.1,1-Assumptions!$B$31*(S41/50)))))-((Archetypes!$C$11*(IF(S41&lt;0,1+Assumptions!$B$32*MIN(1,ABS(S41)/ABS(Assumptions!$B$21)),MAX(0.1,1-Assumptions!$B$31*(S41/50)))))*W41)*Archetypes!$C$20)+((Archetypes!$C$11*(IF(S41&lt;0,1+Assumptions!$B$32*MIN(1,ABS(S41)/ABS(Assumptions!$B$21)),MAX(0.1,1-Assumptions!$B$31*(S41/50)))))*W41*Archetypes!$C$20*Archetypes!$C$21)*Assumptions!$B$18)*(IF($D41=1,1,Assumptions!$B$7)))+(((((Archetypes!$C$11*(IF(S41&lt;0,1+Assumptions!$B$32*MIN(1,ABS(S41)/ABS(Assumptions!$B$21)),MAX(0.1,1-Assumptions!$B$31*(S41/50)))))-((Archetypes!$C$11*(IF(S41&lt;0,1+Assumptions!$B$32*MIN(1,ABS(S41)/ABS(Assumptions!$B$21)),MAX(0.1,1-Assumptions!$B$31*(S41/50)))))*W41)*Archetypes!$C$15)*(Archetypes!$C$13*IF(S41&lt;0,1-Assumptions!$B$33*MIN(1,ABS(S41)/ABS(Assumptions!$B$21)),1))*5)+(((Archetypes!$C$11*(IF(S41&lt;0,1+Assumptions!$B$32*MIN(1,ABS(S41)/ABS(Assumptions!$B$21)),MAX(0.1,1-Assumptions!$B$31*(S41/50)))))*W41*Archetypes!$C$15*Archetypes!$C$22)*(Archetypes!$C$13*IF(S41&lt;0,1-Assumptions!$B$33*MIN(1,ABS(S41)/ABS(Assumptions!$B$21)),1))*5*Assumptions!$B$18))*IF(S41&lt;0,Assumptions!$B$9,1)))*$E41</f>
        <v>709.58237999999994</v>
      </c>
      <c r="AB41" s="18">
        <f>(AB40)+(AA41)-(MAX(0,((AB40)+(AA41)-(AC41)))*(IF(Archetypes!$C$27="",Assumptions!$B$11,Archetypes!$C$27)))</f>
        <v>2243.5987425335334</v>
      </c>
      <c r="AC41" s="18">
        <f>Archetypes!$C$33</f>
        <v>90.34</v>
      </c>
      <c r="AD41" s="18">
        <f t="shared" si="5"/>
        <v>2153.2587425335332</v>
      </c>
      <c r="AF41" s="18">
        <f t="shared" si="10"/>
        <v>71.537395163122852</v>
      </c>
      <c r="AG41" s="18">
        <f>MAX(Assumptions!$B$21,(AF41)+(AH41))</f>
        <v>72.005600465447458</v>
      </c>
      <c r="AH41" s="18">
        <f>(((Archetypes!$D$11*(IF(AF41&lt;0,1+Assumptions!$B$32*MIN(1,ABS(AF41)/ABS(Assumptions!$B$21)),MAX(0.1,1-Assumptions!$B$31*(AF41/50)))))-((Archetypes!$D$11*(IF(AF41&lt;0,1+Assumptions!$B$32*MIN(1,ABS(AF41)/ABS(Assumptions!$B$21)),MAX(0.1,1-Assumptions!$B$31*(AF41/50)))))*AJ41)*Archetypes!$D$15)*Assumptions!$B$22+((Archetypes!$D$11*(IF(AF41&lt;0,1+Assumptions!$B$32*MIN(1,ABS(AF41)/ABS(Assumptions!$B$21)),MAX(0.1,1-Assumptions!$B$31*(AF41/50)))))*AJ41*Archetypes!$D$15*Archetypes!$D$22)*Assumptions!$B$23+(Archetypes!$D$11*(IF(AF41&lt;0,1+Assumptions!$B$32*MIN(1,ABS(AF41)/ABS(Assumptions!$B$21)),MAX(0.1,1-Assumptions!$B$31*(AF41/50)))))*Assumptions!$B$24+-((Archetypes!$D$11*(IF(AF41&lt;0,1+Assumptions!$B$32*MIN(1,ABS(AF41)/ABS(Assumptions!$B$21)),MAX(0.1,1-Assumptions!$B$31*(AF41/50)))))*Archetypes!$D$16)*(Assumptions!$B$27*(1+Assumptions!$B$28*Archetypes!$D$14)/(1+Assumptions!$B$29*Archetypes!$D$12))+-(Archetypes!$D$11*(IF(AF41&lt;0,1+Assumptions!$B$32*MIN(1,ABS(AF41)/ABS(Assumptions!$B$21)),MAX(0.1,1-Assumptions!$B$31*(AF41/50)))))*Archetypes!$D$17*((Archetypes!$D$31)/100)*Assumptions!$B$30+-Assumptions!$B$25*Assumptions!$B$26)*$E41</f>
        <v>0.46820530232460522</v>
      </c>
      <c r="AI41" s="18">
        <f>(Archetypes!$D$11*(IF(AF41&lt;0,1+Assumptions!$B$32*MIN(1,ABS(AF41)/ABS(Assumptions!$B$21)),MAX(0.1,1-Assumptions!$B$31*(AF41/50)))))*$E41</f>
        <v>0.42465377412757732</v>
      </c>
      <c r="AJ41" s="19">
        <f>Archetypes!$D$30</f>
        <v>0.10400000000000001</v>
      </c>
      <c r="AK41" s="18">
        <f t="shared" si="6"/>
        <v>4.4163992509268044E-2</v>
      </c>
      <c r="AL41" s="18">
        <f>((AI41-AK41)*Archetypes!$D$15)+(AK41*Archetypes!$D$15*Archetypes!$D$22)</f>
        <v>0.66347905669692675</v>
      </c>
      <c r="AM41" s="18">
        <f>AI41*Archetypes!$D$16</f>
        <v>8.4930754825515473E-2</v>
      </c>
      <c r="AN41" s="18">
        <f>(IF(AF41&lt;0,Assumptions!$B$8,IF(AF41&lt;10,Assumptions!$B$34,IF(AF41&lt;25,Assumptions!$B$35,Assumptions!$B$36))))*((((Archetypes!$D$5*Assumptions!$B$4+Archetypes!$D$6*Assumptions!$B$5)*60))+(Assumptions!$B$6*(((Archetypes!$D$11*(IF(AF41&lt;0,1+Assumptions!$B$32*MIN(1,ABS(AF41)/ABS(Assumptions!$B$21)),MAX(0.1,1-Assumptions!$B$31*(AF41/50)))))-((Archetypes!$D$11*(IF(AF41&lt;0,1+Assumptions!$B$32*MIN(1,ABS(AF41)/ABS(Assumptions!$B$21)),MAX(0.1,1-Assumptions!$B$31*(AF41/50)))))*AJ41)*Archetypes!$D$20)+((Archetypes!$D$11*(IF(AF41&lt;0,1+Assumptions!$B$32*MIN(1,ABS(AF41)/ABS(Assumptions!$B$21)),MAX(0.1,1-Assumptions!$B$31*(AF41/50)))))*AJ41*Archetypes!$D$20*Archetypes!$D$21)*Assumptions!$B$18)*(IF($D41=1,1,Assumptions!$B$7)))+(((((Archetypes!$D$11*(IF(AF41&lt;0,1+Assumptions!$B$32*MIN(1,ABS(AF41)/ABS(Assumptions!$B$21)),MAX(0.1,1-Assumptions!$B$31*(AF41/50)))))-((Archetypes!$D$11*(IF(AF41&lt;0,1+Assumptions!$B$32*MIN(1,ABS(AF41)/ABS(Assumptions!$B$21)),MAX(0.1,1-Assumptions!$B$31*(AF41/50)))))*AJ41)*Archetypes!$D$15)*(Archetypes!$D$13*IF(AF41&lt;0,1-Assumptions!$B$33*MIN(1,ABS(AF41)/ABS(Assumptions!$B$21)),1))*5)+(((Archetypes!$D$11*(IF(AF41&lt;0,1+Assumptions!$B$32*MIN(1,ABS(AF41)/ABS(Assumptions!$B$21)),MAX(0.1,1-Assumptions!$B$31*(AF41/50)))))*AJ41*Archetypes!$D$15*Archetypes!$D$22)*(Archetypes!$D$13*IF(AF41&lt;0,1-Assumptions!$B$33*MIN(1,ABS(AF41)/ABS(Assumptions!$B$21)),1))*5*Assumptions!$B$18))*IF(AF41&lt;0,Assumptions!$B$9,1)))*$E41</f>
        <v>1173.8182334262044</v>
      </c>
      <c r="AO41" s="18">
        <f>(AO40)+(AN41)-(MAX(0,((AO40)+(AN41)-(AP41)))*(IF(Archetypes!$D$27="",Assumptions!$B$11,Archetypes!$D$27)))</f>
        <v>2970.97232676365</v>
      </c>
      <c r="AP41" s="18">
        <f>Archetypes!$D$33</f>
        <v>201.32916645159378</v>
      </c>
      <c r="AQ41" s="18">
        <f t="shared" si="7"/>
        <v>2769.6431603120564</v>
      </c>
    </row>
    <row r="42" spans="1:43" x14ac:dyDescent="0.25">
      <c r="A42" s="14">
        <v>38</v>
      </c>
      <c r="B42" s="14">
        <f t="shared" si="0"/>
        <v>2</v>
      </c>
      <c r="C42" s="14">
        <f t="shared" si="1"/>
        <v>14</v>
      </c>
      <c r="D42" s="15">
        <f>IF(C42&lt;Assumptions!$B$10,1,0)</f>
        <v>0</v>
      </c>
      <c r="E42" s="15">
        <v>1</v>
      </c>
      <c r="F42" s="18">
        <f t="shared" si="8"/>
        <v>82.511665872558169</v>
      </c>
      <c r="G42" s="18">
        <f>MAX(Assumptions!$B$21,(F42)+(H42))</f>
        <v>83.129785872558173</v>
      </c>
      <c r="H42" s="18">
        <f>(((Archetypes!$B$11*(IF(F42&lt;0,1+Assumptions!$B$32*MIN(1,ABS(F42)/ABS(Assumptions!$B$21)),MAX(0.1,1-Assumptions!$B$31*(F42/50)))))-((Archetypes!$B$11*(IF(F42&lt;0,1+Assumptions!$B$32*MIN(1,ABS(F42)/ABS(Assumptions!$B$21)),MAX(0.1,1-Assumptions!$B$31*(F42/50)))))*J42)*Archetypes!$B$15)*Assumptions!$B$22+((Archetypes!$B$11*(IF(F42&lt;0,1+Assumptions!$B$32*MIN(1,ABS(F42)/ABS(Assumptions!$B$21)),MAX(0.1,1-Assumptions!$B$31*(F42/50)))))*J42*Archetypes!$B$15*Archetypes!$B$22)*Assumptions!$B$23+(Archetypes!$B$11*(IF(F42&lt;0,1+Assumptions!$B$32*MIN(1,ABS(F42)/ABS(Assumptions!$B$21)),MAX(0.1,1-Assumptions!$B$31*(F42/50)))))*Assumptions!$B$24+-((Archetypes!$B$11*(IF(F42&lt;0,1+Assumptions!$B$32*MIN(1,ABS(F42)/ABS(Assumptions!$B$21)),MAX(0.1,1-Assumptions!$B$31*(F42/50)))))*Archetypes!$B$16)*(Assumptions!$B$27*(1+Assumptions!$B$28*Archetypes!$B$14)/(1+Assumptions!$B$29*Archetypes!$B$12))+-(Archetypes!$B$11*(IF(F42&lt;0,1+Assumptions!$B$32*MIN(1,ABS(F42)/ABS(Assumptions!$B$21)),MAX(0.1,1-Assumptions!$B$31*(F42/50)))))*Archetypes!$B$17*((Archetypes!$B$31)/100)*Assumptions!$B$30+-Assumptions!$B$25*Assumptions!$B$26)*$E42</f>
        <v>0.61812</v>
      </c>
      <c r="I42" s="18">
        <f>(Archetypes!$B$11*(IF(F42&lt;0,1+Assumptions!$B$32*MIN(1,ABS(F42)/ABS(Assumptions!$B$21)),MAX(0.1,1-Assumptions!$B$31*(F42/50)))))*$E42</f>
        <v>1</v>
      </c>
      <c r="J42" s="19">
        <f>Archetypes!$B$30</f>
        <v>2.1999999999999999E-2</v>
      </c>
      <c r="K42" s="18">
        <f t="shared" si="2"/>
        <v>2.1999999999999999E-2</v>
      </c>
      <c r="L42" s="18">
        <f>((I42-K42)*Archetypes!$B$15)+(K42*Archetypes!$B$15*Archetypes!$B$22)</f>
        <v>0.10044</v>
      </c>
      <c r="M42" s="18">
        <f>I42*Archetypes!$B$16</f>
        <v>0.75</v>
      </c>
      <c r="N42" s="18">
        <f>(IF(F42&lt;0,Assumptions!$B$8,IF(F42&lt;10,Assumptions!$B$34,IF(F42&lt;25,Assumptions!$B$35,Assumptions!$B$36))))*((((Archetypes!$B$5*Assumptions!$B$4+Archetypes!$B$6*Assumptions!$B$5)*60))+(Assumptions!$B$6*(((Archetypes!$B$11*(IF(F42&lt;0,1+Assumptions!$B$32*MIN(1,ABS(F42)/ABS(Assumptions!$B$21)),MAX(0.1,1-Assumptions!$B$31*(F42/50)))))-((Archetypes!$B$11*(IF(F42&lt;0,1+Assumptions!$B$32*MIN(1,ABS(F42)/ABS(Assumptions!$B$21)),MAX(0.1,1-Assumptions!$B$31*(F42/50)))))*J42)*Archetypes!$B$20)+((Archetypes!$B$11*(IF(F42&lt;0,1+Assumptions!$B$32*MIN(1,ABS(F42)/ABS(Assumptions!$B$21)),MAX(0.1,1-Assumptions!$B$31*(F42/50)))))*J42*Archetypes!$B$20*Archetypes!$B$21)*Assumptions!$B$18)*(IF($D42=1,1,Assumptions!$B$7)))+(((((Archetypes!$B$11*(IF(F42&lt;0,1+Assumptions!$B$32*MIN(1,ABS(F42)/ABS(Assumptions!$B$21)),MAX(0.1,1-Assumptions!$B$31*(F42/50)))))-((Archetypes!$B$11*(IF(F42&lt;0,1+Assumptions!$B$32*MIN(1,ABS(F42)/ABS(Assumptions!$B$21)),MAX(0.1,1-Assumptions!$B$31*(F42/50)))))*J42)*Archetypes!$B$15)*(Archetypes!$B$13*IF(F42&lt;0,1-Assumptions!$B$33*MIN(1,ABS(F42)/ABS(Assumptions!$B$21)),1))*5)+(((Archetypes!$B$11*(IF(F42&lt;0,1+Assumptions!$B$32*MIN(1,ABS(F42)/ABS(Assumptions!$B$21)),MAX(0.1,1-Assumptions!$B$31*(F42/50)))))*J42*Archetypes!$B$15*Archetypes!$B$22)*(Archetypes!$B$13*IF(F42&lt;0,1-Assumptions!$B$33*MIN(1,ABS(F42)/ABS(Assumptions!$B$21)),1))*5*Assumptions!$B$18))*IF(F42&lt;0,Assumptions!$B$9,1)))*$E42</f>
        <v>183.95189999999999</v>
      </c>
      <c r="O42" s="18">
        <f>(O41)+(N42)-(MAX(0,((O41)+(N42)-(P42)))*(IF(Archetypes!$B$27="",Assumptions!$B$11,Archetypes!$B$27)))</f>
        <v>766.48852012179896</v>
      </c>
      <c r="P42" s="18">
        <f>Archetypes!$B$33</f>
        <v>25.423199999999998</v>
      </c>
      <c r="Q42" s="18">
        <f t="shared" si="3"/>
        <v>741.065320121799</v>
      </c>
      <c r="S42" s="18">
        <f t="shared" si="9"/>
        <v>75.796762431942412</v>
      </c>
      <c r="T42" s="18">
        <f>MAX(Assumptions!$B$21,(S42)+(U42))</f>
        <v>76.209485289085265</v>
      </c>
      <c r="U42" s="18">
        <f>(((Archetypes!$C$11*(IF(S42&lt;0,1+Assumptions!$B$32*MIN(1,ABS(S42)/ABS(Assumptions!$B$21)),MAX(0.1,1-Assumptions!$B$31*(S42/50)))))-((Archetypes!$C$11*(IF(S42&lt;0,1+Assumptions!$B$32*MIN(1,ABS(S42)/ABS(Assumptions!$B$21)),MAX(0.1,1-Assumptions!$B$31*(S42/50)))))*W42)*Archetypes!$C$15)*Assumptions!$B$22+((Archetypes!$C$11*(IF(S42&lt;0,1+Assumptions!$B$32*MIN(1,ABS(S42)/ABS(Assumptions!$B$21)),MAX(0.1,1-Assumptions!$B$31*(S42/50)))))*W42*Archetypes!$C$15*Archetypes!$C$22)*Assumptions!$B$23+(Archetypes!$C$11*(IF(S42&lt;0,1+Assumptions!$B$32*MIN(1,ABS(S42)/ABS(Assumptions!$B$21)),MAX(0.1,1-Assumptions!$B$31*(S42/50)))))*Assumptions!$B$24+-((Archetypes!$C$11*(IF(S42&lt;0,1+Assumptions!$B$32*MIN(1,ABS(S42)/ABS(Assumptions!$B$21)),MAX(0.1,1-Assumptions!$B$31*(S42/50)))))*Archetypes!$C$16)*(Assumptions!$B$27*(1+Assumptions!$B$28*Archetypes!$C$14)/(1+Assumptions!$B$29*Archetypes!$C$12))+-(Archetypes!$C$11*(IF(S42&lt;0,1+Assumptions!$B$32*MIN(1,ABS(S42)/ABS(Assumptions!$B$21)),MAX(0.1,1-Assumptions!$B$31*(S42/50)))))*Archetypes!$C$17*((Archetypes!$C$31)/100)*Assumptions!$B$30+-Assumptions!$B$25*Assumptions!$B$26)*$E42</f>
        <v>0.41272285714285728</v>
      </c>
      <c r="V42" s="18">
        <f>(Archetypes!$C$11*(IF(S42&lt;0,1+Assumptions!$B$32*MIN(1,ABS(S42)/ABS(Assumptions!$B$21)),MAX(0.1,1-Assumptions!$B$31*(S42/50)))))*$E42</f>
        <v>0.60000000000000009</v>
      </c>
      <c r="W42" s="19">
        <f>Archetypes!$C$30</f>
        <v>3.7999999999999999E-2</v>
      </c>
      <c r="X42" s="18">
        <f t="shared" si="4"/>
        <v>2.2800000000000004E-2</v>
      </c>
      <c r="Y42" s="18">
        <f>((V42-X42)*Archetypes!$C$15)+(X42*Archetypes!$C$15*Archetypes!$C$22)</f>
        <v>0.30342000000000002</v>
      </c>
      <c r="Z42" s="18">
        <f>V42*Archetypes!$C$16</f>
        <v>0.27000000000000007</v>
      </c>
      <c r="AA42" s="18">
        <f>(IF(S42&lt;0,Assumptions!$B$8,IF(S42&lt;10,Assumptions!$B$34,IF(S42&lt;25,Assumptions!$B$35,Assumptions!$B$36))))*((((Archetypes!$C$5*Assumptions!$B$4+Archetypes!$C$6*Assumptions!$B$5)*60))+(Assumptions!$B$6*(((Archetypes!$C$11*(IF(S42&lt;0,1+Assumptions!$B$32*MIN(1,ABS(S42)/ABS(Assumptions!$B$21)),MAX(0.1,1-Assumptions!$B$31*(S42/50)))))-((Archetypes!$C$11*(IF(S42&lt;0,1+Assumptions!$B$32*MIN(1,ABS(S42)/ABS(Assumptions!$B$21)),MAX(0.1,1-Assumptions!$B$31*(S42/50)))))*W42)*Archetypes!$C$20)+((Archetypes!$C$11*(IF(S42&lt;0,1+Assumptions!$B$32*MIN(1,ABS(S42)/ABS(Assumptions!$B$21)),MAX(0.1,1-Assumptions!$B$31*(S42/50)))))*W42*Archetypes!$C$20*Archetypes!$C$21)*Assumptions!$B$18)*(IF($D42=1,1,Assumptions!$B$7)))+(((((Archetypes!$C$11*(IF(S42&lt;0,1+Assumptions!$B$32*MIN(1,ABS(S42)/ABS(Assumptions!$B$21)),MAX(0.1,1-Assumptions!$B$31*(S42/50)))))-((Archetypes!$C$11*(IF(S42&lt;0,1+Assumptions!$B$32*MIN(1,ABS(S42)/ABS(Assumptions!$B$21)),MAX(0.1,1-Assumptions!$B$31*(S42/50)))))*W42)*Archetypes!$C$15)*(Archetypes!$C$13*IF(S42&lt;0,1-Assumptions!$B$33*MIN(1,ABS(S42)/ABS(Assumptions!$B$21)),1))*5)+(((Archetypes!$C$11*(IF(S42&lt;0,1+Assumptions!$B$32*MIN(1,ABS(S42)/ABS(Assumptions!$B$21)),MAX(0.1,1-Assumptions!$B$31*(S42/50)))))*W42*Archetypes!$C$15*Archetypes!$C$22)*(Archetypes!$C$13*IF(S42&lt;0,1-Assumptions!$B$33*MIN(1,ABS(S42)/ABS(Assumptions!$B$21)),1))*5*Assumptions!$B$18))*IF(S42&lt;0,Assumptions!$B$9,1)))*$E42</f>
        <v>709.58237999999994</v>
      </c>
      <c r="AB42" s="18">
        <f>(AB41)+(AA42)-(MAX(0,((AB41)+(AA42)-(AC42)))*(IF(Archetypes!$C$27="",Assumptions!$B$11,Archetypes!$C$27)))</f>
        <v>2237.4708419001499</v>
      </c>
      <c r="AC42" s="18">
        <f>Archetypes!$C$33</f>
        <v>90.34</v>
      </c>
      <c r="AD42" s="18">
        <f t="shared" si="5"/>
        <v>2147.1308419001498</v>
      </c>
      <c r="AF42" s="18">
        <f t="shared" si="10"/>
        <v>72.005600465447458</v>
      </c>
      <c r="AG42" s="18">
        <f>MAX(Assumptions!$B$21,(AF42)+(AH42))</f>
        <v>72.449267914462141</v>
      </c>
      <c r="AH42" s="18">
        <f>(((Archetypes!$D$11*(IF(AF42&lt;0,1+Assumptions!$B$32*MIN(1,ABS(AF42)/ABS(Assumptions!$B$21)),MAX(0.1,1-Assumptions!$B$31*(AF42/50)))))-((Archetypes!$D$11*(IF(AF42&lt;0,1+Assumptions!$B$32*MIN(1,ABS(AF42)/ABS(Assumptions!$B$21)),MAX(0.1,1-Assumptions!$B$31*(AF42/50)))))*AJ42)*Archetypes!$D$15)*Assumptions!$B$22+((Archetypes!$D$11*(IF(AF42&lt;0,1+Assumptions!$B$32*MIN(1,ABS(AF42)/ABS(Assumptions!$B$21)),MAX(0.1,1-Assumptions!$B$31*(AF42/50)))))*AJ42*Archetypes!$D$15*Archetypes!$D$22)*Assumptions!$B$23+(Archetypes!$D$11*(IF(AF42&lt;0,1+Assumptions!$B$32*MIN(1,ABS(AF42)/ABS(Assumptions!$B$21)),MAX(0.1,1-Assumptions!$B$31*(AF42/50)))))*Assumptions!$B$24+-((Archetypes!$D$11*(IF(AF42&lt;0,1+Assumptions!$B$32*MIN(1,ABS(AF42)/ABS(Assumptions!$B$21)),MAX(0.1,1-Assumptions!$B$31*(AF42/50)))))*Archetypes!$D$16)*(Assumptions!$B$27*(1+Assumptions!$B$28*Archetypes!$D$14)/(1+Assumptions!$B$29*Archetypes!$D$12))+-(Archetypes!$D$11*(IF(AF42&lt;0,1+Assumptions!$B$32*MIN(1,ABS(AF42)/ABS(Assumptions!$B$21)),MAX(0.1,1-Assumptions!$B$31*(AF42/50)))))*Archetypes!$D$17*((Archetypes!$D$31)/100)*Assumptions!$B$30+-Assumptions!$B$25*Assumptions!$B$26)*$E42</f>
        <v>0.44366744901468036</v>
      </c>
      <c r="AI42" s="18">
        <f>(Archetypes!$D$11*(IF(AF42&lt;0,1+Assumptions!$B$32*MIN(1,ABS(AF42)/ABS(Assumptions!$B$21)),MAX(0.1,1-Assumptions!$B$31*(AF42/50)))))*$E42</f>
        <v>0.40779838324389139</v>
      </c>
      <c r="AJ42" s="19">
        <f>Archetypes!$D$30</f>
        <v>0.10400000000000001</v>
      </c>
      <c r="AK42" s="18">
        <f t="shared" si="6"/>
        <v>4.2411031857364709E-2</v>
      </c>
      <c r="AL42" s="18">
        <f>((AI42-AK42)*Archetypes!$D$15)+(AK42*Archetypes!$D$15*Archetypes!$D$22)</f>
        <v>0.6371441939802559</v>
      </c>
      <c r="AM42" s="18">
        <f>AI42*Archetypes!$D$16</f>
        <v>8.1559676648778279E-2</v>
      </c>
      <c r="AN42" s="18">
        <f>(IF(AF42&lt;0,Assumptions!$B$8,IF(AF42&lt;10,Assumptions!$B$34,IF(AF42&lt;25,Assumptions!$B$35,Assumptions!$B$36))))*((((Archetypes!$D$5*Assumptions!$B$4+Archetypes!$D$6*Assumptions!$B$5)*60))+(Assumptions!$B$6*(((Archetypes!$D$11*(IF(AF42&lt;0,1+Assumptions!$B$32*MIN(1,ABS(AF42)/ABS(Assumptions!$B$21)),MAX(0.1,1-Assumptions!$B$31*(AF42/50)))))-((Archetypes!$D$11*(IF(AF42&lt;0,1+Assumptions!$B$32*MIN(1,ABS(AF42)/ABS(Assumptions!$B$21)),MAX(0.1,1-Assumptions!$B$31*(AF42/50)))))*AJ42)*Archetypes!$D$20)+((Archetypes!$D$11*(IF(AF42&lt;0,1+Assumptions!$B$32*MIN(1,ABS(AF42)/ABS(Assumptions!$B$21)),MAX(0.1,1-Assumptions!$B$31*(AF42/50)))))*AJ42*Archetypes!$D$20*Archetypes!$D$21)*Assumptions!$B$18)*(IF($D42=1,1,Assumptions!$B$7)))+(((((Archetypes!$D$11*(IF(AF42&lt;0,1+Assumptions!$B$32*MIN(1,ABS(AF42)/ABS(Assumptions!$B$21)),MAX(0.1,1-Assumptions!$B$31*(AF42/50)))))-((Archetypes!$D$11*(IF(AF42&lt;0,1+Assumptions!$B$32*MIN(1,ABS(AF42)/ABS(Assumptions!$B$21)),MAX(0.1,1-Assumptions!$B$31*(AF42/50)))))*AJ42)*Archetypes!$D$15)*(Archetypes!$D$13*IF(AF42&lt;0,1-Assumptions!$B$33*MIN(1,ABS(AF42)/ABS(Assumptions!$B$21)),1))*5)+(((Archetypes!$D$11*(IF(AF42&lt;0,1+Assumptions!$B$32*MIN(1,ABS(AF42)/ABS(Assumptions!$B$21)),MAX(0.1,1-Assumptions!$B$31*(AF42/50)))))*AJ42*Archetypes!$D$15*Archetypes!$D$22)*(Archetypes!$D$13*IF(AF42&lt;0,1-Assumptions!$B$33*MIN(1,ABS(AF42)/ABS(Assumptions!$B$21)),1))*5*Assumptions!$B$18))*IF(AF42&lt;0,Assumptions!$B$9,1)))*$E42</f>
        <v>1169.7371640469692</v>
      </c>
      <c r="AO42" s="18">
        <f>(AO41)+(AN42)-(MAX(0,((AO41)+(AN42)-(AP42)))*(IF(Archetypes!$D$27="",Assumptions!$B$11,Archetypes!$D$27)))</f>
        <v>2958.8953935029112</v>
      </c>
      <c r="AP42" s="18">
        <f>Archetypes!$D$33</f>
        <v>201.32916645159378</v>
      </c>
      <c r="AQ42" s="18">
        <f t="shared" si="7"/>
        <v>2757.5662270513176</v>
      </c>
    </row>
    <row r="43" spans="1:43" x14ac:dyDescent="0.25">
      <c r="A43" s="14">
        <v>39</v>
      </c>
      <c r="B43" s="14">
        <f t="shared" si="0"/>
        <v>2</v>
      </c>
      <c r="C43" s="14">
        <f t="shared" si="1"/>
        <v>15</v>
      </c>
      <c r="D43" s="15">
        <f>IF(C43&lt;Assumptions!$B$10,1,0)</f>
        <v>0</v>
      </c>
      <c r="E43" s="15">
        <v>1</v>
      </c>
      <c r="F43" s="18">
        <f t="shared" si="8"/>
        <v>83.129785872558173</v>
      </c>
      <c r="G43" s="18">
        <f>MAX(Assumptions!$B$21,(F43)+(H43))</f>
        <v>83.747905872558178</v>
      </c>
      <c r="H43" s="18">
        <f>(((Archetypes!$B$11*(IF(F43&lt;0,1+Assumptions!$B$32*MIN(1,ABS(F43)/ABS(Assumptions!$B$21)),MAX(0.1,1-Assumptions!$B$31*(F43/50)))))-((Archetypes!$B$11*(IF(F43&lt;0,1+Assumptions!$B$32*MIN(1,ABS(F43)/ABS(Assumptions!$B$21)),MAX(0.1,1-Assumptions!$B$31*(F43/50)))))*J43)*Archetypes!$B$15)*Assumptions!$B$22+((Archetypes!$B$11*(IF(F43&lt;0,1+Assumptions!$B$32*MIN(1,ABS(F43)/ABS(Assumptions!$B$21)),MAX(0.1,1-Assumptions!$B$31*(F43/50)))))*J43*Archetypes!$B$15*Archetypes!$B$22)*Assumptions!$B$23+(Archetypes!$B$11*(IF(F43&lt;0,1+Assumptions!$B$32*MIN(1,ABS(F43)/ABS(Assumptions!$B$21)),MAX(0.1,1-Assumptions!$B$31*(F43/50)))))*Assumptions!$B$24+-((Archetypes!$B$11*(IF(F43&lt;0,1+Assumptions!$B$32*MIN(1,ABS(F43)/ABS(Assumptions!$B$21)),MAX(0.1,1-Assumptions!$B$31*(F43/50)))))*Archetypes!$B$16)*(Assumptions!$B$27*(1+Assumptions!$B$28*Archetypes!$B$14)/(1+Assumptions!$B$29*Archetypes!$B$12))+-(Archetypes!$B$11*(IF(F43&lt;0,1+Assumptions!$B$32*MIN(1,ABS(F43)/ABS(Assumptions!$B$21)),MAX(0.1,1-Assumptions!$B$31*(F43/50)))))*Archetypes!$B$17*((Archetypes!$B$31)/100)*Assumptions!$B$30+-Assumptions!$B$25*Assumptions!$B$26)*$E43</f>
        <v>0.61812</v>
      </c>
      <c r="I43" s="18">
        <f>(Archetypes!$B$11*(IF(F43&lt;0,1+Assumptions!$B$32*MIN(1,ABS(F43)/ABS(Assumptions!$B$21)),MAX(0.1,1-Assumptions!$B$31*(F43/50)))))*$E43</f>
        <v>1</v>
      </c>
      <c r="J43" s="19">
        <f>Archetypes!$B$30</f>
        <v>2.1999999999999999E-2</v>
      </c>
      <c r="K43" s="18">
        <f t="shared" si="2"/>
        <v>2.1999999999999999E-2</v>
      </c>
      <c r="L43" s="18">
        <f>((I43-K43)*Archetypes!$B$15)+(K43*Archetypes!$B$15*Archetypes!$B$22)</f>
        <v>0.10044</v>
      </c>
      <c r="M43" s="18">
        <f>I43*Archetypes!$B$16</f>
        <v>0.75</v>
      </c>
      <c r="N43" s="18">
        <f>(IF(F43&lt;0,Assumptions!$B$8,IF(F43&lt;10,Assumptions!$B$34,IF(F43&lt;25,Assumptions!$B$35,Assumptions!$B$36))))*((((Archetypes!$B$5*Assumptions!$B$4+Archetypes!$B$6*Assumptions!$B$5)*60))+(Assumptions!$B$6*(((Archetypes!$B$11*(IF(F43&lt;0,1+Assumptions!$B$32*MIN(1,ABS(F43)/ABS(Assumptions!$B$21)),MAX(0.1,1-Assumptions!$B$31*(F43/50)))))-((Archetypes!$B$11*(IF(F43&lt;0,1+Assumptions!$B$32*MIN(1,ABS(F43)/ABS(Assumptions!$B$21)),MAX(0.1,1-Assumptions!$B$31*(F43/50)))))*J43)*Archetypes!$B$20)+((Archetypes!$B$11*(IF(F43&lt;0,1+Assumptions!$B$32*MIN(1,ABS(F43)/ABS(Assumptions!$B$21)),MAX(0.1,1-Assumptions!$B$31*(F43/50)))))*J43*Archetypes!$B$20*Archetypes!$B$21)*Assumptions!$B$18)*(IF($D43=1,1,Assumptions!$B$7)))+(((((Archetypes!$B$11*(IF(F43&lt;0,1+Assumptions!$B$32*MIN(1,ABS(F43)/ABS(Assumptions!$B$21)),MAX(0.1,1-Assumptions!$B$31*(F43/50)))))-((Archetypes!$B$11*(IF(F43&lt;0,1+Assumptions!$B$32*MIN(1,ABS(F43)/ABS(Assumptions!$B$21)),MAX(0.1,1-Assumptions!$B$31*(F43/50)))))*J43)*Archetypes!$B$15)*(Archetypes!$B$13*IF(F43&lt;0,1-Assumptions!$B$33*MIN(1,ABS(F43)/ABS(Assumptions!$B$21)),1))*5)+(((Archetypes!$B$11*(IF(F43&lt;0,1+Assumptions!$B$32*MIN(1,ABS(F43)/ABS(Assumptions!$B$21)),MAX(0.1,1-Assumptions!$B$31*(F43/50)))))*J43*Archetypes!$B$15*Archetypes!$B$22)*(Archetypes!$B$13*IF(F43&lt;0,1-Assumptions!$B$33*MIN(1,ABS(F43)/ABS(Assumptions!$B$21)),1))*5*Assumptions!$B$18))*IF(F43&lt;0,Assumptions!$B$9,1)))*$E43</f>
        <v>183.95189999999999</v>
      </c>
      <c r="O43" s="18">
        <f>(O42)+(N43)-(MAX(0,((O42)+(N43)-(P43)))*(IF(Archetypes!$B$27="",Assumptions!$B$11,Archetypes!$B$27)))</f>
        <v>765.43697609743913</v>
      </c>
      <c r="P43" s="18">
        <f>Archetypes!$B$33</f>
        <v>25.423199999999998</v>
      </c>
      <c r="Q43" s="18">
        <f t="shared" si="3"/>
        <v>740.01377609743918</v>
      </c>
      <c r="S43" s="18">
        <f t="shared" si="9"/>
        <v>76.209485289085265</v>
      </c>
      <c r="T43" s="18">
        <f>MAX(Assumptions!$B$21,(S43)+(U43))</f>
        <v>76.622208146228118</v>
      </c>
      <c r="U43" s="18">
        <f>(((Archetypes!$C$11*(IF(S43&lt;0,1+Assumptions!$B$32*MIN(1,ABS(S43)/ABS(Assumptions!$B$21)),MAX(0.1,1-Assumptions!$B$31*(S43/50)))))-((Archetypes!$C$11*(IF(S43&lt;0,1+Assumptions!$B$32*MIN(1,ABS(S43)/ABS(Assumptions!$B$21)),MAX(0.1,1-Assumptions!$B$31*(S43/50)))))*W43)*Archetypes!$C$15)*Assumptions!$B$22+((Archetypes!$C$11*(IF(S43&lt;0,1+Assumptions!$B$32*MIN(1,ABS(S43)/ABS(Assumptions!$B$21)),MAX(0.1,1-Assumptions!$B$31*(S43/50)))))*W43*Archetypes!$C$15*Archetypes!$C$22)*Assumptions!$B$23+(Archetypes!$C$11*(IF(S43&lt;0,1+Assumptions!$B$32*MIN(1,ABS(S43)/ABS(Assumptions!$B$21)),MAX(0.1,1-Assumptions!$B$31*(S43/50)))))*Assumptions!$B$24+-((Archetypes!$C$11*(IF(S43&lt;0,1+Assumptions!$B$32*MIN(1,ABS(S43)/ABS(Assumptions!$B$21)),MAX(0.1,1-Assumptions!$B$31*(S43/50)))))*Archetypes!$C$16)*(Assumptions!$B$27*(1+Assumptions!$B$28*Archetypes!$C$14)/(1+Assumptions!$B$29*Archetypes!$C$12))+-(Archetypes!$C$11*(IF(S43&lt;0,1+Assumptions!$B$32*MIN(1,ABS(S43)/ABS(Assumptions!$B$21)),MAX(0.1,1-Assumptions!$B$31*(S43/50)))))*Archetypes!$C$17*((Archetypes!$C$31)/100)*Assumptions!$B$30+-Assumptions!$B$25*Assumptions!$B$26)*$E43</f>
        <v>0.41272285714285728</v>
      </c>
      <c r="V43" s="18">
        <f>(Archetypes!$C$11*(IF(S43&lt;0,1+Assumptions!$B$32*MIN(1,ABS(S43)/ABS(Assumptions!$B$21)),MAX(0.1,1-Assumptions!$B$31*(S43/50)))))*$E43</f>
        <v>0.60000000000000009</v>
      </c>
      <c r="W43" s="19">
        <f>Archetypes!$C$30</f>
        <v>3.7999999999999999E-2</v>
      </c>
      <c r="X43" s="18">
        <f t="shared" si="4"/>
        <v>2.2800000000000004E-2</v>
      </c>
      <c r="Y43" s="18">
        <f>((V43-X43)*Archetypes!$C$15)+(X43*Archetypes!$C$15*Archetypes!$C$22)</f>
        <v>0.30342000000000002</v>
      </c>
      <c r="Z43" s="18">
        <f>V43*Archetypes!$C$16</f>
        <v>0.27000000000000007</v>
      </c>
      <c r="AA43" s="18">
        <f>(IF(S43&lt;0,Assumptions!$B$8,IF(S43&lt;10,Assumptions!$B$34,IF(S43&lt;25,Assumptions!$B$35,Assumptions!$B$36))))*((((Archetypes!$C$5*Assumptions!$B$4+Archetypes!$C$6*Assumptions!$B$5)*60))+(Assumptions!$B$6*(((Archetypes!$C$11*(IF(S43&lt;0,1+Assumptions!$B$32*MIN(1,ABS(S43)/ABS(Assumptions!$B$21)),MAX(0.1,1-Assumptions!$B$31*(S43/50)))))-((Archetypes!$C$11*(IF(S43&lt;0,1+Assumptions!$B$32*MIN(1,ABS(S43)/ABS(Assumptions!$B$21)),MAX(0.1,1-Assumptions!$B$31*(S43/50)))))*W43)*Archetypes!$C$20)+((Archetypes!$C$11*(IF(S43&lt;0,1+Assumptions!$B$32*MIN(1,ABS(S43)/ABS(Assumptions!$B$21)),MAX(0.1,1-Assumptions!$B$31*(S43/50)))))*W43*Archetypes!$C$20*Archetypes!$C$21)*Assumptions!$B$18)*(IF($D43=1,1,Assumptions!$B$7)))+(((((Archetypes!$C$11*(IF(S43&lt;0,1+Assumptions!$B$32*MIN(1,ABS(S43)/ABS(Assumptions!$B$21)),MAX(0.1,1-Assumptions!$B$31*(S43/50)))))-((Archetypes!$C$11*(IF(S43&lt;0,1+Assumptions!$B$32*MIN(1,ABS(S43)/ABS(Assumptions!$B$21)),MAX(0.1,1-Assumptions!$B$31*(S43/50)))))*W43)*Archetypes!$C$15)*(Archetypes!$C$13*IF(S43&lt;0,1-Assumptions!$B$33*MIN(1,ABS(S43)/ABS(Assumptions!$B$21)),1))*5)+(((Archetypes!$C$11*(IF(S43&lt;0,1+Assumptions!$B$32*MIN(1,ABS(S43)/ABS(Assumptions!$B$21)),MAX(0.1,1-Assumptions!$B$31*(S43/50)))))*W43*Archetypes!$C$15*Archetypes!$C$22)*(Archetypes!$C$13*IF(S43&lt;0,1-Assumptions!$B$33*MIN(1,ABS(S43)/ABS(Assumptions!$B$21)),1))*5*Assumptions!$B$18))*IF(S43&lt;0,Assumptions!$B$9,1)))*$E43</f>
        <v>709.58237999999994</v>
      </c>
      <c r="AB43" s="18">
        <f>(AB42)+(AA43)-(MAX(0,((AB42)+(AA43)-(AC43)))*(IF(Archetypes!$C$27="",Assumptions!$B$11,Archetypes!$C$27)))</f>
        <v>2232.8749164251121</v>
      </c>
      <c r="AC43" s="18">
        <f>Archetypes!$C$33</f>
        <v>90.34</v>
      </c>
      <c r="AD43" s="18">
        <f t="shared" si="5"/>
        <v>2142.534916425112</v>
      </c>
      <c r="AF43" s="18">
        <f t="shared" si="10"/>
        <v>72.449267914462141</v>
      </c>
      <c r="AG43" s="18">
        <f>MAX(Assumptions!$B$21,(AF43)+(AH43))</f>
        <v>72.869683497835283</v>
      </c>
      <c r="AH43" s="18">
        <f>(((Archetypes!$D$11*(IF(AF43&lt;0,1+Assumptions!$B$32*MIN(1,ABS(AF43)/ABS(Assumptions!$B$21)),MAX(0.1,1-Assumptions!$B$31*(AF43/50)))))-((Archetypes!$D$11*(IF(AF43&lt;0,1+Assumptions!$B$32*MIN(1,ABS(AF43)/ABS(Assumptions!$B$21)),MAX(0.1,1-Assumptions!$B$31*(AF43/50)))))*AJ43)*Archetypes!$D$15)*Assumptions!$B$22+((Archetypes!$D$11*(IF(AF43&lt;0,1+Assumptions!$B$32*MIN(1,ABS(AF43)/ABS(Assumptions!$B$21)),MAX(0.1,1-Assumptions!$B$31*(AF43/50)))))*AJ43*Archetypes!$D$15*Archetypes!$D$22)*Assumptions!$B$23+(Archetypes!$D$11*(IF(AF43&lt;0,1+Assumptions!$B$32*MIN(1,ABS(AF43)/ABS(Assumptions!$B$21)),MAX(0.1,1-Assumptions!$B$31*(AF43/50)))))*Assumptions!$B$24+-((Archetypes!$D$11*(IF(AF43&lt;0,1+Assumptions!$B$32*MIN(1,ABS(AF43)/ABS(Assumptions!$B$21)),MAX(0.1,1-Assumptions!$B$31*(AF43/50)))))*Archetypes!$D$16)*(Assumptions!$B$27*(1+Assumptions!$B$28*Archetypes!$D$14)/(1+Assumptions!$B$29*Archetypes!$D$12))+-(Archetypes!$D$11*(IF(AF43&lt;0,1+Assumptions!$B$32*MIN(1,ABS(AF43)/ABS(Assumptions!$B$21)),MAX(0.1,1-Assumptions!$B$31*(AF43/50)))))*Archetypes!$D$17*((Archetypes!$D$31)/100)*Assumptions!$B$30+-Assumptions!$B$25*Assumptions!$B$26)*$E43</f>
        <v>0.42041558337313523</v>
      </c>
      <c r="AI43" s="18">
        <f>(Archetypes!$D$11*(IF(AF43&lt;0,1+Assumptions!$B$32*MIN(1,ABS(AF43)/ABS(Assumptions!$B$21)),MAX(0.1,1-Assumptions!$B$31*(AF43/50)))))*$E43</f>
        <v>0.3918263550793627</v>
      </c>
      <c r="AJ43" s="19">
        <f>Archetypes!$D$30</f>
        <v>0.10400000000000001</v>
      </c>
      <c r="AK43" s="18">
        <f t="shared" si="6"/>
        <v>4.0749940928253722E-2</v>
      </c>
      <c r="AL43" s="18">
        <f>((AI43-AK43)*Archetypes!$D$15)+(AK43*Archetypes!$D$15*Archetypes!$D$22)</f>
        <v>0.61218949717599624</v>
      </c>
      <c r="AM43" s="18">
        <f>AI43*Archetypes!$D$16</f>
        <v>7.836527101587254E-2</v>
      </c>
      <c r="AN43" s="18">
        <f>(IF(AF43&lt;0,Assumptions!$B$8,IF(AF43&lt;10,Assumptions!$B$34,IF(AF43&lt;25,Assumptions!$B$35,Assumptions!$B$36))))*((((Archetypes!$D$5*Assumptions!$B$4+Archetypes!$D$6*Assumptions!$B$5)*60))+(Assumptions!$B$6*(((Archetypes!$D$11*(IF(AF43&lt;0,1+Assumptions!$B$32*MIN(1,ABS(AF43)/ABS(Assumptions!$B$21)),MAX(0.1,1-Assumptions!$B$31*(AF43/50)))))-((Archetypes!$D$11*(IF(AF43&lt;0,1+Assumptions!$B$32*MIN(1,ABS(AF43)/ABS(Assumptions!$B$21)),MAX(0.1,1-Assumptions!$B$31*(AF43/50)))))*AJ43)*Archetypes!$D$20)+((Archetypes!$D$11*(IF(AF43&lt;0,1+Assumptions!$B$32*MIN(1,ABS(AF43)/ABS(Assumptions!$B$21)),MAX(0.1,1-Assumptions!$B$31*(AF43/50)))))*AJ43*Archetypes!$D$20*Archetypes!$D$21)*Assumptions!$B$18)*(IF($D43=1,1,Assumptions!$B$7)))+(((((Archetypes!$D$11*(IF(AF43&lt;0,1+Assumptions!$B$32*MIN(1,ABS(AF43)/ABS(Assumptions!$B$21)),MAX(0.1,1-Assumptions!$B$31*(AF43/50)))))-((Archetypes!$D$11*(IF(AF43&lt;0,1+Assumptions!$B$32*MIN(1,ABS(AF43)/ABS(Assumptions!$B$21)),MAX(0.1,1-Assumptions!$B$31*(AF43/50)))))*AJ43)*Archetypes!$D$15)*(Archetypes!$D$13*IF(AF43&lt;0,1-Assumptions!$B$33*MIN(1,ABS(AF43)/ABS(Assumptions!$B$21)),1))*5)+(((Archetypes!$D$11*(IF(AF43&lt;0,1+Assumptions!$B$32*MIN(1,ABS(AF43)/ABS(Assumptions!$B$21)),MAX(0.1,1-Assumptions!$B$31*(AF43/50)))))*AJ43*Archetypes!$D$15*Archetypes!$D$22)*(Archetypes!$D$13*IF(AF43&lt;0,1-Assumptions!$B$33*MIN(1,ABS(AF43)/ABS(Assumptions!$B$21)),1))*5*Assumptions!$B$18))*IF(AF43&lt;0,Assumptions!$B$9,1)))*$E43</f>
        <v>1165.8699766577029</v>
      </c>
      <c r="AO43" s="18">
        <f>(AO42)+(AN43)-(MAX(0,((AO42)+(AN43)-(AP43)))*(IF(Archetypes!$D$27="",Assumptions!$B$11,Archetypes!$D$27)))</f>
        <v>2947.734509047908</v>
      </c>
      <c r="AP43" s="18">
        <f>Archetypes!$D$33</f>
        <v>201.32916645159378</v>
      </c>
      <c r="AQ43" s="18">
        <f t="shared" si="7"/>
        <v>2746.4053425963143</v>
      </c>
    </row>
    <row r="44" spans="1:43" x14ac:dyDescent="0.25">
      <c r="A44" s="14">
        <v>40</v>
      </c>
      <c r="B44" s="14">
        <f t="shared" si="0"/>
        <v>2</v>
      </c>
      <c r="C44" s="14">
        <f t="shared" si="1"/>
        <v>16</v>
      </c>
      <c r="D44" s="15">
        <f>IF(C44&lt;Assumptions!$B$10,1,0)</f>
        <v>0</v>
      </c>
      <c r="E44" s="15">
        <v>1</v>
      </c>
      <c r="F44" s="18">
        <f t="shared" si="8"/>
        <v>83.747905872558178</v>
      </c>
      <c r="G44" s="18">
        <f>MAX(Assumptions!$B$21,(F44)+(H44))</f>
        <v>84.366025872558183</v>
      </c>
      <c r="H44" s="18">
        <f>(((Archetypes!$B$11*(IF(F44&lt;0,1+Assumptions!$B$32*MIN(1,ABS(F44)/ABS(Assumptions!$B$21)),MAX(0.1,1-Assumptions!$B$31*(F44/50)))))-((Archetypes!$B$11*(IF(F44&lt;0,1+Assumptions!$B$32*MIN(1,ABS(F44)/ABS(Assumptions!$B$21)),MAX(0.1,1-Assumptions!$B$31*(F44/50)))))*J44)*Archetypes!$B$15)*Assumptions!$B$22+((Archetypes!$B$11*(IF(F44&lt;0,1+Assumptions!$B$32*MIN(1,ABS(F44)/ABS(Assumptions!$B$21)),MAX(0.1,1-Assumptions!$B$31*(F44/50)))))*J44*Archetypes!$B$15*Archetypes!$B$22)*Assumptions!$B$23+(Archetypes!$B$11*(IF(F44&lt;0,1+Assumptions!$B$32*MIN(1,ABS(F44)/ABS(Assumptions!$B$21)),MAX(0.1,1-Assumptions!$B$31*(F44/50)))))*Assumptions!$B$24+-((Archetypes!$B$11*(IF(F44&lt;0,1+Assumptions!$B$32*MIN(1,ABS(F44)/ABS(Assumptions!$B$21)),MAX(0.1,1-Assumptions!$B$31*(F44/50)))))*Archetypes!$B$16)*(Assumptions!$B$27*(1+Assumptions!$B$28*Archetypes!$B$14)/(1+Assumptions!$B$29*Archetypes!$B$12))+-(Archetypes!$B$11*(IF(F44&lt;0,1+Assumptions!$B$32*MIN(1,ABS(F44)/ABS(Assumptions!$B$21)),MAX(0.1,1-Assumptions!$B$31*(F44/50)))))*Archetypes!$B$17*((Archetypes!$B$31)/100)*Assumptions!$B$30+-Assumptions!$B$25*Assumptions!$B$26)*$E44</f>
        <v>0.61812</v>
      </c>
      <c r="I44" s="18">
        <f>(Archetypes!$B$11*(IF(F44&lt;0,1+Assumptions!$B$32*MIN(1,ABS(F44)/ABS(Assumptions!$B$21)),MAX(0.1,1-Assumptions!$B$31*(F44/50)))))*$E44</f>
        <v>1</v>
      </c>
      <c r="J44" s="19">
        <f>Archetypes!$B$30</f>
        <v>2.1999999999999999E-2</v>
      </c>
      <c r="K44" s="18">
        <f t="shared" si="2"/>
        <v>2.1999999999999999E-2</v>
      </c>
      <c r="L44" s="18">
        <f>((I44-K44)*Archetypes!$B$15)+(K44*Archetypes!$B$15*Archetypes!$B$22)</f>
        <v>0.10044</v>
      </c>
      <c r="M44" s="18">
        <f>I44*Archetypes!$B$16</f>
        <v>0.75</v>
      </c>
      <c r="N44" s="18">
        <f>(IF(F44&lt;0,Assumptions!$B$8,IF(F44&lt;10,Assumptions!$B$34,IF(F44&lt;25,Assumptions!$B$35,Assumptions!$B$36))))*((((Archetypes!$B$5*Assumptions!$B$4+Archetypes!$B$6*Assumptions!$B$5)*60))+(Assumptions!$B$6*(((Archetypes!$B$11*(IF(F44&lt;0,1+Assumptions!$B$32*MIN(1,ABS(F44)/ABS(Assumptions!$B$21)),MAX(0.1,1-Assumptions!$B$31*(F44/50)))))-((Archetypes!$B$11*(IF(F44&lt;0,1+Assumptions!$B$32*MIN(1,ABS(F44)/ABS(Assumptions!$B$21)),MAX(0.1,1-Assumptions!$B$31*(F44/50)))))*J44)*Archetypes!$B$20)+((Archetypes!$B$11*(IF(F44&lt;0,1+Assumptions!$B$32*MIN(1,ABS(F44)/ABS(Assumptions!$B$21)),MAX(0.1,1-Assumptions!$B$31*(F44/50)))))*J44*Archetypes!$B$20*Archetypes!$B$21)*Assumptions!$B$18)*(IF($D44=1,1,Assumptions!$B$7)))+(((((Archetypes!$B$11*(IF(F44&lt;0,1+Assumptions!$B$32*MIN(1,ABS(F44)/ABS(Assumptions!$B$21)),MAX(0.1,1-Assumptions!$B$31*(F44/50)))))-((Archetypes!$B$11*(IF(F44&lt;0,1+Assumptions!$B$32*MIN(1,ABS(F44)/ABS(Assumptions!$B$21)),MAX(0.1,1-Assumptions!$B$31*(F44/50)))))*J44)*Archetypes!$B$15)*(Archetypes!$B$13*IF(F44&lt;0,1-Assumptions!$B$33*MIN(1,ABS(F44)/ABS(Assumptions!$B$21)),1))*5)+(((Archetypes!$B$11*(IF(F44&lt;0,1+Assumptions!$B$32*MIN(1,ABS(F44)/ABS(Assumptions!$B$21)),MAX(0.1,1-Assumptions!$B$31*(F44/50)))))*J44*Archetypes!$B$15*Archetypes!$B$22)*(Archetypes!$B$13*IF(F44&lt;0,1-Assumptions!$B$33*MIN(1,ABS(F44)/ABS(Assumptions!$B$21)),1))*5*Assumptions!$B$18))*IF(F44&lt;0,Assumptions!$B$9,1)))*$E44</f>
        <v>183.95189999999999</v>
      </c>
      <c r="O44" s="18">
        <f>(O43)+(N44)-(MAX(0,((O43)+(N44)-(P44)))*(IF(Archetypes!$B$27="",Assumptions!$B$11,Archetypes!$B$27)))</f>
        <v>764.59574087795136</v>
      </c>
      <c r="P44" s="18">
        <f>Archetypes!$B$33</f>
        <v>25.423199999999998</v>
      </c>
      <c r="Q44" s="18">
        <f t="shared" si="3"/>
        <v>739.17254087795141</v>
      </c>
      <c r="S44" s="18">
        <f t="shared" si="9"/>
        <v>76.622208146228118</v>
      </c>
      <c r="T44" s="18">
        <f>MAX(Assumptions!$B$21,(S44)+(U44))</f>
        <v>77.034931003370971</v>
      </c>
      <c r="U44" s="18">
        <f>(((Archetypes!$C$11*(IF(S44&lt;0,1+Assumptions!$B$32*MIN(1,ABS(S44)/ABS(Assumptions!$B$21)),MAX(0.1,1-Assumptions!$B$31*(S44/50)))))-((Archetypes!$C$11*(IF(S44&lt;0,1+Assumptions!$B$32*MIN(1,ABS(S44)/ABS(Assumptions!$B$21)),MAX(0.1,1-Assumptions!$B$31*(S44/50)))))*W44)*Archetypes!$C$15)*Assumptions!$B$22+((Archetypes!$C$11*(IF(S44&lt;0,1+Assumptions!$B$32*MIN(1,ABS(S44)/ABS(Assumptions!$B$21)),MAX(0.1,1-Assumptions!$B$31*(S44/50)))))*W44*Archetypes!$C$15*Archetypes!$C$22)*Assumptions!$B$23+(Archetypes!$C$11*(IF(S44&lt;0,1+Assumptions!$B$32*MIN(1,ABS(S44)/ABS(Assumptions!$B$21)),MAX(0.1,1-Assumptions!$B$31*(S44/50)))))*Assumptions!$B$24+-((Archetypes!$C$11*(IF(S44&lt;0,1+Assumptions!$B$32*MIN(1,ABS(S44)/ABS(Assumptions!$B$21)),MAX(0.1,1-Assumptions!$B$31*(S44/50)))))*Archetypes!$C$16)*(Assumptions!$B$27*(1+Assumptions!$B$28*Archetypes!$C$14)/(1+Assumptions!$B$29*Archetypes!$C$12))+-(Archetypes!$C$11*(IF(S44&lt;0,1+Assumptions!$B$32*MIN(1,ABS(S44)/ABS(Assumptions!$B$21)),MAX(0.1,1-Assumptions!$B$31*(S44/50)))))*Archetypes!$C$17*((Archetypes!$C$31)/100)*Assumptions!$B$30+-Assumptions!$B$25*Assumptions!$B$26)*$E44</f>
        <v>0.41272285714285728</v>
      </c>
      <c r="V44" s="18">
        <f>(Archetypes!$C$11*(IF(S44&lt;0,1+Assumptions!$B$32*MIN(1,ABS(S44)/ABS(Assumptions!$B$21)),MAX(0.1,1-Assumptions!$B$31*(S44/50)))))*$E44</f>
        <v>0.60000000000000009</v>
      </c>
      <c r="W44" s="19">
        <f>Archetypes!$C$30</f>
        <v>3.7999999999999999E-2</v>
      </c>
      <c r="X44" s="18">
        <f t="shared" si="4"/>
        <v>2.2800000000000004E-2</v>
      </c>
      <c r="Y44" s="18">
        <f>((V44-X44)*Archetypes!$C$15)+(X44*Archetypes!$C$15*Archetypes!$C$22)</f>
        <v>0.30342000000000002</v>
      </c>
      <c r="Z44" s="18">
        <f>V44*Archetypes!$C$16</f>
        <v>0.27000000000000007</v>
      </c>
      <c r="AA44" s="18">
        <f>(IF(S44&lt;0,Assumptions!$B$8,IF(S44&lt;10,Assumptions!$B$34,IF(S44&lt;25,Assumptions!$B$35,Assumptions!$B$36))))*((((Archetypes!$C$5*Assumptions!$B$4+Archetypes!$C$6*Assumptions!$B$5)*60))+(Assumptions!$B$6*(((Archetypes!$C$11*(IF(S44&lt;0,1+Assumptions!$B$32*MIN(1,ABS(S44)/ABS(Assumptions!$B$21)),MAX(0.1,1-Assumptions!$B$31*(S44/50)))))-((Archetypes!$C$11*(IF(S44&lt;0,1+Assumptions!$B$32*MIN(1,ABS(S44)/ABS(Assumptions!$B$21)),MAX(0.1,1-Assumptions!$B$31*(S44/50)))))*W44)*Archetypes!$C$20)+((Archetypes!$C$11*(IF(S44&lt;0,1+Assumptions!$B$32*MIN(1,ABS(S44)/ABS(Assumptions!$B$21)),MAX(0.1,1-Assumptions!$B$31*(S44/50)))))*W44*Archetypes!$C$20*Archetypes!$C$21)*Assumptions!$B$18)*(IF($D44=1,1,Assumptions!$B$7)))+(((((Archetypes!$C$11*(IF(S44&lt;0,1+Assumptions!$B$32*MIN(1,ABS(S44)/ABS(Assumptions!$B$21)),MAX(0.1,1-Assumptions!$B$31*(S44/50)))))-((Archetypes!$C$11*(IF(S44&lt;0,1+Assumptions!$B$32*MIN(1,ABS(S44)/ABS(Assumptions!$B$21)),MAX(0.1,1-Assumptions!$B$31*(S44/50)))))*W44)*Archetypes!$C$15)*(Archetypes!$C$13*IF(S44&lt;0,1-Assumptions!$B$33*MIN(1,ABS(S44)/ABS(Assumptions!$B$21)),1))*5)+(((Archetypes!$C$11*(IF(S44&lt;0,1+Assumptions!$B$32*MIN(1,ABS(S44)/ABS(Assumptions!$B$21)),MAX(0.1,1-Assumptions!$B$31*(S44/50)))))*W44*Archetypes!$C$15*Archetypes!$C$22)*(Archetypes!$C$13*IF(S44&lt;0,1-Assumptions!$B$33*MIN(1,ABS(S44)/ABS(Assumptions!$B$21)),1))*5*Assumptions!$B$18))*IF(S44&lt;0,Assumptions!$B$9,1)))*$E44</f>
        <v>709.58237999999994</v>
      </c>
      <c r="AB44" s="18">
        <f>(AB43)+(AA44)-(MAX(0,((AB43)+(AA44)-(AC44)))*(IF(Archetypes!$C$27="",Assumptions!$B$11,Archetypes!$C$27)))</f>
        <v>2229.4279723188338</v>
      </c>
      <c r="AC44" s="18">
        <f>Archetypes!$C$33</f>
        <v>90.34</v>
      </c>
      <c r="AD44" s="18">
        <f t="shared" si="5"/>
        <v>2139.0879723188336</v>
      </c>
      <c r="AF44" s="18">
        <f t="shared" si="10"/>
        <v>72.869683497835283</v>
      </c>
      <c r="AG44" s="18">
        <f>MAX(Assumptions!$B$21,(AF44)+(AH44))</f>
        <v>73.268065806782005</v>
      </c>
      <c r="AH44" s="18">
        <f>(((Archetypes!$D$11*(IF(AF44&lt;0,1+Assumptions!$B$32*MIN(1,ABS(AF44)/ABS(Assumptions!$B$21)),MAX(0.1,1-Assumptions!$B$31*(AF44/50)))))-((Archetypes!$D$11*(IF(AF44&lt;0,1+Assumptions!$B$32*MIN(1,ABS(AF44)/ABS(Assumptions!$B$21)),MAX(0.1,1-Assumptions!$B$31*(AF44/50)))))*AJ44)*Archetypes!$D$15)*Assumptions!$B$22+((Archetypes!$D$11*(IF(AF44&lt;0,1+Assumptions!$B$32*MIN(1,ABS(AF44)/ABS(Assumptions!$B$21)),MAX(0.1,1-Assumptions!$B$31*(AF44/50)))))*AJ44*Archetypes!$D$15*Archetypes!$D$22)*Assumptions!$B$23+(Archetypes!$D$11*(IF(AF44&lt;0,1+Assumptions!$B$32*MIN(1,ABS(AF44)/ABS(Assumptions!$B$21)),MAX(0.1,1-Assumptions!$B$31*(AF44/50)))))*Assumptions!$B$24+-((Archetypes!$D$11*(IF(AF44&lt;0,1+Assumptions!$B$32*MIN(1,ABS(AF44)/ABS(Assumptions!$B$21)),MAX(0.1,1-Assumptions!$B$31*(AF44/50)))))*Archetypes!$D$16)*(Assumptions!$B$27*(1+Assumptions!$B$28*Archetypes!$D$14)/(1+Assumptions!$B$29*Archetypes!$D$12))+-(Archetypes!$D$11*(IF(AF44&lt;0,1+Assumptions!$B$32*MIN(1,ABS(AF44)/ABS(Assumptions!$B$21)),MAX(0.1,1-Assumptions!$B$31*(AF44/50)))))*Archetypes!$D$17*((Archetypes!$D$31)/100)*Assumptions!$B$30+-Assumptions!$B$25*Assumptions!$B$26)*$E44</f>
        <v>0.3983823089467291</v>
      </c>
      <c r="AI44" s="18">
        <f>(Archetypes!$D$11*(IF(AF44&lt;0,1+Assumptions!$B$32*MIN(1,ABS(AF44)/ABS(Assumptions!$B$21)),MAX(0.1,1-Assumptions!$B$31*(AF44/50)))))*$E44</f>
        <v>0.37669139407792984</v>
      </c>
      <c r="AJ44" s="19">
        <f>Archetypes!$D$30</f>
        <v>0.10400000000000001</v>
      </c>
      <c r="AK44" s="18">
        <f t="shared" si="6"/>
        <v>3.9175904984104705E-2</v>
      </c>
      <c r="AL44" s="18">
        <f>((AI44-AK44)*Archetypes!$D$15)+(AK44*Archetypes!$D$15*Archetypes!$D$22)</f>
        <v>0.58854263410735752</v>
      </c>
      <c r="AM44" s="18">
        <f>AI44*Archetypes!$D$16</f>
        <v>7.5338278815585968E-2</v>
      </c>
      <c r="AN44" s="18">
        <f>(IF(AF44&lt;0,Assumptions!$B$8,IF(AF44&lt;10,Assumptions!$B$34,IF(AF44&lt;25,Assumptions!$B$35,Assumptions!$B$36))))*((((Archetypes!$D$5*Assumptions!$B$4+Archetypes!$D$6*Assumptions!$B$5)*60))+(Assumptions!$B$6*(((Archetypes!$D$11*(IF(AF44&lt;0,1+Assumptions!$B$32*MIN(1,ABS(AF44)/ABS(Assumptions!$B$21)),MAX(0.1,1-Assumptions!$B$31*(AF44/50)))))-((Archetypes!$D$11*(IF(AF44&lt;0,1+Assumptions!$B$32*MIN(1,ABS(AF44)/ABS(Assumptions!$B$21)),MAX(0.1,1-Assumptions!$B$31*(AF44/50)))))*AJ44)*Archetypes!$D$20)+((Archetypes!$D$11*(IF(AF44&lt;0,1+Assumptions!$B$32*MIN(1,ABS(AF44)/ABS(Assumptions!$B$21)),MAX(0.1,1-Assumptions!$B$31*(AF44/50)))))*AJ44*Archetypes!$D$20*Archetypes!$D$21)*Assumptions!$B$18)*(IF($D44=1,1,Assumptions!$B$7)))+(((((Archetypes!$D$11*(IF(AF44&lt;0,1+Assumptions!$B$32*MIN(1,ABS(AF44)/ABS(Assumptions!$B$21)),MAX(0.1,1-Assumptions!$B$31*(AF44/50)))))-((Archetypes!$D$11*(IF(AF44&lt;0,1+Assumptions!$B$32*MIN(1,ABS(AF44)/ABS(Assumptions!$B$21)),MAX(0.1,1-Assumptions!$B$31*(AF44/50)))))*AJ44)*Archetypes!$D$15)*(Archetypes!$D$13*IF(AF44&lt;0,1-Assumptions!$B$33*MIN(1,ABS(AF44)/ABS(Assumptions!$B$21)),1))*5)+(((Archetypes!$D$11*(IF(AF44&lt;0,1+Assumptions!$B$32*MIN(1,ABS(AF44)/ABS(Assumptions!$B$21)),MAX(0.1,1-Assumptions!$B$31*(AF44/50)))))*AJ44*Archetypes!$D$15*Archetypes!$D$22)*(Archetypes!$D$13*IF(AF44&lt;0,1-Assumptions!$B$33*MIN(1,ABS(AF44)/ABS(Assumptions!$B$21)),1))*5*Assumptions!$B$18))*IF(AF44&lt;0,Assumptions!$B$9,1)))*$E44</f>
        <v>1162.2054620626336</v>
      </c>
      <c r="AO44" s="18">
        <f>(AO43)+(AN44)-(MAX(0,((AO43)+(AN44)-(AP44)))*(IF(Archetypes!$D$27="",Assumptions!$B$11,Archetypes!$D$27)))</f>
        <v>2937.3567297128575</v>
      </c>
      <c r="AP44" s="18">
        <f>Archetypes!$D$33</f>
        <v>201.32916645159378</v>
      </c>
      <c r="AQ44" s="18">
        <f t="shared" si="7"/>
        <v>2736.0275632612638</v>
      </c>
    </row>
    <row r="45" spans="1:43" x14ac:dyDescent="0.25">
      <c r="A45" s="14">
        <v>41</v>
      </c>
      <c r="B45" s="14">
        <f t="shared" si="0"/>
        <v>2</v>
      </c>
      <c r="C45" s="14">
        <f t="shared" si="1"/>
        <v>17</v>
      </c>
      <c r="D45" s="15">
        <f>IF(C45&lt;Assumptions!$B$10,1,0)</f>
        <v>0</v>
      </c>
      <c r="E45" s="15">
        <v>1</v>
      </c>
      <c r="F45" s="18">
        <f t="shared" si="8"/>
        <v>84.366025872558183</v>
      </c>
      <c r="G45" s="18">
        <f>MAX(Assumptions!$B$21,(F45)+(H45))</f>
        <v>84.984145872558187</v>
      </c>
      <c r="H45" s="18">
        <f>(((Archetypes!$B$11*(IF(F45&lt;0,1+Assumptions!$B$32*MIN(1,ABS(F45)/ABS(Assumptions!$B$21)),MAX(0.1,1-Assumptions!$B$31*(F45/50)))))-((Archetypes!$B$11*(IF(F45&lt;0,1+Assumptions!$B$32*MIN(1,ABS(F45)/ABS(Assumptions!$B$21)),MAX(0.1,1-Assumptions!$B$31*(F45/50)))))*J45)*Archetypes!$B$15)*Assumptions!$B$22+((Archetypes!$B$11*(IF(F45&lt;0,1+Assumptions!$B$32*MIN(1,ABS(F45)/ABS(Assumptions!$B$21)),MAX(0.1,1-Assumptions!$B$31*(F45/50)))))*J45*Archetypes!$B$15*Archetypes!$B$22)*Assumptions!$B$23+(Archetypes!$B$11*(IF(F45&lt;0,1+Assumptions!$B$32*MIN(1,ABS(F45)/ABS(Assumptions!$B$21)),MAX(0.1,1-Assumptions!$B$31*(F45/50)))))*Assumptions!$B$24+-((Archetypes!$B$11*(IF(F45&lt;0,1+Assumptions!$B$32*MIN(1,ABS(F45)/ABS(Assumptions!$B$21)),MAX(0.1,1-Assumptions!$B$31*(F45/50)))))*Archetypes!$B$16)*(Assumptions!$B$27*(1+Assumptions!$B$28*Archetypes!$B$14)/(1+Assumptions!$B$29*Archetypes!$B$12))+-(Archetypes!$B$11*(IF(F45&lt;0,1+Assumptions!$B$32*MIN(1,ABS(F45)/ABS(Assumptions!$B$21)),MAX(0.1,1-Assumptions!$B$31*(F45/50)))))*Archetypes!$B$17*((Archetypes!$B$31)/100)*Assumptions!$B$30+-Assumptions!$B$25*Assumptions!$B$26)*$E45</f>
        <v>0.61812</v>
      </c>
      <c r="I45" s="18">
        <f>(Archetypes!$B$11*(IF(F45&lt;0,1+Assumptions!$B$32*MIN(1,ABS(F45)/ABS(Assumptions!$B$21)),MAX(0.1,1-Assumptions!$B$31*(F45/50)))))*$E45</f>
        <v>1</v>
      </c>
      <c r="J45" s="19">
        <f>Archetypes!$B$30</f>
        <v>2.1999999999999999E-2</v>
      </c>
      <c r="K45" s="18">
        <f t="shared" si="2"/>
        <v>2.1999999999999999E-2</v>
      </c>
      <c r="L45" s="18">
        <f>((I45-K45)*Archetypes!$B$15)+(K45*Archetypes!$B$15*Archetypes!$B$22)</f>
        <v>0.10044</v>
      </c>
      <c r="M45" s="18">
        <f>I45*Archetypes!$B$16</f>
        <v>0.75</v>
      </c>
      <c r="N45" s="18">
        <f>(IF(F45&lt;0,Assumptions!$B$8,IF(F45&lt;10,Assumptions!$B$34,IF(F45&lt;25,Assumptions!$B$35,Assumptions!$B$36))))*((((Archetypes!$B$5*Assumptions!$B$4+Archetypes!$B$6*Assumptions!$B$5)*60))+(Assumptions!$B$6*(((Archetypes!$B$11*(IF(F45&lt;0,1+Assumptions!$B$32*MIN(1,ABS(F45)/ABS(Assumptions!$B$21)),MAX(0.1,1-Assumptions!$B$31*(F45/50)))))-((Archetypes!$B$11*(IF(F45&lt;0,1+Assumptions!$B$32*MIN(1,ABS(F45)/ABS(Assumptions!$B$21)),MAX(0.1,1-Assumptions!$B$31*(F45/50)))))*J45)*Archetypes!$B$20)+((Archetypes!$B$11*(IF(F45&lt;0,1+Assumptions!$B$32*MIN(1,ABS(F45)/ABS(Assumptions!$B$21)),MAX(0.1,1-Assumptions!$B$31*(F45/50)))))*J45*Archetypes!$B$20*Archetypes!$B$21)*Assumptions!$B$18)*(IF($D45=1,1,Assumptions!$B$7)))+(((((Archetypes!$B$11*(IF(F45&lt;0,1+Assumptions!$B$32*MIN(1,ABS(F45)/ABS(Assumptions!$B$21)),MAX(0.1,1-Assumptions!$B$31*(F45/50)))))-((Archetypes!$B$11*(IF(F45&lt;0,1+Assumptions!$B$32*MIN(1,ABS(F45)/ABS(Assumptions!$B$21)),MAX(0.1,1-Assumptions!$B$31*(F45/50)))))*J45)*Archetypes!$B$15)*(Archetypes!$B$13*IF(F45&lt;0,1-Assumptions!$B$33*MIN(1,ABS(F45)/ABS(Assumptions!$B$21)),1))*5)+(((Archetypes!$B$11*(IF(F45&lt;0,1+Assumptions!$B$32*MIN(1,ABS(F45)/ABS(Assumptions!$B$21)),MAX(0.1,1-Assumptions!$B$31*(F45/50)))))*J45*Archetypes!$B$15*Archetypes!$B$22)*(Archetypes!$B$13*IF(F45&lt;0,1-Assumptions!$B$33*MIN(1,ABS(F45)/ABS(Assumptions!$B$21)),1))*5*Assumptions!$B$18))*IF(F45&lt;0,Assumptions!$B$9,1)))*$E45</f>
        <v>183.95189999999999</v>
      </c>
      <c r="O45" s="18">
        <f>(O44)+(N45)-(MAX(0,((O44)+(N45)-(P45)))*(IF(Archetypes!$B$27="",Assumptions!$B$11,Archetypes!$B$27)))</f>
        <v>763.92275270236109</v>
      </c>
      <c r="P45" s="18">
        <f>Archetypes!$B$33</f>
        <v>25.423199999999998</v>
      </c>
      <c r="Q45" s="18">
        <f t="shared" si="3"/>
        <v>738.49955270236114</v>
      </c>
      <c r="S45" s="18">
        <f t="shared" si="9"/>
        <v>77.034931003370971</v>
      </c>
      <c r="T45" s="18">
        <f>MAX(Assumptions!$B$21,(S45)+(U45))</f>
        <v>77.447653860513824</v>
      </c>
      <c r="U45" s="18">
        <f>(((Archetypes!$C$11*(IF(S45&lt;0,1+Assumptions!$B$32*MIN(1,ABS(S45)/ABS(Assumptions!$B$21)),MAX(0.1,1-Assumptions!$B$31*(S45/50)))))-((Archetypes!$C$11*(IF(S45&lt;0,1+Assumptions!$B$32*MIN(1,ABS(S45)/ABS(Assumptions!$B$21)),MAX(0.1,1-Assumptions!$B$31*(S45/50)))))*W45)*Archetypes!$C$15)*Assumptions!$B$22+((Archetypes!$C$11*(IF(S45&lt;0,1+Assumptions!$B$32*MIN(1,ABS(S45)/ABS(Assumptions!$B$21)),MAX(0.1,1-Assumptions!$B$31*(S45/50)))))*W45*Archetypes!$C$15*Archetypes!$C$22)*Assumptions!$B$23+(Archetypes!$C$11*(IF(S45&lt;0,1+Assumptions!$B$32*MIN(1,ABS(S45)/ABS(Assumptions!$B$21)),MAX(0.1,1-Assumptions!$B$31*(S45/50)))))*Assumptions!$B$24+-((Archetypes!$C$11*(IF(S45&lt;0,1+Assumptions!$B$32*MIN(1,ABS(S45)/ABS(Assumptions!$B$21)),MAX(0.1,1-Assumptions!$B$31*(S45/50)))))*Archetypes!$C$16)*(Assumptions!$B$27*(1+Assumptions!$B$28*Archetypes!$C$14)/(1+Assumptions!$B$29*Archetypes!$C$12))+-(Archetypes!$C$11*(IF(S45&lt;0,1+Assumptions!$B$32*MIN(1,ABS(S45)/ABS(Assumptions!$B$21)),MAX(0.1,1-Assumptions!$B$31*(S45/50)))))*Archetypes!$C$17*((Archetypes!$C$31)/100)*Assumptions!$B$30+-Assumptions!$B$25*Assumptions!$B$26)*$E45</f>
        <v>0.41272285714285728</v>
      </c>
      <c r="V45" s="18">
        <f>(Archetypes!$C$11*(IF(S45&lt;0,1+Assumptions!$B$32*MIN(1,ABS(S45)/ABS(Assumptions!$B$21)),MAX(0.1,1-Assumptions!$B$31*(S45/50)))))*$E45</f>
        <v>0.60000000000000009</v>
      </c>
      <c r="W45" s="19">
        <f>Archetypes!$C$30</f>
        <v>3.7999999999999999E-2</v>
      </c>
      <c r="X45" s="18">
        <f t="shared" si="4"/>
        <v>2.2800000000000004E-2</v>
      </c>
      <c r="Y45" s="18">
        <f>((V45-X45)*Archetypes!$C$15)+(X45*Archetypes!$C$15*Archetypes!$C$22)</f>
        <v>0.30342000000000002</v>
      </c>
      <c r="Z45" s="18">
        <f>V45*Archetypes!$C$16</f>
        <v>0.27000000000000007</v>
      </c>
      <c r="AA45" s="18">
        <f>(IF(S45&lt;0,Assumptions!$B$8,IF(S45&lt;10,Assumptions!$B$34,IF(S45&lt;25,Assumptions!$B$35,Assumptions!$B$36))))*((((Archetypes!$C$5*Assumptions!$B$4+Archetypes!$C$6*Assumptions!$B$5)*60))+(Assumptions!$B$6*(((Archetypes!$C$11*(IF(S45&lt;0,1+Assumptions!$B$32*MIN(1,ABS(S45)/ABS(Assumptions!$B$21)),MAX(0.1,1-Assumptions!$B$31*(S45/50)))))-((Archetypes!$C$11*(IF(S45&lt;0,1+Assumptions!$B$32*MIN(1,ABS(S45)/ABS(Assumptions!$B$21)),MAX(0.1,1-Assumptions!$B$31*(S45/50)))))*W45)*Archetypes!$C$20)+((Archetypes!$C$11*(IF(S45&lt;0,1+Assumptions!$B$32*MIN(1,ABS(S45)/ABS(Assumptions!$B$21)),MAX(0.1,1-Assumptions!$B$31*(S45/50)))))*W45*Archetypes!$C$20*Archetypes!$C$21)*Assumptions!$B$18)*(IF($D45=1,1,Assumptions!$B$7)))+(((((Archetypes!$C$11*(IF(S45&lt;0,1+Assumptions!$B$32*MIN(1,ABS(S45)/ABS(Assumptions!$B$21)),MAX(0.1,1-Assumptions!$B$31*(S45/50)))))-((Archetypes!$C$11*(IF(S45&lt;0,1+Assumptions!$B$32*MIN(1,ABS(S45)/ABS(Assumptions!$B$21)),MAX(0.1,1-Assumptions!$B$31*(S45/50)))))*W45)*Archetypes!$C$15)*(Archetypes!$C$13*IF(S45&lt;0,1-Assumptions!$B$33*MIN(1,ABS(S45)/ABS(Assumptions!$B$21)),1))*5)+(((Archetypes!$C$11*(IF(S45&lt;0,1+Assumptions!$B$32*MIN(1,ABS(S45)/ABS(Assumptions!$B$21)),MAX(0.1,1-Assumptions!$B$31*(S45/50)))))*W45*Archetypes!$C$15*Archetypes!$C$22)*(Archetypes!$C$13*IF(S45&lt;0,1-Assumptions!$B$33*MIN(1,ABS(S45)/ABS(Assumptions!$B$21)),1))*5*Assumptions!$B$18))*IF(S45&lt;0,Assumptions!$B$9,1)))*$E45</f>
        <v>709.58237999999994</v>
      </c>
      <c r="AB45" s="18">
        <f>(AB44)+(AA45)-(MAX(0,((AB44)+(AA45)-(AC45)))*(IF(Archetypes!$C$27="",Assumptions!$B$11,Archetypes!$C$27)))</f>
        <v>2226.8427642391252</v>
      </c>
      <c r="AC45" s="18">
        <f>Archetypes!$C$33</f>
        <v>90.34</v>
      </c>
      <c r="AD45" s="18">
        <f t="shared" si="5"/>
        <v>2136.5027642391251</v>
      </c>
      <c r="AF45" s="18">
        <f t="shared" si="10"/>
        <v>73.268065806782005</v>
      </c>
      <c r="AG45" s="18">
        <f>MAX(Assumptions!$B$21,(AF45)+(AH45))</f>
        <v>73.645569568199122</v>
      </c>
      <c r="AH45" s="18">
        <f>(((Archetypes!$D$11*(IF(AF45&lt;0,1+Assumptions!$B$32*MIN(1,ABS(AF45)/ABS(Assumptions!$B$21)),MAX(0.1,1-Assumptions!$B$31*(AF45/50)))))-((Archetypes!$D$11*(IF(AF45&lt;0,1+Assumptions!$B$32*MIN(1,ABS(AF45)/ABS(Assumptions!$B$21)),MAX(0.1,1-Assumptions!$B$31*(AF45/50)))))*AJ45)*Archetypes!$D$15)*Assumptions!$B$22+((Archetypes!$D$11*(IF(AF45&lt;0,1+Assumptions!$B$32*MIN(1,ABS(AF45)/ABS(Assumptions!$B$21)),MAX(0.1,1-Assumptions!$B$31*(AF45/50)))))*AJ45*Archetypes!$D$15*Archetypes!$D$22)*Assumptions!$B$23+(Archetypes!$D$11*(IF(AF45&lt;0,1+Assumptions!$B$32*MIN(1,ABS(AF45)/ABS(Assumptions!$B$21)),MAX(0.1,1-Assumptions!$B$31*(AF45/50)))))*Assumptions!$B$24+-((Archetypes!$D$11*(IF(AF45&lt;0,1+Assumptions!$B$32*MIN(1,ABS(AF45)/ABS(Assumptions!$B$21)),MAX(0.1,1-Assumptions!$B$31*(AF45/50)))))*Archetypes!$D$16)*(Assumptions!$B$27*(1+Assumptions!$B$28*Archetypes!$D$14)/(1+Assumptions!$B$29*Archetypes!$D$12))+-(Archetypes!$D$11*(IF(AF45&lt;0,1+Assumptions!$B$32*MIN(1,ABS(AF45)/ABS(Assumptions!$B$21)),MAX(0.1,1-Assumptions!$B$31*(AF45/50)))))*Archetypes!$D$17*((Archetypes!$D$31)/100)*Assumptions!$B$30+-Assumptions!$B$25*Assumptions!$B$26)*$E45</f>
        <v>0.37750376141711095</v>
      </c>
      <c r="AI45" s="18">
        <f>(Archetypes!$D$11*(IF(AF45&lt;0,1+Assumptions!$B$32*MIN(1,ABS(AF45)/ABS(Assumptions!$B$21)),MAX(0.1,1-Assumptions!$B$31*(AF45/50)))))*$E45</f>
        <v>0.36234963095584816</v>
      </c>
      <c r="AJ45" s="19">
        <f>Archetypes!$D$30</f>
        <v>0.10400000000000001</v>
      </c>
      <c r="AK45" s="18">
        <f t="shared" si="6"/>
        <v>3.7684361619408212E-2</v>
      </c>
      <c r="AL45" s="18">
        <f>((AI45-AK45)*Archetypes!$D$15)+(AK45*Archetypes!$D$15*Archetypes!$D$22)</f>
        <v>0.56613506340541719</v>
      </c>
      <c r="AM45" s="18">
        <f>AI45*Archetypes!$D$16</f>
        <v>7.246992619116964E-2</v>
      </c>
      <c r="AN45" s="18">
        <f>(IF(AF45&lt;0,Assumptions!$B$8,IF(AF45&lt;10,Assumptions!$B$34,IF(AF45&lt;25,Assumptions!$B$35,Assumptions!$B$36))))*((((Archetypes!$D$5*Assumptions!$B$4+Archetypes!$D$6*Assumptions!$B$5)*60))+(Assumptions!$B$6*(((Archetypes!$D$11*(IF(AF45&lt;0,1+Assumptions!$B$32*MIN(1,ABS(AF45)/ABS(Assumptions!$B$21)),MAX(0.1,1-Assumptions!$B$31*(AF45/50)))))-((Archetypes!$D$11*(IF(AF45&lt;0,1+Assumptions!$B$32*MIN(1,ABS(AF45)/ABS(Assumptions!$B$21)),MAX(0.1,1-Assumptions!$B$31*(AF45/50)))))*AJ45)*Archetypes!$D$20)+((Archetypes!$D$11*(IF(AF45&lt;0,1+Assumptions!$B$32*MIN(1,ABS(AF45)/ABS(Assumptions!$B$21)),MAX(0.1,1-Assumptions!$B$31*(AF45/50)))))*AJ45*Archetypes!$D$20*Archetypes!$D$21)*Assumptions!$B$18)*(IF($D45=1,1,Assumptions!$B$7)))+(((((Archetypes!$D$11*(IF(AF45&lt;0,1+Assumptions!$B$32*MIN(1,ABS(AF45)/ABS(Assumptions!$B$21)),MAX(0.1,1-Assumptions!$B$31*(AF45/50)))))-((Archetypes!$D$11*(IF(AF45&lt;0,1+Assumptions!$B$32*MIN(1,ABS(AF45)/ABS(Assumptions!$B$21)),MAX(0.1,1-Assumptions!$B$31*(AF45/50)))))*AJ45)*Archetypes!$D$15)*(Archetypes!$D$13*IF(AF45&lt;0,1-Assumptions!$B$33*MIN(1,ABS(AF45)/ABS(Assumptions!$B$21)),1))*5)+(((Archetypes!$D$11*(IF(AF45&lt;0,1+Assumptions!$B$32*MIN(1,ABS(AF45)/ABS(Assumptions!$B$21)),MAX(0.1,1-Assumptions!$B$31*(AF45/50)))))*AJ45*Archetypes!$D$15*Archetypes!$D$22)*(Archetypes!$D$13*IF(AF45&lt;0,1-Assumptions!$B$33*MIN(1,ABS(AF45)/ABS(Assumptions!$B$21)),1))*5*Assumptions!$B$18))*IF(AF45&lt;0,Assumptions!$B$9,1)))*$E45</f>
        <v>1158.7329985211072</v>
      </c>
      <c r="AO45" s="18">
        <f>(AO44)+(AN45)-(MAX(0,((AO44)+(AN45)-(AP45)))*(IF(Archetypes!$D$27="",Assumptions!$B$11,Archetypes!$D$27)))</f>
        <v>2927.6615596992533</v>
      </c>
      <c r="AP45" s="18">
        <f>Archetypes!$D$33</f>
        <v>201.32916645159378</v>
      </c>
      <c r="AQ45" s="18">
        <f t="shared" si="7"/>
        <v>2726.3323932476596</v>
      </c>
    </row>
    <row r="46" spans="1:43" x14ac:dyDescent="0.25">
      <c r="A46" s="14">
        <v>42</v>
      </c>
      <c r="B46" s="14">
        <f t="shared" si="0"/>
        <v>2</v>
      </c>
      <c r="C46" s="14">
        <f t="shared" si="1"/>
        <v>18</v>
      </c>
      <c r="D46" s="15">
        <f>IF(C46&lt;Assumptions!$B$10,1,0)</f>
        <v>0</v>
      </c>
      <c r="E46" s="15">
        <v>1</v>
      </c>
      <c r="F46" s="18">
        <f t="shared" si="8"/>
        <v>84.984145872558187</v>
      </c>
      <c r="G46" s="18">
        <f>MAX(Assumptions!$B$21,(F46)+(H46))</f>
        <v>85.602265872558192</v>
      </c>
      <c r="H46" s="18">
        <f>(((Archetypes!$B$11*(IF(F46&lt;0,1+Assumptions!$B$32*MIN(1,ABS(F46)/ABS(Assumptions!$B$21)),MAX(0.1,1-Assumptions!$B$31*(F46/50)))))-((Archetypes!$B$11*(IF(F46&lt;0,1+Assumptions!$B$32*MIN(1,ABS(F46)/ABS(Assumptions!$B$21)),MAX(0.1,1-Assumptions!$B$31*(F46/50)))))*J46)*Archetypes!$B$15)*Assumptions!$B$22+((Archetypes!$B$11*(IF(F46&lt;0,1+Assumptions!$B$32*MIN(1,ABS(F46)/ABS(Assumptions!$B$21)),MAX(0.1,1-Assumptions!$B$31*(F46/50)))))*J46*Archetypes!$B$15*Archetypes!$B$22)*Assumptions!$B$23+(Archetypes!$B$11*(IF(F46&lt;0,1+Assumptions!$B$32*MIN(1,ABS(F46)/ABS(Assumptions!$B$21)),MAX(0.1,1-Assumptions!$B$31*(F46/50)))))*Assumptions!$B$24+-((Archetypes!$B$11*(IF(F46&lt;0,1+Assumptions!$B$32*MIN(1,ABS(F46)/ABS(Assumptions!$B$21)),MAX(0.1,1-Assumptions!$B$31*(F46/50)))))*Archetypes!$B$16)*(Assumptions!$B$27*(1+Assumptions!$B$28*Archetypes!$B$14)/(1+Assumptions!$B$29*Archetypes!$B$12))+-(Archetypes!$B$11*(IF(F46&lt;0,1+Assumptions!$B$32*MIN(1,ABS(F46)/ABS(Assumptions!$B$21)),MAX(0.1,1-Assumptions!$B$31*(F46/50)))))*Archetypes!$B$17*((Archetypes!$B$31)/100)*Assumptions!$B$30+-Assumptions!$B$25*Assumptions!$B$26)*$E46</f>
        <v>0.61812</v>
      </c>
      <c r="I46" s="18">
        <f>(Archetypes!$B$11*(IF(F46&lt;0,1+Assumptions!$B$32*MIN(1,ABS(F46)/ABS(Assumptions!$B$21)),MAX(0.1,1-Assumptions!$B$31*(F46/50)))))*$E46</f>
        <v>1</v>
      </c>
      <c r="J46" s="19">
        <f>Archetypes!$B$30</f>
        <v>2.1999999999999999E-2</v>
      </c>
      <c r="K46" s="18">
        <f t="shared" si="2"/>
        <v>2.1999999999999999E-2</v>
      </c>
      <c r="L46" s="18">
        <f>((I46-K46)*Archetypes!$B$15)+(K46*Archetypes!$B$15*Archetypes!$B$22)</f>
        <v>0.10044</v>
      </c>
      <c r="M46" s="18">
        <f>I46*Archetypes!$B$16</f>
        <v>0.75</v>
      </c>
      <c r="N46" s="18">
        <f>(IF(F46&lt;0,Assumptions!$B$8,IF(F46&lt;10,Assumptions!$B$34,IF(F46&lt;25,Assumptions!$B$35,Assumptions!$B$36))))*((((Archetypes!$B$5*Assumptions!$B$4+Archetypes!$B$6*Assumptions!$B$5)*60))+(Assumptions!$B$6*(((Archetypes!$B$11*(IF(F46&lt;0,1+Assumptions!$B$32*MIN(1,ABS(F46)/ABS(Assumptions!$B$21)),MAX(0.1,1-Assumptions!$B$31*(F46/50)))))-((Archetypes!$B$11*(IF(F46&lt;0,1+Assumptions!$B$32*MIN(1,ABS(F46)/ABS(Assumptions!$B$21)),MAX(0.1,1-Assumptions!$B$31*(F46/50)))))*J46)*Archetypes!$B$20)+((Archetypes!$B$11*(IF(F46&lt;0,1+Assumptions!$B$32*MIN(1,ABS(F46)/ABS(Assumptions!$B$21)),MAX(0.1,1-Assumptions!$B$31*(F46/50)))))*J46*Archetypes!$B$20*Archetypes!$B$21)*Assumptions!$B$18)*(IF($D46=1,1,Assumptions!$B$7)))+(((((Archetypes!$B$11*(IF(F46&lt;0,1+Assumptions!$B$32*MIN(1,ABS(F46)/ABS(Assumptions!$B$21)),MAX(0.1,1-Assumptions!$B$31*(F46/50)))))-((Archetypes!$B$11*(IF(F46&lt;0,1+Assumptions!$B$32*MIN(1,ABS(F46)/ABS(Assumptions!$B$21)),MAX(0.1,1-Assumptions!$B$31*(F46/50)))))*J46)*Archetypes!$B$15)*(Archetypes!$B$13*IF(F46&lt;0,1-Assumptions!$B$33*MIN(1,ABS(F46)/ABS(Assumptions!$B$21)),1))*5)+(((Archetypes!$B$11*(IF(F46&lt;0,1+Assumptions!$B$32*MIN(1,ABS(F46)/ABS(Assumptions!$B$21)),MAX(0.1,1-Assumptions!$B$31*(F46/50)))))*J46*Archetypes!$B$15*Archetypes!$B$22)*(Archetypes!$B$13*IF(F46&lt;0,1-Assumptions!$B$33*MIN(1,ABS(F46)/ABS(Assumptions!$B$21)),1))*5*Assumptions!$B$18))*IF(F46&lt;0,Assumptions!$B$9,1)))*$E46</f>
        <v>183.95189999999999</v>
      </c>
      <c r="O46" s="18">
        <f>(O45)+(N46)-(MAX(0,((O45)+(N46)-(P46)))*(IF(Archetypes!$B$27="",Assumptions!$B$11,Archetypes!$B$27)))</f>
        <v>763.38436216188893</v>
      </c>
      <c r="P46" s="18">
        <f>Archetypes!$B$33</f>
        <v>25.423199999999998</v>
      </c>
      <c r="Q46" s="18">
        <f t="shared" si="3"/>
        <v>737.96116216188898</v>
      </c>
      <c r="S46" s="18">
        <f t="shared" si="9"/>
        <v>77.447653860513824</v>
      </c>
      <c r="T46" s="18">
        <f>MAX(Assumptions!$B$21,(S46)+(U46))</f>
        <v>77.860376717656678</v>
      </c>
      <c r="U46" s="18">
        <f>(((Archetypes!$C$11*(IF(S46&lt;0,1+Assumptions!$B$32*MIN(1,ABS(S46)/ABS(Assumptions!$B$21)),MAX(0.1,1-Assumptions!$B$31*(S46/50)))))-((Archetypes!$C$11*(IF(S46&lt;0,1+Assumptions!$B$32*MIN(1,ABS(S46)/ABS(Assumptions!$B$21)),MAX(0.1,1-Assumptions!$B$31*(S46/50)))))*W46)*Archetypes!$C$15)*Assumptions!$B$22+((Archetypes!$C$11*(IF(S46&lt;0,1+Assumptions!$B$32*MIN(1,ABS(S46)/ABS(Assumptions!$B$21)),MAX(0.1,1-Assumptions!$B$31*(S46/50)))))*W46*Archetypes!$C$15*Archetypes!$C$22)*Assumptions!$B$23+(Archetypes!$C$11*(IF(S46&lt;0,1+Assumptions!$B$32*MIN(1,ABS(S46)/ABS(Assumptions!$B$21)),MAX(0.1,1-Assumptions!$B$31*(S46/50)))))*Assumptions!$B$24+-((Archetypes!$C$11*(IF(S46&lt;0,1+Assumptions!$B$32*MIN(1,ABS(S46)/ABS(Assumptions!$B$21)),MAX(0.1,1-Assumptions!$B$31*(S46/50)))))*Archetypes!$C$16)*(Assumptions!$B$27*(1+Assumptions!$B$28*Archetypes!$C$14)/(1+Assumptions!$B$29*Archetypes!$C$12))+-(Archetypes!$C$11*(IF(S46&lt;0,1+Assumptions!$B$32*MIN(1,ABS(S46)/ABS(Assumptions!$B$21)),MAX(0.1,1-Assumptions!$B$31*(S46/50)))))*Archetypes!$C$17*((Archetypes!$C$31)/100)*Assumptions!$B$30+-Assumptions!$B$25*Assumptions!$B$26)*$E46</f>
        <v>0.41272285714285728</v>
      </c>
      <c r="V46" s="18">
        <f>(Archetypes!$C$11*(IF(S46&lt;0,1+Assumptions!$B$32*MIN(1,ABS(S46)/ABS(Assumptions!$B$21)),MAX(0.1,1-Assumptions!$B$31*(S46/50)))))*$E46</f>
        <v>0.60000000000000009</v>
      </c>
      <c r="W46" s="19">
        <f>Archetypes!$C$30</f>
        <v>3.7999999999999999E-2</v>
      </c>
      <c r="X46" s="18">
        <f t="shared" si="4"/>
        <v>2.2800000000000004E-2</v>
      </c>
      <c r="Y46" s="18">
        <f>((V46-X46)*Archetypes!$C$15)+(X46*Archetypes!$C$15*Archetypes!$C$22)</f>
        <v>0.30342000000000002</v>
      </c>
      <c r="Z46" s="18">
        <f>V46*Archetypes!$C$16</f>
        <v>0.27000000000000007</v>
      </c>
      <c r="AA46" s="18">
        <f>(IF(S46&lt;0,Assumptions!$B$8,IF(S46&lt;10,Assumptions!$B$34,IF(S46&lt;25,Assumptions!$B$35,Assumptions!$B$36))))*((((Archetypes!$C$5*Assumptions!$B$4+Archetypes!$C$6*Assumptions!$B$5)*60))+(Assumptions!$B$6*(((Archetypes!$C$11*(IF(S46&lt;0,1+Assumptions!$B$32*MIN(1,ABS(S46)/ABS(Assumptions!$B$21)),MAX(0.1,1-Assumptions!$B$31*(S46/50)))))-((Archetypes!$C$11*(IF(S46&lt;0,1+Assumptions!$B$32*MIN(1,ABS(S46)/ABS(Assumptions!$B$21)),MAX(0.1,1-Assumptions!$B$31*(S46/50)))))*W46)*Archetypes!$C$20)+((Archetypes!$C$11*(IF(S46&lt;0,1+Assumptions!$B$32*MIN(1,ABS(S46)/ABS(Assumptions!$B$21)),MAX(0.1,1-Assumptions!$B$31*(S46/50)))))*W46*Archetypes!$C$20*Archetypes!$C$21)*Assumptions!$B$18)*(IF($D46=1,1,Assumptions!$B$7)))+(((((Archetypes!$C$11*(IF(S46&lt;0,1+Assumptions!$B$32*MIN(1,ABS(S46)/ABS(Assumptions!$B$21)),MAX(0.1,1-Assumptions!$B$31*(S46/50)))))-((Archetypes!$C$11*(IF(S46&lt;0,1+Assumptions!$B$32*MIN(1,ABS(S46)/ABS(Assumptions!$B$21)),MAX(0.1,1-Assumptions!$B$31*(S46/50)))))*W46)*Archetypes!$C$15)*(Archetypes!$C$13*IF(S46&lt;0,1-Assumptions!$B$33*MIN(1,ABS(S46)/ABS(Assumptions!$B$21)),1))*5)+(((Archetypes!$C$11*(IF(S46&lt;0,1+Assumptions!$B$32*MIN(1,ABS(S46)/ABS(Assumptions!$B$21)),MAX(0.1,1-Assumptions!$B$31*(S46/50)))))*W46*Archetypes!$C$15*Archetypes!$C$22)*(Archetypes!$C$13*IF(S46&lt;0,1-Assumptions!$B$33*MIN(1,ABS(S46)/ABS(Assumptions!$B$21)),1))*5*Assumptions!$B$18))*IF(S46&lt;0,Assumptions!$B$9,1)))*$E46</f>
        <v>709.58237999999994</v>
      </c>
      <c r="AB46" s="18">
        <f>(AB45)+(AA46)-(MAX(0,((AB45)+(AA46)-(AC46)))*(IF(Archetypes!$C$27="",Assumptions!$B$11,Archetypes!$C$27)))</f>
        <v>2224.9038581793438</v>
      </c>
      <c r="AC46" s="18">
        <f>Archetypes!$C$33</f>
        <v>90.34</v>
      </c>
      <c r="AD46" s="18">
        <f t="shared" si="5"/>
        <v>2134.5638581793437</v>
      </c>
      <c r="AF46" s="18">
        <f t="shared" si="10"/>
        <v>73.645569568199122</v>
      </c>
      <c r="AG46" s="18">
        <f>MAX(Assumptions!$B$21,(AF46)+(AH46))</f>
        <v>74.003288991686674</v>
      </c>
      <c r="AH46" s="18">
        <f>(((Archetypes!$D$11*(IF(AF46&lt;0,1+Assumptions!$B$32*MIN(1,ABS(AF46)/ABS(Assumptions!$B$21)),MAX(0.1,1-Assumptions!$B$31*(AF46/50)))))-((Archetypes!$D$11*(IF(AF46&lt;0,1+Assumptions!$B$32*MIN(1,ABS(AF46)/ABS(Assumptions!$B$21)),MAX(0.1,1-Assumptions!$B$31*(AF46/50)))))*AJ46)*Archetypes!$D$15)*Assumptions!$B$22+((Archetypes!$D$11*(IF(AF46&lt;0,1+Assumptions!$B$32*MIN(1,ABS(AF46)/ABS(Assumptions!$B$21)),MAX(0.1,1-Assumptions!$B$31*(AF46/50)))))*AJ46*Archetypes!$D$15*Archetypes!$D$22)*Assumptions!$B$23+(Archetypes!$D$11*(IF(AF46&lt;0,1+Assumptions!$B$32*MIN(1,ABS(AF46)/ABS(Assumptions!$B$21)),MAX(0.1,1-Assumptions!$B$31*(AF46/50)))))*Assumptions!$B$24+-((Archetypes!$D$11*(IF(AF46&lt;0,1+Assumptions!$B$32*MIN(1,ABS(AF46)/ABS(Assumptions!$B$21)),MAX(0.1,1-Assumptions!$B$31*(AF46/50)))))*Archetypes!$D$16)*(Assumptions!$B$27*(1+Assumptions!$B$28*Archetypes!$D$14)/(1+Assumptions!$B$29*Archetypes!$D$12))+-(Archetypes!$D$11*(IF(AF46&lt;0,1+Assumptions!$B$32*MIN(1,ABS(AF46)/ABS(Assumptions!$B$21)),MAX(0.1,1-Assumptions!$B$31*(AF46/50)))))*Archetypes!$D$17*((Archetypes!$D$31)/100)*Assumptions!$B$30+-Assumptions!$B$25*Assumptions!$B$26)*$E46</f>
        <v>0.35771942348755859</v>
      </c>
      <c r="AI46" s="18">
        <f>(Archetypes!$D$11*(IF(AF46&lt;0,1+Assumptions!$B$32*MIN(1,ABS(AF46)/ABS(Assumptions!$B$21)),MAX(0.1,1-Assumptions!$B$31*(AF46/50)))))*$E46</f>
        <v>0.34875949554483165</v>
      </c>
      <c r="AJ46" s="19">
        <f>Archetypes!$D$30</f>
        <v>0.10400000000000001</v>
      </c>
      <c r="AK46" s="18">
        <f t="shared" si="6"/>
        <v>3.6270987536662497E-2</v>
      </c>
      <c r="AL46" s="18">
        <f>((AI46-AK46)*Archetypes!$D$15)+(AK46*Archetypes!$D$15*Archetypes!$D$22)</f>
        <v>0.54490183583924501</v>
      </c>
      <c r="AM46" s="18">
        <f>AI46*Archetypes!$D$16</f>
        <v>6.9751899108966328E-2</v>
      </c>
      <c r="AN46" s="18">
        <f>(IF(AF46&lt;0,Assumptions!$B$8,IF(AF46&lt;10,Assumptions!$B$34,IF(AF46&lt;25,Assumptions!$B$35,Assumptions!$B$36))))*((((Archetypes!$D$5*Assumptions!$B$4+Archetypes!$D$6*Assumptions!$B$5)*60))+(Assumptions!$B$6*(((Archetypes!$D$11*(IF(AF46&lt;0,1+Assumptions!$B$32*MIN(1,ABS(AF46)/ABS(Assumptions!$B$21)),MAX(0.1,1-Assumptions!$B$31*(AF46/50)))))-((Archetypes!$D$11*(IF(AF46&lt;0,1+Assumptions!$B$32*MIN(1,ABS(AF46)/ABS(Assumptions!$B$21)),MAX(0.1,1-Assumptions!$B$31*(AF46/50)))))*AJ46)*Archetypes!$D$20)+((Archetypes!$D$11*(IF(AF46&lt;0,1+Assumptions!$B$32*MIN(1,ABS(AF46)/ABS(Assumptions!$B$21)),MAX(0.1,1-Assumptions!$B$31*(AF46/50)))))*AJ46*Archetypes!$D$20*Archetypes!$D$21)*Assumptions!$B$18)*(IF($D46=1,1,Assumptions!$B$7)))+(((((Archetypes!$D$11*(IF(AF46&lt;0,1+Assumptions!$B$32*MIN(1,ABS(AF46)/ABS(Assumptions!$B$21)),MAX(0.1,1-Assumptions!$B$31*(AF46/50)))))-((Archetypes!$D$11*(IF(AF46&lt;0,1+Assumptions!$B$32*MIN(1,ABS(AF46)/ABS(Assumptions!$B$21)),MAX(0.1,1-Assumptions!$B$31*(AF46/50)))))*AJ46)*Archetypes!$D$15)*(Archetypes!$D$13*IF(AF46&lt;0,1-Assumptions!$B$33*MIN(1,ABS(AF46)/ABS(Assumptions!$B$21)),1))*5)+(((Archetypes!$D$11*(IF(AF46&lt;0,1+Assumptions!$B$32*MIN(1,ABS(AF46)/ABS(Assumptions!$B$21)),MAX(0.1,1-Assumptions!$B$31*(AF46/50)))))*AJ46*Archetypes!$D$15*Archetypes!$D$22)*(Archetypes!$D$13*IF(AF46&lt;0,1-Assumptions!$B$33*MIN(1,ABS(AF46)/ABS(Assumptions!$B$21)),1))*5*Assumptions!$B$18))*IF(AF46&lt;0,Assumptions!$B$9,1)))*$E46</f>
        <v>1155.4425209600536</v>
      </c>
      <c r="AO46" s="18">
        <f>(AO45)+(AN46)-(MAX(0,((AO45)+(AN46)-(AP46)))*(IF(Archetypes!$D$27="",Assumptions!$B$11,Archetypes!$D$27)))</f>
        <v>2918.571606396993</v>
      </c>
      <c r="AP46" s="18">
        <f>Archetypes!$D$33</f>
        <v>201.32916645159378</v>
      </c>
      <c r="AQ46" s="18">
        <f t="shared" si="7"/>
        <v>2717.2424399453994</v>
      </c>
    </row>
    <row r="47" spans="1:43" x14ac:dyDescent="0.25">
      <c r="A47" s="14">
        <v>43</v>
      </c>
      <c r="B47" s="14">
        <f t="shared" si="0"/>
        <v>2</v>
      </c>
      <c r="C47" s="14">
        <f t="shared" si="1"/>
        <v>19</v>
      </c>
      <c r="D47" s="15">
        <f>IF(C47&lt;Assumptions!$B$10,1,0)</f>
        <v>0</v>
      </c>
      <c r="E47" s="15">
        <v>1</v>
      </c>
      <c r="F47" s="18">
        <f t="shared" si="8"/>
        <v>85.602265872558192</v>
      </c>
      <c r="G47" s="18">
        <f>MAX(Assumptions!$B$21,(F47)+(H47))</f>
        <v>86.220385872558197</v>
      </c>
      <c r="H47" s="18">
        <f>(((Archetypes!$B$11*(IF(F47&lt;0,1+Assumptions!$B$32*MIN(1,ABS(F47)/ABS(Assumptions!$B$21)),MAX(0.1,1-Assumptions!$B$31*(F47/50)))))-((Archetypes!$B$11*(IF(F47&lt;0,1+Assumptions!$B$32*MIN(1,ABS(F47)/ABS(Assumptions!$B$21)),MAX(0.1,1-Assumptions!$B$31*(F47/50)))))*J47)*Archetypes!$B$15)*Assumptions!$B$22+((Archetypes!$B$11*(IF(F47&lt;0,1+Assumptions!$B$32*MIN(1,ABS(F47)/ABS(Assumptions!$B$21)),MAX(0.1,1-Assumptions!$B$31*(F47/50)))))*J47*Archetypes!$B$15*Archetypes!$B$22)*Assumptions!$B$23+(Archetypes!$B$11*(IF(F47&lt;0,1+Assumptions!$B$32*MIN(1,ABS(F47)/ABS(Assumptions!$B$21)),MAX(0.1,1-Assumptions!$B$31*(F47/50)))))*Assumptions!$B$24+-((Archetypes!$B$11*(IF(F47&lt;0,1+Assumptions!$B$32*MIN(1,ABS(F47)/ABS(Assumptions!$B$21)),MAX(0.1,1-Assumptions!$B$31*(F47/50)))))*Archetypes!$B$16)*(Assumptions!$B$27*(1+Assumptions!$B$28*Archetypes!$B$14)/(1+Assumptions!$B$29*Archetypes!$B$12))+-(Archetypes!$B$11*(IF(F47&lt;0,1+Assumptions!$B$32*MIN(1,ABS(F47)/ABS(Assumptions!$B$21)),MAX(0.1,1-Assumptions!$B$31*(F47/50)))))*Archetypes!$B$17*((Archetypes!$B$31)/100)*Assumptions!$B$30+-Assumptions!$B$25*Assumptions!$B$26)*$E47</f>
        <v>0.61812</v>
      </c>
      <c r="I47" s="18">
        <f>(Archetypes!$B$11*(IF(F47&lt;0,1+Assumptions!$B$32*MIN(1,ABS(F47)/ABS(Assumptions!$B$21)),MAX(0.1,1-Assumptions!$B$31*(F47/50)))))*$E47</f>
        <v>1</v>
      </c>
      <c r="J47" s="19">
        <f>Archetypes!$B$30</f>
        <v>2.1999999999999999E-2</v>
      </c>
      <c r="K47" s="18">
        <f t="shared" si="2"/>
        <v>2.1999999999999999E-2</v>
      </c>
      <c r="L47" s="18">
        <f>((I47-K47)*Archetypes!$B$15)+(K47*Archetypes!$B$15*Archetypes!$B$22)</f>
        <v>0.10044</v>
      </c>
      <c r="M47" s="18">
        <f>I47*Archetypes!$B$16</f>
        <v>0.75</v>
      </c>
      <c r="N47" s="18">
        <f>(IF(F47&lt;0,Assumptions!$B$8,IF(F47&lt;10,Assumptions!$B$34,IF(F47&lt;25,Assumptions!$B$35,Assumptions!$B$36))))*((((Archetypes!$B$5*Assumptions!$B$4+Archetypes!$B$6*Assumptions!$B$5)*60))+(Assumptions!$B$6*(((Archetypes!$B$11*(IF(F47&lt;0,1+Assumptions!$B$32*MIN(1,ABS(F47)/ABS(Assumptions!$B$21)),MAX(0.1,1-Assumptions!$B$31*(F47/50)))))-((Archetypes!$B$11*(IF(F47&lt;0,1+Assumptions!$B$32*MIN(1,ABS(F47)/ABS(Assumptions!$B$21)),MAX(0.1,1-Assumptions!$B$31*(F47/50)))))*J47)*Archetypes!$B$20)+((Archetypes!$B$11*(IF(F47&lt;0,1+Assumptions!$B$32*MIN(1,ABS(F47)/ABS(Assumptions!$B$21)),MAX(0.1,1-Assumptions!$B$31*(F47/50)))))*J47*Archetypes!$B$20*Archetypes!$B$21)*Assumptions!$B$18)*(IF($D47=1,1,Assumptions!$B$7)))+(((((Archetypes!$B$11*(IF(F47&lt;0,1+Assumptions!$B$32*MIN(1,ABS(F47)/ABS(Assumptions!$B$21)),MAX(0.1,1-Assumptions!$B$31*(F47/50)))))-((Archetypes!$B$11*(IF(F47&lt;0,1+Assumptions!$B$32*MIN(1,ABS(F47)/ABS(Assumptions!$B$21)),MAX(0.1,1-Assumptions!$B$31*(F47/50)))))*J47)*Archetypes!$B$15)*(Archetypes!$B$13*IF(F47&lt;0,1-Assumptions!$B$33*MIN(1,ABS(F47)/ABS(Assumptions!$B$21)),1))*5)+(((Archetypes!$B$11*(IF(F47&lt;0,1+Assumptions!$B$32*MIN(1,ABS(F47)/ABS(Assumptions!$B$21)),MAX(0.1,1-Assumptions!$B$31*(F47/50)))))*J47*Archetypes!$B$15*Archetypes!$B$22)*(Archetypes!$B$13*IF(F47&lt;0,1-Assumptions!$B$33*MIN(1,ABS(F47)/ABS(Assumptions!$B$21)),1))*5*Assumptions!$B$18))*IF(F47&lt;0,Assumptions!$B$9,1)))*$E47</f>
        <v>183.95189999999999</v>
      </c>
      <c r="O47" s="18">
        <f>(O46)+(N47)-(MAX(0,((O46)+(N47)-(P47)))*(IF(Archetypes!$B$27="",Assumptions!$B$11,Archetypes!$B$27)))</f>
        <v>762.9536497295112</v>
      </c>
      <c r="P47" s="18">
        <f>Archetypes!$B$33</f>
        <v>25.423199999999998</v>
      </c>
      <c r="Q47" s="18">
        <f t="shared" si="3"/>
        <v>737.53044972951125</v>
      </c>
      <c r="S47" s="18">
        <f t="shared" si="9"/>
        <v>77.860376717656678</v>
      </c>
      <c r="T47" s="18">
        <f>MAX(Assumptions!$B$21,(S47)+(U47))</f>
        <v>78.273099574799531</v>
      </c>
      <c r="U47" s="18">
        <f>(((Archetypes!$C$11*(IF(S47&lt;0,1+Assumptions!$B$32*MIN(1,ABS(S47)/ABS(Assumptions!$B$21)),MAX(0.1,1-Assumptions!$B$31*(S47/50)))))-((Archetypes!$C$11*(IF(S47&lt;0,1+Assumptions!$B$32*MIN(1,ABS(S47)/ABS(Assumptions!$B$21)),MAX(0.1,1-Assumptions!$B$31*(S47/50)))))*W47)*Archetypes!$C$15)*Assumptions!$B$22+((Archetypes!$C$11*(IF(S47&lt;0,1+Assumptions!$B$32*MIN(1,ABS(S47)/ABS(Assumptions!$B$21)),MAX(0.1,1-Assumptions!$B$31*(S47/50)))))*W47*Archetypes!$C$15*Archetypes!$C$22)*Assumptions!$B$23+(Archetypes!$C$11*(IF(S47&lt;0,1+Assumptions!$B$32*MIN(1,ABS(S47)/ABS(Assumptions!$B$21)),MAX(0.1,1-Assumptions!$B$31*(S47/50)))))*Assumptions!$B$24+-((Archetypes!$C$11*(IF(S47&lt;0,1+Assumptions!$B$32*MIN(1,ABS(S47)/ABS(Assumptions!$B$21)),MAX(0.1,1-Assumptions!$B$31*(S47/50)))))*Archetypes!$C$16)*(Assumptions!$B$27*(1+Assumptions!$B$28*Archetypes!$C$14)/(1+Assumptions!$B$29*Archetypes!$C$12))+-(Archetypes!$C$11*(IF(S47&lt;0,1+Assumptions!$B$32*MIN(1,ABS(S47)/ABS(Assumptions!$B$21)),MAX(0.1,1-Assumptions!$B$31*(S47/50)))))*Archetypes!$C$17*((Archetypes!$C$31)/100)*Assumptions!$B$30+-Assumptions!$B$25*Assumptions!$B$26)*$E47</f>
        <v>0.41272285714285728</v>
      </c>
      <c r="V47" s="18">
        <f>(Archetypes!$C$11*(IF(S47&lt;0,1+Assumptions!$B$32*MIN(1,ABS(S47)/ABS(Assumptions!$B$21)),MAX(0.1,1-Assumptions!$B$31*(S47/50)))))*$E47</f>
        <v>0.60000000000000009</v>
      </c>
      <c r="W47" s="19">
        <f>Archetypes!$C$30</f>
        <v>3.7999999999999999E-2</v>
      </c>
      <c r="X47" s="18">
        <f t="shared" si="4"/>
        <v>2.2800000000000004E-2</v>
      </c>
      <c r="Y47" s="18">
        <f>((V47-X47)*Archetypes!$C$15)+(X47*Archetypes!$C$15*Archetypes!$C$22)</f>
        <v>0.30342000000000002</v>
      </c>
      <c r="Z47" s="18">
        <f>V47*Archetypes!$C$16</f>
        <v>0.27000000000000007</v>
      </c>
      <c r="AA47" s="18">
        <f>(IF(S47&lt;0,Assumptions!$B$8,IF(S47&lt;10,Assumptions!$B$34,IF(S47&lt;25,Assumptions!$B$35,Assumptions!$B$36))))*((((Archetypes!$C$5*Assumptions!$B$4+Archetypes!$C$6*Assumptions!$B$5)*60))+(Assumptions!$B$6*(((Archetypes!$C$11*(IF(S47&lt;0,1+Assumptions!$B$32*MIN(1,ABS(S47)/ABS(Assumptions!$B$21)),MAX(0.1,1-Assumptions!$B$31*(S47/50)))))-((Archetypes!$C$11*(IF(S47&lt;0,1+Assumptions!$B$32*MIN(1,ABS(S47)/ABS(Assumptions!$B$21)),MAX(0.1,1-Assumptions!$B$31*(S47/50)))))*W47)*Archetypes!$C$20)+((Archetypes!$C$11*(IF(S47&lt;0,1+Assumptions!$B$32*MIN(1,ABS(S47)/ABS(Assumptions!$B$21)),MAX(0.1,1-Assumptions!$B$31*(S47/50)))))*W47*Archetypes!$C$20*Archetypes!$C$21)*Assumptions!$B$18)*(IF($D47=1,1,Assumptions!$B$7)))+(((((Archetypes!$C$11*(IF(S47&lt;0,1+Assumptions!$B$32*MIN(1,ABS(S47)/ABS(Assumptions!$B$21)),MAX(0.1,1-Assumptions!$B$31*(S47/50)))))-((Archetypes!$C$11*(IF(S47&lt;0,1+Assumptions!$B$32*MIN(1,ABS(S47)/ABS(Assumptions!$B$21)),MAX(0.1,1-Assumptions!$B$31*(S47/50)))))*W47)*Archetypes!$C$15)*(Archetypes!$C$13*IF(S47&lt;0,1-Assumptions!$B$33*MIN(1,ABS(S47)/ABS(Assumptions!$B$21)),1))*5)+(((Archetypes!$C$11*(IF(S47&lt;0,1+Assumptions!$B$32*MIN(1,ABS(S47)/ABS(Assumptions!$B$21)),MAX(0.1,1-Assumptions!$B$31*(S47/50)))))*W47*Archetypes!$C$15*Archetypes!$C$22)*(Archetypes!$C$13*IF(S47&lt;0,1-Assumptions!$B$33*MIN(1,ABS(S47)/ABS(Assumptions!$B$21)),1))*5*Assumptions!$B$18))*IF(S47&lt;0,Assumptions!$B$9,1)))*$E47</f>
        <v>709.58237999999994</v>
      </c>
      <c r="AB47" s="18">
        <f>(AB46)+(AA47)-(MAX(0,((AB46)+(AA47)-(AC47)))*(IF(Archetypes!$C$27="",Assumptions!$B$11,Archetypes!$C$27)))</f>
        <v>2223.449678634508</v>
      </c>
      <c r="AC47" s="18">
        <f>Archetypes!$C$33</f>
        <v>90.34</v>
      </c>
      <c r="AD47" s="18">
        <f t="shared" si="5"/>
        <v>2133.1096786345079</v>
      </c>
      <c r="AF47" s="18">
        <f t="shared" si="10"/>
        <v>74.003288991686674</v>
      </c>
      <c r="AG47" s="18">
        <f>MAX(Assumptions!$B$21,(AF47)+(AH47))</f>
        <v>74.342260941157875</v>
      </c>
      <c r="AH47" s="18">
        <f>(((Archetypes!$D$11*(IF(AF47&lt;0,1+Assumptions!$B$32*MIN(1,ABS(AF47)/ABS(Assumptions!$B$21)),MAX(0.1,1-Assumptions!$B$31*(AF47/50)))))-((Archetypes!$D$11*(IF(AF47&lt;0,1+Assumptions!$B$32*MIN(1,ABS(AF47)/ABS(Assumptions!$B$21)),MAX(0.1,1-Assumptions!$B$31*(AF47/50)))))*AJ47)*Archetypes!$D$15)*Assumptions!$B$22+((Archetypes!$D$11*(IF(AF47&lt;0,1+Assumptions!$B$32*MIN(1,ABS(AF47)/ABS(Assumptions!$B$21)),MAX(0.1,1-Assumptions!$B$31*(AF47/50)))))*AJ47*Archetypes!$D$15*Archetypes!$D$22)*Assumptions!$B$23+(Archetypes!$D$11*(IF(AF47&lt;0,1+Assumptions!$B$32*MIN(1,ABS(AF47)/ABS(Assumptions!$B$21)),MAX(0.1,1-Assumptions!$B$31*(AF47/50)))))*Assumptions!$B$24+-((Archetypes!$D$11*(IF(AF47&lt;0,1+Assumptions!$B$32*MIN(1,ABS(AF47)/ABS(Assumptions!$B$21)),MAX(0.1,1-Assumptions!$B$31*(AF47/50)))))*Archetypes!$D$16)*(Assumptions!$B$27*(1+Assumptions!$B$28*Archetypes!$D$14)/(1+Assumptions!$B$29*Archetypes!$D$12))+-(Archetypes!$D$11*(IF(AF47&lt;0,1+Assumptions!$B$32*MIN(1,ABS(AF47)/ABS(Assumptions!$B$21)),MAX(0.1,1-Assumptions!$B$31*(AF47/50)))))*Archetypes!$D$17*((Archetypes!$D$31)/100)*Assumptions!$B$30+-Assumptions!$B$25*Assumptions!$B$26)*$E47</f>
        <v>0.33897194947120723</v>
      </c>
      <c r="AI47" s="18">
        <f>(Archetypes!$D$11*(IF(AF47&lt;0,1+Assumptions!$B$32*MIN(1,ABS(AF47)/ABS(Assumptions!$B$21)),MAX(0.1,1-Assumptions!$B$31*(AF47/50)))))*$E47</f>
        <v>0.33588159629927961</v>
      </c>
      <c r="AJ47" s="19">
        <f>Archetypes!$D$30</f>
        <v>0.10400000000000001</v>
      </c>
      <c r="AK47" s="18">
        <f t="shared" si="6"/>
        <v>3.4931686015125085E-2</v>
      </c>
      <c r="AL47" s="18">
        <f>((AI47-AK47)*Archetypes!$D$15)+(AK47*Archetypes!$D$15*Archetypes!$D$22)</f>
        <v>0.5247814060579945</v>
      </c>
      <c r="AM47" s="18">
        <f>AI47*Archetypes!$D$16</f>
        <v>6.7176319259855927E-2</v>
      </c>
      <c r="AN47" s="18">
        <f>(IF(AF47&lt;0,Assumptions!$B$8,IF(AF47&lt;10,Assumptions!$B$34,IF(AF47&lt;25,Assumptions!$B$35,Assumptions!$B$36))))*((((Archetypes!$D$5*Assumptions!$B$4+Archetypes!$D$6*Assumptions!$B$5)*60))+(Assumptions!$B$6*(((Archetypes!$D$11*(IF(AF47&lt;0,1+Assumptions!$B$32*MIN(1,ABS(AF47)/ABS(Assumptions!$B$21)),MAX(0.1,1-Assumptions!$B$31*(AF47/50)))))-((Archetypes!$D$11*(IF(AF47&lt;0,1+Assumptions!$B$32*MIN(1,ABS(AF47)/ABS(Assumptions!$B$21)),MAX(0.1,1-Assumptions!$B$31*(AF47/50)))))*AJ47)*Archetypes!$D$20)+((Archetypes!$D$11*(IF(AF47&lt;0,1+Assumptions!$B$32*MIN(1,ABS(AF47)/ABS(Assumptions!$B$21)),MAX(0.1,1-Assumptions!$B$31*(AF47/50)))))*AJ47*Archetypes!$D$20*Archetypes!$D$21)*Assumptions!$B$18)*(IF($D47=1,1,Assumptions!$B$7)))+(((((Archetypes!$D$11*(IF(AF47&lt;0,1+Assumptions!$B$32*MIN(1,ABS(AF47)/ABS(Assumptions!$B$21)),MAX(0.1,1-Assumptions!$B$31*(AF47/50)))))-((Archetypes!$D$11*(IF(AF47&lt;0,1+Assumptions!$B$32*MIN(1,ABS(AF47)/ABS(Assumptions!$B$21)),MAX(0.1,1-Assumptions!$B$31*(AF47/50)))))*AJ47)*Archetypes!$D$15)*(Archetypes!$D$13*IF(AF47&lt;0,1-Assumptions!$B$33*MIN(1,ABS(AF47)/ABS(Assumptions!$B$21)),1))*5)+(((Archetypes!$D$11*(IF(AF47&lt;0,1+Assumptions!$B$32*MIN(1,ABS(AF47)/ABS(Assumptions!$B$21)),MAX(0.1,1-Assumptions!$B$31*(AF47/50)))))*AJ47*Archetypes!$D$15*Archetypes!$D$22)*(Archetypes!$D$13*IF(AF47&lt;0,1-Assumptions!$B$33*MIN(1,ABS(AF47)/ABS(Assumptions!$B$21)),1))*5*Assumptions!$B$18))*IF(AF47&lt;0,Assumptions!$B$9,1)))*$E47</f>
        <v>1152.3244917999723</v>
      </c>
      <c r="AO47" s="18">
        <f>(AO46)+(AN47)-(MAX(0,((AO46)+(AN47)-(AP47)))*(IF(Archetypes!$D$27="",Assumptions!$B$11,Archetypes!$D$27)))</f>
        <v>2910.026018673354</v>
      </c>
      <c r="AP47" s="18">
        <f>Archetypes!$D$33</f>
        <v>201.32916645159378</v>
      </c>
      <c r="AQ47" s="18">
        <f t="shared" si="7"/>
        <v>2708.6968522217603</v>
      </c>
    </row>
    <row r="48" spans="1:43" x14ac:dyDescent="0.25">
      <c r="A48" s="14">
        <v>44</v>
      </c>
      <c r="B48" s="14">
        <f t="shared" si="0"/>
        <v>2</v>
      </c>
      <c r="C48" s="14">
        <f t="shared" si="1"/>
        <v>20</v>
      </c>
      <c r="D48" s="15">
        <f>IF(C48&lt;Assumptions!$B$10,1,0)</f>
        <v>0</v>
      </c>
      <c r="E48" s="15">
        <v>1</v>
      </c>
      <c r="F48" s="18">
        <f t="shared" si="8"/>
        <v>86.220385872558197</v>
      </c>
      <c r="G48" s="18">
        <f>MAX(Assumptions!$B$21,(F48)+(H48))</f>
        <v>86.838505872558201</v>
      </c>
      <c r="H48" s="18">
        <f>(((Archetypes!$B$11*(IF(F48&lt;0,1+Assumptions!$B$32*MIN(1,ABS(F48)/ABS(Assumptions!$B$21)),MAX(0.1,1-Assumptions!$B$31*(F48/50)))))-((Archetypes!$B$11*(IF(F48&lt;0,1+Assumptions!$B$32*MIN(1,ABS(F48)/ABS(Assumptions!$B$21)),MAX(0.1,1-Assumptions!$B$31*(F48/50)))))*J48)*Archetypes!$B$15)*Assumptions!$B$22+((Archetypes!$B$11*(IF(F48&lt;0,1+Assumptions!$B$32*MIN(1,ABS(F48)/ABS(Assumptions!$B$21)),MAX(0.1,1-Assumptions!$B$31*(F48/50)))))*J48*Archetypes!$B$15*Archetypes!$B$22)*Assumptions!$B$23+(Archetypes!$B$11*(IF(F48&lt;0,1+Assumptions!$B$32*MIN(1,ABS(F48)/ABS(Assumptions!$B$21)),MAX(0.1,1-Assumptions!$B$31*(F48/50)))))*Assumptions!$B$24+-((Archetypes!$B$11*(IF(F48&lt;0,1+Assumptions!$B$32*MIN(1,ABS(F48)/ABS(Assumptions!$B$21)),MAX(0.1,1-Assumptions!$B$31*(F48/50)))))*Archetypes!$B$16)*(Assumptions!$B$27*(1+Assumptions!$B$28*Archetypes!$B$14)/(1+Assumptions!$B$29*Archetypes!$B$12))+-(Archetypes!$B$11*(IF(F48&lt;0,1+Assumptions!$B$32*MIN(1,ABS(F48)/ABS(Assumptions!$B$21)),MAX(0.1,1-Assumptions!$B$31*(F48/50)))))*Archetypes!$B$17*((Archetypes!$B$31)/100)*Assumptions!$B$30+-Assumptions!$B$25*Assumptions!$B$26)*$E48</f>
        <v>0.61812</v>
      </c>
      <c r="I48" s="18">
        <f>(Archetypes!$B$11*(IF(F48&lt;0,1+Assumptions!$B$32*MIN(1,ABS(F48)/ABS(Assumptions!$B$21)),MAX(0.1,1-Assumptions!$B$31*(F48/50)))))*$E48</f>
        <v>1</v>
      </c>
      <c r="J48" s="19">
        <f>Archetypes!$B$30</f>
        <v>2.1999999999999999E-2</v>
      </c>
      <c r="K48" s="18">
        <f t="shared" si="2"/>
        <v>2.1999999999999999E-2</v>
      </c>
      <c r="L48" s="18">
        <f>((I48-K48)*Archetypes!$B$15)+(K48*Archetypes!$B$15*Archetypes!$B$22)</f>
        <v>0.10044</v>
      </c>
      <c r="M48" s="18">
        <f>I48*Archetypes!$B$16</f>
        <v>0.75</v>
      </c>
      <c r="N48" s="18">
        <f>(IF(F48&lt;0,Assumptions!$B$8,IF(F48&lt;10,Assumptions!$B$34,IF(F48&lt;25,Assumptions!$B$35,Assumptions!$B$36))))*((((Archetypes!$B$5*Assumptions!$B$4+Archetypes!$B$6*Assumptions!$B$5)*60))+(Assumptions!$B$6*(((Archetypes!$B$11*(IF(F48&lt;0,1+Assumptions!$B$32*MIN(1,ABS(F48)/ABS(Assumptions!$B$21)),MAX(0.1,1-Assumptions!$B$31*(F48/50)))))-((Archetypes!$B$11*(IF(F48&lt;0,1+Assumptions!$B$32*MIN(1,ABS(F48)/ABS(Assumptions!$B$21)),MAX(0.1,1-Assumptions!$B$31*(F48/50)))))*J48)*Archetypes!$B$20)+((Archetypes!$B$11*(IF(F48&lt;0,1+Assumptions!$B$32*MIN(1,ABS(F48)/ABS(Assumptions!$B$21)),MAX(0.1,1-Assumptions!$B$31*(F48/50)))))*J48*Archetypes!$B$20*Archetypes!$B$21)*Assumptions!$B$18)*(IF($D48=1,1,Assumptions!$B$7)))+(((((Archetypes!$B$11*(IF(F48&lt;0,1+Assumptions!$B$32*MIN(1,ABS(F48)/ABS(Assumptions!$B$21)),MAX(0.1,1-Assumptions!$B$31*(F48/50)))))-((Archetypes!$B$11*(IF(F48&lt;0,1+Assumptions!$B$32*MIN(1,ABS(F48)/ABS(Assumptions!$B$21)),MAX(0.1,1-Assumptions!$B$31*(F48/50)))))*J48)*Archetypes!$B$15)*(Archetypes!$B$13*IF(F48&lt;0,1-Assumptions!$B$33*MIN(1,ABS(F48)/ABS(Assumptions!$B$21)),1))*5)+(((Archetypes!$B$11*(IF(F48&lt;0,1+Assumptions!$B$32*MIN(1,ABS(F48)/ABS(Assumptions!$B$21)),MAX(0.1,1-Assumptions!$B$31*(F48/50)))))*J48*Archetypes!$B$15*Archetypes!$B$22)*(Archetypes!$B$13*IF(F48&lt;0,1-Assumptions!$B$33*MIN(1,ABS(F48)/ABS(Assumptions!$B$21)),1))*5*Assumptions!$B$18))*IF(F48&lt;0,Assumptions!$B$9,1)))*$E48</f>
        <v>183.95189999999999</v>
      </c>
      <c r="O48" s="18">
        <f>(O47)+(N48)-(MAX(0,((O47)+(N48)-(P48)))*(IF(Archetypes!$B$27="",Assumptions!$B$11,Archetypes!$B$27)))</f>
        <v>762.60907978360899</v>
      </c>
      <c r="P48" s="18">
        <f>Archetypes!$B$33</f>
        <v>25.423199999999998</v>
      </c>
      <c r="Q48" s="18">
        <f t="shared" si="3"/>
        <v>737.18587978360904</v>
      </c>
      <c r="S48" s="18">
        <f t="shared" si="9"/>
        <v>78.273099574799531</v>
      </c>
      <c r="T48" s="18">
        <f>MAX(Assumptions!$B$21,(S48)+(U48))</f>
        <v>78.685822431942384</v>
      </c>
      <c r="U48" s="18">
        <f>(((Archetypes!$C$11*(IF(S48&lt;0,1+Assumptions!$B$32*MIN(1,ABS(S48)/ABS(Assumptions!$B$21)),MAX(0.1,1-Assumptions!$B$31*(S48/50)))))-((Archetypes!$C$11*(IF(S48&lt;0,1+Assumptions!$B$32*MIN(1,ABS(S48)/ABS(Assumptions!$B$21)),MAX(0.1,1-Assumptions!$B$31*(S48/50)))))*W48)*Archetypes!$C$15)*Assumptions!$B$22+((Archetypes!$C$11*(IF(S48&lt;0,1+Assumptions!$B$32*MIN(1,ABS(S48)/ABS(Assumptions!$B$21)),MAX(0.1,1-Assumptions!$B$31*(S48/50)))))*W48*Archetypes!$C$15*Archetypes!$C$22)*Assumptions!$B$23+(Archetypes!$C$11*(IF(S48&lt;0,1+Assumptions!$B$32*MIN(1,ABS(S48)/ABS(Assumptions!$B$21)),MAX(0.1,1-Assumptions!$B$31*(S48/50)))))*Assumptions!$B$24+-((Archetypes!$C$11*(IF(S48&lt;0,1+Assumptions!$B$32*MIN(1,ABS(S48)/ABS(Assumptions!$B$21)),MAX(0.1,1-Assumptions!$B$31*(S48/50)))))*Archetypes!$C$16)*(Assumptions!$B$27*(1+Assumptions!$B$28*Archetypes!$C$14)/(1+Assumptions!$B$29*Archetypes!$C$12))+-(Archetypes!$C$11*(IF(S48&lt;0,1+Assumptions!$B$32*MIN(1,ABS(S48)/ABS(Assumptions!$B$21)),MAX(0.1,1-Assumptions!$B$31*(S48/50)))))*Archetypes!$C$17*((Archetypes!$C$31)/100)*Assumptions!$B$30+-Assumptions!$B$25*Assumptions!$B$26)*$E48</f>
        <v>0.41272285714285728</v>
      </c>
      <c r="V48" s="18">
        <f>(Archetypes!$C$11*(IF(S48&lt;0,1+Assumptions!$B$32*MIN(1,ABS(S48)/ABS(Assumptions!$B$21)),MAX(0.1,1-Assumptions!$B$31*(S48/50)))))*$E48</f>
        <v>0.60000000000000009</v>
      </c>
      <c r="W48" s="19">
        <f>Archetypes!$C$30</f>
        <v>3.7999999999999999E-2</v>
      </c>
      <c r="X48" s="18">
        <f t="shared" si="4"/>
        <v>2.2800000000000004E-2</v>
      </c>
      <c r="Y48" s="18">
        <f>((V48-X48)*Archetypes!$C$15)+(X48*Archetypes!$C$15*Archetypes!$C$22)</f>
        <v>0.30342000000000002</v>
      </c>
      <c r="Z48" s="18">
        <f>V48*Archetypes!$C$16</f>
        <v>0.27000000000000007</v>
      </c>
      <c r="AA48" s="18">
        <f>(IF(S48&lt;0,Assumptions!$B$8,IF(S48&lt;10,Assumptions!$B$34,IF(S48&lt;25,Assumptions!$B$35,Assumptions!$B$36))))*((((Archetypes!$C$5*Assumptions!$B$4+Archetypes!$C$6*Assumptions!$B$5)*60))+(Assumptions!$B$6*(((Archetypes!$C$11*(IF(S48&lt;0,1+Assumptions!$B$32*MIN(1,ABS(S48)/ABS(Assumptions!$B$21)),MAX(0.1,1-Assumptions!$B$31*(S48/50)))))-((Archetypes!$C$11*(IF(S48&lt;0,1+Assumptions!$B$32*MIN(1,ABS(S48)/ABS(Assumptions!$B$21)),MAX(0.1,1-Assumptions!$B$31*(S48/50)))))*W48)*Archetypes!$C$20)+((Archetypes!$C$11*(IF(S48&lt;0,1+Assumptions!$B$32*MIN(1,ABS(S48)/ABS(Assumptions!$B$21)),MAX(0.1,1-Assumptions!$B$31*(S48/50)))))*W48*Archetypes!$C$20*Archetypes!$C$21)*Assumptions!$B$18)*(IF($D48=1,1,Assumptions!$B$7)))+(((((Archetypes!$C$11*(IF(S48&lt;0,1+Assumptions!$B$32*MIN(1,ABS(S48)/ABS(Assumptions!$B$21)),MAX(0.1,1-Assumptions!$B$31*(S48/50)))))-((Archetypes!$C$11*(IF(S48&lt;0,1+Assumptions!$B$32*MIN(1,ABS(S48)/ABS(Assumptions!$B$21)),MAX(0.1,1-Assumptions!$B$31*(S48/50)))))*W48)*Archetypes!$C$15)*(Archetypes!$C$13*IF(S48&lt;0,1-Assumptions!$B$33*MIN(1,ABS(S48)/ABS(Assumptions!$B$21)),1))*5)+(((Archetypes!$C$11*(IF(S48&lt;0,1+Assumptions!$B$32*MIN(1,ABS(S48)/ABS(Assumptions!$B$21)),MAX(0.1,1-Assumptions!$B$31*(S48/50)))))*W48*Archetypes!$C$15*Archetypes!$C$22)*(Archetypes!$C$13*IF(S48&lt;0,1-Assumptions!$B$33*MIN(1,ABS(S48)/ABS(Assumptions!$B$21)),1))*5*Assumptions!$B$18))*IF(S48&lt;0,Assumptions!$B$9,1)))*$E48</f>
        <v>709.58237999999994</v>
      </c>
      <c r="AB48" s="18">
        <f>(AB47)+(AA48)-(MAX(0,((AB47)+(AA48)-(AC48)))*(IF(Archetypes!$C$27="",Assumptions!$B$11,Archetypes!$C$27)))</f>
        <v>2222.3590439758809</v>
      </c>
      <c r="AC48" s="18">
        <f>Archetypes!$C$33</f>
        <v>90.34</v>
      </c>
      <c r="AD48" s="18">
        <f t="shared" si="5"/>
        <v>2132.0190439758808</v>
      </c>
      <c r="AF48" s="18">
        <f t="shared" si="10"/>
        <v>74.342260941157875</v>
      </c>
      <c r="AG48" s="18">
        <f>MAX(Assumptions!$B$21,(AF48)+(AH48))</f>
        <v>74.663467940230177</v>
      </c>
      <c r="AH48" s="18">
        <f>(((Archetypes!$D$11*(IF(AF48&lt;0,1+Assumptions!$B$32*MIN(1,ABS(AF48)/ABS(Assumptions!$B$21)),MAX(0.1,1-Assumptions!$B$31*(AF48/50)))))-((Archetypes!$D$11*(IF(AF48&lt;0,1+Assumptions!$B$32*MIN(1,ABS(AF48)/ABS(Assumptions!$B$21)),MAX(0.1,1-Assumptions!$B$31*(AF48/50)))))*AJ48)*Archetypes!$D$15)*Assumptions!$B$22+((Archetypes!$D$11*(IF(AF48&lt;0,1+Assumptions!$B$32*MIN(1,ABS(AF48)/ABS(Assumptions!$B$21)),MAX(0.1,1-Assumptions!$B$31*(AF48/50)))))*AJ48*Archetypes!$D$15*Archetypes!$D$22)*Assumptions!$B$23+(Archetypes!$D$11*(IF(AF48&lt;0,1+Assumptions!$B$32*MIN(1,ABS(AF48)/ABS(Assumptions!$B$21)),MAX(0.1,1-Assumptions!$B$31*(AF48/50)))))*Assumptions!$B$24+-((Archetypes!$D$11*(IF(AF48&lt;0,1+Assumptions!$B$32*MIN(1,ABS(AF48)/ABS(Assumptions!$B$21)),MAX(0.1,1-Assumptions!$B$31*(AF48/50)))))*Archetypes!$D$16)*(Assumptions!$B$27*(1+Assumptions!$B$28*Archetypes!$D$14)/(1+Assumptions!$B$29*Archetypes!$D$12))+-(Archetypes!$D$11*(IF(AF48&lt;0,1+Assumptions!$B$32*MIN(1,ABS(AF48)/ABS(Assumptions!$B$21)),MAX(0.1,1-Assumptions!$B$31*(AF48/50)))))*Archetypes!$D$17*((Archetypes!$D$31)/100)*Assumptions!$B$30+-Assumptions!$B$25*Assumptions!$B$26)*$E48</f>
        <v>0.32120699907229677</v>
      </c>
      <c r="AI48" s="18">
        <f>(Archetypes!$D$11*(IF(AF48&lt;0,1+Assumptions!$B$32*MIN(1,ABS(AF48)/ABS(Assumptions!$B$21)),MAX(0.1,1-Assumptions!$B$31*(AF48/50)))))*$E48</f>
        <v>0.32367860611831645</v>
      </c>
      <c r="AJ48" s="19">
        <f>Archetypes!$D$30</f>
        <v>0.10400000000000001</v>
      </c>
      <c r="AK48" s="18">
        <f t="shared" si="6"/>
        <v>3.3662575036304911E-2</v>
      </c>
      <c r="AL48" s="18">
        <f>((AI48-AK48)*Archetypes!$D$15)+(AK48*Archetypes!$D$15*Archetypes!$D$22)</f>
        <v>0.50571545419925767</v>
      </c>
      <c r="AM48" s="18">
        <f>AI48*Archetypes!$D$16</f>
        <v>6.4735721223663292E-2</v>
      </c>
      <c r="AN48" s="18">
        <f>(IF(AF48&lt;0,Assumptions!$B$8,IF(AF48&lt;10,Assumptions!$B$34,IF(AF48&lt;25,Assumptions!$B$35,Assumptions!$B$36))))*((((Archetypes!$D$5*Assumptions!$B$4+Archetypes!$D$6*Assumptions!$B$5)*60))+(Assumptions!$B$6*(((Archetypes!$D$11*(IF(AF48&lt;0,1+Assumptions!$B$32*MIN(1,ABS(AF48)/ABS(Assumptions!$B$21)),MAX(0.1,1-Assumptions!$B$31*(AF48/50)))))-((Archetypes!$D$11*(IF(AF48&lt;0,1+Assumptions!$B$32*MIN(1,ABS(AF48)/ABS(Assumptions!$B$21)),MAX(0.1,1-Assumptions!$B$31*(AF48/50)))))*AJ48)*Archetypes!$D$20)+((Archetypes!$D$11*(IF(AF48&lt;0,1+Assumptions!$B$32*MIN(1,ABS(AF48)/ABS(Assumptions!$B$21)),MAX(0.1,1-Assumptions!$B$31*(AF48/50)))))*AJ48*Archetypes!$D$20*Archetypes!$D$21)*Assumptions!$B$18)*(IF($D48=1,1,Assumptions!$B$7)))+(((((Archetypes!$D$11*(IF(AF48&lt;0,1+Assumptions!$B$32*MIN(1,ABS(AF48)/ABS(Assumptions!$B$21)),MAX(0.1,1-Assumptions!$B$31*(AF48/50)))))-((Archetypes!$D$11*(IF(AF48&lt;0,1+Assumptions!$B$32*MIN(1,ABS(AF48)/ABS(Assumptions!$B$21)),MAX(0.1,1-Assumptions!$B$31*(AF48/50)))))*AJ48)*Archetypes!$D$15)*(Archetypes!$D$13*IF(AF48&lt;0,1-Assumptions!$B$33*MIN(1,ABS(AF48)/ABS(Assumptions!$B$21)),1))*5)+(((Archetypes!$D$11*(IF(AF48&lt;0,1+Assumptions!$B$32*MIN(1,ABS(AF48)/ABS(Assumptions!$B$21)),MAX(0.1,1-Assumptions!$B$31*(AF48/50)))))*AJ48*Archetypes!$D$15*Archetypes!$D$22)*(Archetypes!$D$13*IF(AF48&lt;0,1-Assumptions!$B$33*MIN(1,ABS(AF48)/ABS(Assumptions!$B$21)),1))*5*Assumptions!$B$18))*IF(AF48&lt;0,Assumptions!$B$9,1)))*$E48</f>
        <v>1149.369873309882</v>
      </c>
      <c r="AO48" s="18">
        <f>(AO47)+(AN48)-(MAX(0,((AO47)+(AN48)-(AP48)))*(IF(Archetypes!$D$27="",Assumptions!$B$11,Archetypes!$D$27)))</f>
        <v>2901.9758743237435</v>
      </c>
      <c r="AP48" s="18">
        <f>Archetypes!$D$33</f>
        <v>201.32916645159378</v>
      </c>
      <c r="AQ48" s="18">
        <f t="shared" si="7"/>
        <v>2700.6467078721498</v>
      </c>
    </row>
    <row r="49" spans="1:43" x14ac:dyDescent="0.25">
      <c r="A49" s="14">
        <v>45</v>
      </c>
      <c r="B49" s="14">
        <f t="shared" si="0"/>
        <v>2</v>
      </c>
      <c r="C49" s="14">
        <f t="shared" si="1"/>
        <v>21</v>
      </c>
      <c r="D49" s="15">
        <f>IF(C49&lt;Assumptions!$B$10,1,0)</f>
        <v>0</v>
      </c>
      <c r="E49" s="15">
        <v>1</v>
      </c>
      <c r="F49" s="18">
        <f t="shared" si="8"/>
        <v>86.838505872558201</v>
      </c>
      <c r="G49" s="18">
        <f>MAX(Assumptions!$B$21,(F49)+(H49))</f>
        <v>87.456625872558206</v>
      </c>
      <c r="H49" s="18">
        <f>(((Archetypes!$B$11*(IF(F49&lt;0,1+Assumptions!$B$32*MIN(1,ABS(F49)/ABS(Assumptions!$B$21)),MAX(0.1,1-Assumptions!$B$31*(F49/50)))))-((Archetypes!$B$11*(IF(F49&lt;0,1+Assumptions!$B$32*MIN(1,ABS(F49)/ABS(Assumptions!$B$21)),MAX(0.1,1-Assumptions!$B$31*(F49/50)))))*J49)*Archetypes!$B$15)*Assumptions!$B$22+((Archetypes!$B$11*(IF(F49&lt;0,1+Assumptions!$B$32*MIN(1,ABS(F49)/ABS(Assumptions!$B$21)),MAX(0.1,1-Assumptions!$B$31*(F49/50)))))*J49*Archetypes!$B$15*Archetypes!$B$22)*Assumptions!$B$23+(Archetypes!$B$11*(IF(F49&lt;0,1+Assumptions!$B$32*MIN(1,ABS(F49)/ABS(Assumptions!$B$21)),MAX(0.1,1-Assumptions!$B$31*(F49/50)))))*Assumptions!$B$24+-((Archetypes!$B$11*(IF(F49&lt;0,1+Assumptions!$B$32*MIN(1,ABS(F49)/ABS(Assumptions!$B$21)),MAX(0.1,1-Assumptions!$B$31*(F49/50)))))*Archetypes!$B$16)*(Assumptions!$B$27*(1+Assumptions!$B$28*Archetypes!$B$14)/(1+Assumptions!$B$29*Archetypes!$B$12))+-(Archetypes!$B$11*(IF(F49&lt;0,1+Assumptions!$B$32*MIN(1,ABS(F49)/ABS(Assumptions!$B$21)),MAX(0.1,1-Assumptions!$B$31*(F49/50)))))*Archetypes!$B$17*((Archetypes!$B$31)/100)*Assumptions!$B$30+-Assumptions!$B$25*Assumptions!$B$26)*$E49</f>
        <v>0.61812</v>
      </c>
      <c r="I49" s="18">
        <f>(Archetypes!$B$11*(IF(F49&lt;0,1+Assumptions!$B$32*MIN(1,ABS(F49)/ABS(Assumptions!$B$21)),MAX(0.1,1-Assumptions!$B$31*(F49/50)))))*$E49</f>
        <v>1</v>
      </c>
      <c r="J49" s="19">
        <f>Archetypes!$B$30</f>
        <v>2.1999999999999999E-2</v>
      </c>
      <c r="K49" s="18">
        <f t="shared" si="2"/>
        <v>2.1999999999999999E-2</v>
      </c>
      <c r="L49" s="18">
        <f>((I49-K49)*Archetypes!$B$15)+(K49*Archetypes!$B$15*Archetypes!$B$22)</f>
        <v>0.10044</v>
      </c>
      <c r="M49" s="18">
        <f>I49*Archetypes!$B$16</f>
        <v>0.75</v>
      </c>
      <c r="N49" s="18">
        <f>(IF(F49&lt;0,Assumptions!$B$8,IF(F49&lt;10,Assumptions!$B$34,IF(F49&lt;25,Assumptions!$B$35,Assumptions!$B$36))))*((((Archetypes!$B$5*Assumptions!$B$4+Archetypes!$B$6*Assumptions!$B$5)*60))+(Assumptions!$B$6*(((Archetypes!$B$11*(IF(F49&lt;0,1+Assumptions!$B$32*MIN(1,ABS(F49)/ABS(Assumptions!$B$21)),MAX(0.1,1-Assumptions!$B$31*(F49/50)))))-((Archetypes!$B$11*(IF(F49&lt;0,1+Assumptions!$B$32*MIN(1,ABS(F49)/ABS(Assumptions!$B$21)),MAX(0.1,1-Assumptions!$B$31*(F49/50)))))*J49)*Archetypes!$B$20)+((Archetypes!$B$11*(IF(F49&lt;0,1+Assumptions!$B$32*MIN(1,ABS(F49)/ABS(Assumptions!$B$21)),MAX(0.1,1-Assumptions!$B$31*(F49/50)))))*J49*Archetypes!$B$20*Archetypes!$B$21)*Assumptions!$B$18)*(IF($D49=1,1,Assumptions!$B$7)))+(((((Archetypes!$B$11*(IF(F49&lt;0,1+Assumptions!$B$32*MIN(1,ABS(F49)/ABS(Assumptions!$B$21)),MAX(0.1,1-Assumptions!$B$31*(F49/50)))))-((Archetypes!$B$11*(IF(F49&lt;0,1+Assumptions!$B$32*MIN(1,ABS(F49)/ABS(Assumptions!$B$21)),MAX(0.1,1-Assumptions!$B$31*(F49/50)))))*J49)*Archetypes!$B$15)*(Archetypes!$B$13*IF(F49&lt;0,1-Assumptions!$B$33*MIN(1,ABS(F49)/ABS(Assumptions!$B$21)),1))*5)+(((Archetypes!$B$11*(IF(F49&lt;0,1+Assumptions!$B$32*MIN(1,ABS(F49)/ABS(Assumptions!$B$21)),MAX(0.1,1-Assumptions!$B$31*(F49/50)))))*J49*Archetypes!$B$15*Archetypes!$B$22)*(Archetypes!$B$13*IF(F49&lt;0,1-Assumptions!$B$33*MIN(1,ABS(F49)/ABS(Assumptions!$B$21)),1))*5*Assumptions!$B$18))*IF(F49&lt;0,Assumptions!$B$9,1)))*$E49</f>
        <v>183.95189999999999</v>
      </c>
      <c r="O49" s="18">
        <f>(O48)+(N49)-(MAX(0,((O48)+(N49)-(P49)))*(IF(Archetypes!$B$27="",Assumptions!$B$11,Archetypes!$B$27)))</f>
        <v>762.33342382688716</v>
      </c>
      <c r="P49" s="18">
        <f>Archetypes!$B$33</f>
        <v>25.423199999999998</v>
      </c>
      <c r="Q49" s="18">
        <f t="shared" si="3"/>
        <v>736.9102238268872</v>
      </c>
      <c r="S49" s="18">
        <f t="shared" si="9"/>
        <v>78.685822431942384</v>
      </c>
      <c r="T49" s="18">
        <f>MAX(Assumptions!$B$21,(S49)+(U49))</f>
        <v>79.098545289085237</v>
      </c>
      <c r="U49" s="18">
        <f>(((Archetypes!$C$11*(IF(S49&lt;0,1+Assumptions!$B$32*MIN(1,ABS(S49)/ABS(Assumptions!$B$21)),MAX(0.1,1-Assumptions!$B$31*(S49/50)))))-((Archetypes!$C$11*(IF(S49&lt;0,1+Assumptions!$B$32*MIN(1,ABS(S49)/ABS(Assumptions!$B$21)),MAX(0.1,1-Assumptions!$B$31*(S49/50)))))*W49)*Archetypes!$C$15)*Assumptions!$B$22+((Archetypes!$C$11*(IF(S49&lt;0,1+Assumptions!$B$32*MIN(1,ABS(S49)/ABS(Assumptions!$B$21)),MAX(0.1,1-Assumptions!$B$31*(S49/50)))))*W49*Archetypes!$C$15*Archetypes!$C$22)*Assumptions!$B$23+(Archetypes!$C$11*(IF(S49&lt;0,1+Assumptions!$B$32*MIN(1,ABS(S49)/ABS(Assumptions!$B$21)),MAX(0.1,1-Assumptions!$B$31*(S49/50)))))*Assumptions!$B$24+-((Archetypes!$C$11*(IF(S49&lt;0,1+Assumptions!$B$32*MIN(1,ABS(S49)/ABS(Assumptions!$B$21)),MAX(0.1,1-Assumptions!$B$31*(S49/50)))))*Archetypes!$C$16)*(Assumptions!$B$27*(1+Assumptions!$B$28*Archetypes!$C$14)/(1+Assumptions!$B$29*Archetypes!$C$12))+-(Archetypes!$C$11*(IF(S49&lt;0,1+Assumptions!$B$32*MIN(1,ABS(S49)/ABS(Assumptions!$B$21)),MAX(0.1,1-Assumptions!$B$31*(S49/50)))))*Archetypes!$C$17*((Archetypes!$C$31)/100)*Assumptions!$B$30+-Assumptions!$B$25*Assumptions!$B$26)*$E49</f>
        <v>0.41272285714285728</v>
      </c>
      <c r="V49" s="18">
        <f>(Archetypes!$C$11*(IF(S49&lt;0,1+Assumptions!$B$32*MIN(1,ABS(S49)/ABS(Assumptions!$B$21)),MAX(0.1,1-Assumptions!$B$31*(S49/50)))))*$E49</f>
        <v>0.60000000000000009</v>
      </c>
      <c r="W49" s="19">
        <f>Archetypes!$C$30</f>
        <v>3.7999999999999999E-2</v>
      </c>
      <c r="X49" s="18">
        <f t="shared" si="4"/>
        <v>2.2800000000000004E-2</v>
      </c>
      <c r="Y49" s="18">
        <f>((V49-X49)*Archetypes!$C$15)+(X49*Archetypes!$C$15*Archetypes!$C$22)</f>
        <v>0.30342000000000002</v>
      </c>
      <c r="Z49" s="18">
        <f>V49*Archetypes!$C$16</f>
        <v>0.27000000000000007</v>
      </c>
      <c r="AA49" s="18">
        <f>(IF(S49&lt;0,Assumptions!$B$8,IF(S49&lt;10,Assumptions!$B$34,IF(S49&lt;25,Assumptions!$B$35,Assumptions!$B$36))))*((((Archetypes!$C$5*Assumptions!$B$4+Archetypes!$C$6*Assumptions!$B$5)*60))+(Assumptions!$B$6*(((Archetypes!$C$11*(IF(S49&lt;0,1+Assumptions!$B$32*MIN(1,ABS(S49)/ABS(Assumptions!$B$21)),MAX(0.1,1-Assumptions!$B$31*(S49/50)))))-((Archetypes!$C$11*(IF(S49&lt;0,1+Assumptions!$B$32*MIN(1,ABS(S49)/ABS(Assumptions!$B$21)),MAX(0.1,1-Assumptions!$B$31*(S49/50)))))*W49)*Archetypes!$C$20)+((Archetypes!$C$11*(IF(S49&lt;0,1+Assumptions!$B$32*MIN(1,ABS(S49)/ABS(Assumptions!$B$21)),MAX(0.1,1-Assumptions!$B$31*(S49/50)))))*W49*Archetypes!$C$20*Archetypes!$C$21)*Assumptions!$B$18)*(IF($D49=1,1,Assumptions!$B$7)))+(((((Archetypes!$C$11*(IF(S49&lt;0,1+Assumptions!$B$32*MIN(1,ABS(S49)/ABS(Assumptions!$B$21)),MAX(0.1,1-Assumptions!$B$31*(S49/50)))))-((Archetypes!$C$11*(IF(S49&lt;0,1+Assumptions!$B$32*MIN(1,ABS(S49)/ABS(Assumptions!$B$21)),MAX(0.1,1-Assumptions!$B$31*(S49/50)))))*W49)*Archetypes!$C$15)*(Archetypes!$C$13*IF(S49&lt;0,1-Assumptions!$B$33*MIN(1,ABS(S49)/ABS(Assumptions!$B$21)),1))*5)+(((Archetypes!$C$11*(IF(S49&lt;0,1+Assumptions!$B$32*MIN(1,ABS(S49)/ABS(Assumptions!$B$21)),MAX(0.1,1-Assumptions!$B$31*(S49/50)))))*W49*Archetypes!$C$15*Archetypes!$C$22)*(Archetypes!$C$13*IF(S49&lt;0,1-Assumptions!$B$33*MIN(1,ABS(S49)/ABS(Assumptions!$B$21)),1))*5*Assumptions!$B$18))*IF(S49&lt;0,Assumptions!$B$9,1)))*$E49</f>
        <v>709.58237999999994</v>
      </c>
      <c r="AB49" s="18">
        <f>(AB48)+(AA49)-(MAX(0,((AB48)+(AA49)-(AC49)))*(IF(Archetypes!$C$27="",Assumptions!$B$11,Archetypes!$C$27)))</f>
        <v>2221.5410679819106</v>
      </c>
      <c r="AC49" s="18">
        <f>Archetypes!$C$33</f>
        <v>90.34</v>
      </c>
      <c r="AD49" s="18">
        <f t="shared" si="5"/>
        <v>2131.2010679819105</v>
      </c>
      <c r="AF49" s="18">
        <f t="shared" si="10"/>
        <v>74.663467940230177</v>
      </c>
      <c r="AG49" s="18">
        <f>MAX(Assumptions!$B$21,(AF49)+(AH49))</f>
        <v>74.96784102010885</v>
      </c>
      <c r="AH49" s="18">
        <f>(((Archetypes!$D$11*(IF(AF49&lt;0,1+Assumptions!$B$32*MIN(1,ABS(AF49)/ABS(Assumptions!$B$21)),MAX(0.1,1-Assumptions!$B$31*(AF49/50)))))-((Archetypes!$D$11*(IF(AF49&lt;0,1+Assumptions!$B$32*MIN(1,ABS(AF49)/ABS(Assumptions!$B$21)),MAX(0.1,1-Assumptions!$B$31*(AF49/50)))))*AJ49)*Archetypes!$D$15)*Assumptions!$B$22+((Archetypes!$D$11*(IF(AF49&lt;0,1+Assumptions!$B$32*MIN(1,ABS(AF49)/ABS(Assumptions!$B$21)),MAX(0.1,1-Assumptions!$B$31*(AF49/50)))))*AJ49*Archetypes!$D$15*Archetypes!$D$22)*Assumptions!$B$23+(Archetypes!$D$11*(IF(AF49&lt;0,1+Assumptions!$B$32*MIN(1,ABS(AF49)/ABS(Assumptions!$B$21)),MAX(0.1,1-Assumptions!$B$31*(AF49/50)))))*Assumptions!$B$24+-((Archetypes!$D$11*(IF(AF49&lt;0,1+Assumptions!$B$32*MIN(1,ABS(AF49)/ABS(Assumptions!$B$21)),MAX(0.1,1-Assumptions!$B$31*(AF49/50)))))*Archetypes!$D$16)*(Assumptions!$B$27*(1+Assumptions!$B$28*Archetypes!$D$14)/(1+Assumptions!$B$29*Archetypes!$D$12))+-(Archetypes!$D$11*(IF(AF49&lt;0,1+Assumptions!$B$32*MIN(1,ABS(AF49)/ABS(Assumptions!$B$21)),MAX(0.1,1-Assumptions!$B$31*(AF49/50)))))*Archetypes!$D$17*((Archetypes!$D$31)/100)*Assumptions!$B$30+-Assumptions!$B$25*Assumptions!$B$26)*$E49</f>
        <v>0.30437307987867612</v>
      </c>
      <c r="AI49" s="18">
        <f>(Archetypes!$D$11*(IF(AF49&lt;0,1+Assumptions!$B$32*MIN(1,ABS(AF49)/ABS(Assumptions!$B$21)),MAX(0.1,1-Assumptions!$B$31*(AF49/50)))))*$E49</f>
        <v>0.31211515415171376</v>
      </c>
      <c r="AJ49" s="19">
        <f>Archetypes!$D$30</f>
        <v>0.10400000000000001</v>
      </c>
      <c r="AK49" s="18">
        <f t="shared" si="6"/>
        <v>3.2459976031778234E-2</v>
      </c>
      <c r="AL49" s="18">
        <f>((AI49-AK49)*Archetypes!$D$15)+(AK49*Archetypes!$D$15*Archetypes!$D$22)</f>
        <v>0.48764871684663758</v>
      </c>
      <c r="AM49" s="18">
        <f>AI49*Archetypes!$D$16</f>
        <v>6.2423030830342757E-2</v>
      </c>
      <c r="AN49" s="18">
        <f>(IF(AF49&lt;0,Assumptions!$B$8,IF(AF49&lt;10,Assumptions!$B$34,IF(AF49&lt;25,Assumptions!$B$35,Assumptions!$B$36))))*((((Archetypes!$D$5*Assumptions!$B$4+Archetypes!$D$6*Assumptions!$B$5)*60))+(Assumptions!$B$6*(((Archetypes!$D$11*(IF(AF49&lt;0,1+Assumptions!$B$32*MIN(1,ABS(AF49)/ABS(Assumptions!$B$21)),MAX(0.1,1-Assumptions!$B$31*(AF49/50)))))-((Archetypes!$D$11*(IF(AF49&lt;0,1+Assumptions!$B$32*MIN(1,ABS(AF49)/ABS(Assumptions!$B$21)),MAX(0.1,1-Assumptions!$B$31*(AF49/50)))))*AJ49)*Archetypes!$D$20)+((Archetypes!$D$11*(IF(AF49&lt;0,1+Assumptions!$B$32*MIN(1,ABS(AF49)/ABS(Assumptions!$B$21)),MAX(0.1,1-Assumptions!$B$31*(AF49/50)))))*AJ49*Archetypes!$D$20*Archetypes!$D$21)*Assumptions!$B$18)*(IF($D49=1,1,Assumptions!$B$7)))+(((((Archetypes!$D$11*(IF(AF49&lt;0,1+Assumptions!$B$32*MIN(1,ABS(AF49)/ABS(Assumptions!$B$21)),MAX(0.1,1-Assumptions!$B$31*(AF49/50)))))-((Archetypes!$D$11*(IF(AF49&lt;0,1+Assumptions!$B$32*MIN(1,ABS(AF49)/ABS(Assumptions!$B$21)),MAX(0.1,1-Assumptions!$B$31*(AF49/50)))))*AJ49)*Archetypes!$D$15)*(Archetypes!$D$13*IF(AF49&lt;0,1-Assumptions!$B$33*MIN(1,ABS(AF49)/ABS(Assumptions!$B$21)),1))*5)+(((Archetypes!$D$11*(IF(AF49&lt;0,1+Assumptions!$B$32*MIN(1,ABS(AF49)/ABS(Assumptions!$B$21)),MAX(0.1,1-Assumptions!$B$31*(AF49/50)))))*AJ49*Archetypes!$D$15*Archetypes!$D$22)*(Archetypes!$D$13*IF(AF49&lt;0,1-Assumptions!$B$33*MIN(1,ABS(AF49)/ABS(Assumptions!$B$21)),1))*5*Assumptions!$B$18))*IF(AF49&lt;0,Assumptions!$B$9,1)))*$E49</f>
        <v>1146.5701014110982</v>
      </c>
      <c r="AO49" s="18">
        <f>(AO48)+(AN49)-(MAX(0,((AO48)+(AN49)-(AP49)))*(IF(Archetypes!$D$27="",Assumptions!$B$11,Archetypes!$D$27)))</f>
        <v>2894.3809329498672</v>
      </c>
      <c r="AP49" s="18">
        <f>Archetypes!$D$33</f>
        <v>201.32916645159378</v>
      </c>
      <c r="AQ49" s="18">
        <f t="shared" si="7"/>
        <v>2693.0517664982735</v>
      </c>
    </row>
    <row r="50" spans="1:43" x14ac:dyDescent="0.25">
      <c r="A50" s="14">
        <v>46</v>
      </c>
      <c r="B50" s="14">
        <f t="shared" si="0"/>
        <v>2</v>
      </c>
      <c r="C50" s="14">
        <f t="shared" si="1"/>
        <v>22</v>
      </c>
      <c r="D50" s="15">
        <f>IF(C50&lt;Assumptions!$B$10,1,0)</f>
        <v>0</v>
      </c>
      <c r="E50" s="15">
        <v>1</v>
      </c>
      <c r="F50" s="18">
        <f t="shared" si="8"/>
        <v>87.456625872558206</v>
      </c>
      <c r="G50" s="18">
        <f>MAX(Assumptions!$B$21,(F50)+(H50))</f>
        <v>88.074745872558211</v>
      </c>
      <c r="H50" s="18">
        <f>(((Archetypes!$B$11*(IF(F50&lt;0,1+Assumptions!$B$32*MIN(1,ABS(F50)/ABS(Assumptions!$B$21)),MAX(0.1,1-Assumptions!$B$31*(F50/50)))))-((Archetypes!$B$11*(IF(F50&lt;0,1+Assumptions!$B$32*MIN(1,ABS(F50)/ABS(Assumptions!$B$21)),MAX(0.1,1-Assumptions!$B$31*(F50/50)))))*J50)*Archetypes!$B$15)*Assumptions!$B$22+((Archetypes!$B$11*(IF(F50&lt;0,1+Assumptions!$B$32*MIN(1,ABS(F50)/ABS(Assumptions!$B$21)),MAX(0.1,1-Assumptions!$B$31*(F50/50)))))*J50*Archetypes!$B$15*Archetypes!$B$22)*Assumptions!$B$23+(Archetypes!$B$11*(IF(F50&lt;0,1+Assumptions!$B$32*MIN(1,ABS(F50)/ABS(Assumptions!$B$21)),MAX(0.1,1-Assumptions!$B$31*(F50/50)))))*Assumptions!$B$24+-((Archetypes!$B$11*(IF(F50&lt;0,1+Assumptions!$B$32*MIN(1,ABS(F50)/ABS(Assumptions!$B$21)),MAX(0.1,1-Assumptions!$B$31*(F50/50)))))*Archetypes!$B$16)*(Assumptions!$B$27*(1+Assumptions!$B$28*Archetypes!$B$14)/(1+Assumptions!$B$29*Archetypes!$B$12))+-(Archetypes!$B$11*(IF(F50&lt;0,1+Assumptions!$B$32*MIN(1,ABS(F50)/ABS(Assumptions!$B$21)),MAX(0.1,1-Assumptions!$B$31*(F50/50)))))*Archetypes!$B$17*((Archetypes!$B$31)/100)*Assumptions!$B$30+-Assumptions!$B$25*Assumptions!$B$26)*$E50</f>
        <v>0.61812</v>
      </c>
      <c r="I50" s="18">
        <f>(Archetypes!$B$11*(IF(F50&lt;0,1+Assumptions!$B$32*MIN(1,ABS(F50)/ABS(Assumptions!$B$21)),MAX(0.1,1-Assumptions!$B$31*(F50/50)))))*$E50</f>
        <v>1</v>
      </c>
      <c r="J50" s="19">
        <f>Archetypes!$B$30</f>
        <v>2.1999999999999999E-2</v>
      </c>
      <c r="K50" s="18">
        <f t="shared" si="2"/>
        <v>2.1999999999999999E-2</v>
      </c>
      <c r="L50" s="18">
        <f>((I50-K50)*Archetypes!$B$15)+(K50*Archetypes!$B$15*Archetypes!$B$22)</f>
        <v>0.10044</v>
      </c>
      <c r="M50" s="18">
        <f>I50*Archetypes!$B$16</f>
        <v>0.75</v>
      </c>
      <c r="N50" s="18">
        <f>(IF(F50&lt;0,Assumptions!$B$8,IF(F50&lt;10,Assumptions!$B$34,IF(F50&lt;25,Assumptions!$B$35,Assumptions!$B$36))))*((((Archetypes!$B$5*Assumptions!$B$4+Archetypes!$B$6*Assumptions!$B$5)*60))+(Assumptions!$B$6*(((Archetypes!$B$11*(IF(F50&lt;0,1+Assumptions!$B$32*MIN(1,ABS(F50)/ABS(Assumptions!$B$21)),MAX(0.1,1-Assumptions!$B$31*(F50/50)))))-((Archetypes!$B$11*(IF(F50&lt;0,1+Assumptions!$B$32*MIN(1,ABS(F50)/ABS(Assumptions!$B$21)),MAX(0.1,1-Assumptions!$B$31*(F50/50)))))*J50)*Archetypes!$B$20)+((Archetypes!$B$11*(IF(F50&lt;0,1+Assumptions!$B$32*MIN(1,ABS(F50)/ABS(Assumptions!$B$21)),MAX(0.1,1-Assumptions!$B$31*(F50/50)))))*J50*Archetypes!$B$20*Archetypes!$B$21)*Assumptions!$B$18)*(IF($D50=1,1,Assumptions!$B$7)))+(((((Archetypes!$B$11*(IF(F50&lt;0,1+Assumptions!$B$32*MIN(1,ABS(F50)/ABS(Assumptions!$B$21)),MAX(0.1,1-Assumptions!$B$31*(F50/50)))))-((Archetypes!$B$11*(IF(F50&lt;0,1+Assumptions!$B$32*MIN(1,ABS(F50)/ABS(Assumptions!$B$21)),MAX(0.1,1-Assumptions!$B$31*(F50/50)))))*J50)*Archetypes!$B$15)*(Archetypes!$B$13*IF(F50&lt;0,1-Assumptions!$B$33*MIN(1,ABS(F50)/ABS(Assumptions!$B$21)),1))*5)+(((Archetypes!$B$11*(IF(F50&lt;0,1+Assumptions!$B$32*MIN(1,ABS(F50)/ABS(Assumptions!$B$21)),MAX(0.1,1-Assumptions!$B$31*(F50/50)))))*J50*Archetypes!$B$15*Archetypes!$B$22)*(Archetypes!$B$13*IF(F50&lt;0,1-Assumptions!$B$33*MIN(1,ABS(F50)/ABS(Assumptions!$B$21)),1))*5*Assumptions!$B$18))*IF(F50&lt;0,Assumptions!$B$9,1)))*$E50</f>
        <v>183.95189999999999</v>
      </c>
      <c r="O50" s="18">
        <f>(O49)+(N50)-(MAX(0,((O49)+(N50)-(P50)))*(IF(Archetypes!$B$27="",Assumptions!$B$11,Archetypes!$B$27)))</f>
        <v>762.11289906150978</v>
      </c>
      <c r="P50" s="18">
        <f>Archetypes!$B$33</f>
        <v>25.423199999999998</v>
      </c>
      <c r="Q50" s="18">
        <f t="shared" si="3"/>
        <v>736.68969906150983</v>
      </c>
      <c r="S50" s="18">
        <f t="shared" si="9"/>
        <v>79.098545289085237</v>
      </c>
      <c r="T50" s="18">
        <f>MAX(Assumptions!$B$21,(S50)+(U50))</f>
        <v>79.51126814622809</v>
      </c>
      <c r="U50" s="18">
        <f>(((Archetypes!$C$11*(IF(S50&lt;0,1+Assumptions!$B$32*MIN(1,ABS(S50)/ABS(Assumptions!$B$21)),MAX(0.1,1-Assumptions!$B$31*(S50/50)))))-((Archetypes!$C$11*(IF(S50&lt;0,1+Assumptions!$B$32*MIN(1,ABS(S50)/ABS(Assumptions!$B$21)),MAX(0.1,1-Assumptions!$B$31*(S50/50)))))*W50)*Archetypes!$C$15)*Assumptions!$B$22+((Archetypes!$C$11*(IF(S50&lt;0,1+Assumptions!$B$32*MIN(1,ABS(S50)/ABS(Assumptions!$B$21)),MAX(0.1,1-Assumptions!$B$31*(S50/50)))))*W50*Archetypes!$C$15*Archetypes!$C$22)*Assumptions!$B$23+(Archetypes!$C$11*(IF(S50&lt;0,1+Assumptions!$B$32*MIN(1,ABS(S50)/ABS(Assumptions!$B$21)),MAX(0.1,1-Assumptions!$B$31*(S50/50)))))*Assumptions!$B$24+-((Archetypes!$C$11*(IF(S50&lt;0,1+Assumptions!$B$32*MIN(1,ABS(S50)/ABS(Assumptions!$B$21)),MAX(0.1,1-Assumptions!$B$31*(S50/50)))))*Archetypes!$C$16)*(Assumptions!$B$27*(1+Assumptions!$B$28*Archetypes!$C$14)/(1+Assumptions!$B$29*Archetypes!$C$12))+-(Archetypes!$C$11*(IF(S50&lt;0,1+Assumptions!$B$32*MIN(1,ABS(S50)/ABS(Assumptions!$B$21)),MAX(0.1,1-Assumptions!$B$31*(S50/50)))))*Archetypes!$C$17*((Archetypes!$C$31)/100)*Assumptions!$B$30+-Assumptions!$B$25*Assumptions!$B$26)*$E50</f>
        <v>0.41272285714285728</v>
      </c>
      <c r="V50" s="18">
        <f>(Archetypes!$C$11*(IF(S50&lt;0,1+Assumptions!$B$32*MIN(1,ABS(S50)/ABS(Assumptions!$B$21)),MAX(0.1,1-Assumptions!$B$31*(S50/50)))))*$E50</f>
        <v>0.60000000000000009</v>
      </c>
      <c r="W50" s="19">
        <f>Archetypes!$C$30</f>
        <v>3.7999999999999999E-2</v>
      </c>
      <c r="X50" s="18">
        <f t="shared" si="4"/>
        <v>2.2800000000000004E-2</v>
      </c>
      <c r="Y50" s="18">
        <f>((V50-X50)*Archetypes!$C$15)+(X50*Archetypes!$C$15*Archetypes!$C$22)</f>
        <v>0.30342000000000002</v>
      </c>
      <c r="Z50" s="18">
        <f>V50*Archetypes!$C$16</f>
        <v>0.27000000000000007</v>
      </c>
      <c r="AA50" s="18">
        <f>(IF(S50&lt;0,Assumptions!$B$8,IF(S50&lt;10,Assumptions!$B$34,IF(S50&lt;25,Assumptions!$B$35,Assumptions!$B$36))))*((((Archetypes!$C$5*Assumptions!$B$4+Archetypes!$C$6*Assumptions!$B$5)*60))+(Assumptions!$B$6*(((Archetypes!$C$11*(IF(S50&lt;0,1+Assumptions!$B$32*MIN(1,ABS(S50)/ABS(Assumptions!$B$21)),MAX(0.1,1-Assumptions!$B$31*(S50/50)))))-((Archetypes!$C$11*(IF(S50&lt;0,1+Assumptions!$B$32*MIN(1,ABS(S50)/ABS(Assumptions!$B$21)),MAX(0.1,1-Assumptions!$B$31*(S50/50)))))*W50)*Archetypes!$C$20)+((Archetypes!$C$11*(IF(S50&lt;0,1+Assumptions!$B$32*MIN(1,ABS(S50)/ABS(Assumptions!$B$21)),MAX(0.1,1-Assumptions!$B$31*(S50/50)))))*W50*Archetypes!$C$20*Archetypes!$C$21)*Assumptions!$B$18)*(IF($D50=1,1,Assumptions!$B$7)))+(((((Archetypes!$C$11*(IF(S50&lt;0,1+Assumptions!$B$32*MIN(1,ABS(S50)/ABS(Assumptions!$B$21)),MAX(0.1,1-Assumptions!$B$31*(S50/50)))))-((Archetypes!$C$11*(IF(S50&lt;0,1+Assumptions!$B$32*MIN(1,ABS(S50)/ABS(Assumptions!$B$21)),MAX(0.1,1-Assumptions!$B$31*(S50/50)))))*W50)*Archetypes!$C$15)*(Archetypes!$C$13*IF(S50&lt;0,1-Assumptions!$B$33*MIN(1,ABS(S50)/ABS(Assumptions!$B$21)),1))*5)+(((Archetypes!$C$11*(IF(S50&lt;0,1+Assumptions!$B$32*MIN(1,ABS(S50)/ABS(Assumptions!$B$21)),MAX(0.1,1-Assumptions!$B$31*(S50/50)))))*W50*Archetypes!$C$15*Archetypes!$C$22)*(Archetypes!$C$13*IF(S50&lt;0,1-Assumptions!$B$33*MIN(1,ABS(S50)/ABS(Assumptions!$B$21)),1))*5*Assumptions!$B$18))*IF(S50&lt;0,Assumptions!$B$9,1)))*$E50</f>
        <v>709.58237999999994</v>
      </c>
      <c r="AB50" s="18">
        <f>(AB49)+(AA50)-(MAX(0,((AB49)+(AA50)-(AC50)))*(IF(Archetypes!$C$27="",Assumptions!$B$11,Archetypes!$C$27)))</f>
        <v>2220.9275859864329</v>
      </c>
      <c r="AC50" s="18">
        <f>Archetypes!$C$33</f>
        <v>90.34</v>
      </c>
      <c r="AD50" s="18">
        <f t="shared" si="5"/>
        <v>2130.5875859864327</v>
      </c>
      <c r="AF50" s="18">
        <f t="shared" si="10"/>
        <v>74.96784102010885</v>
      </c>
      <c r="AG50" s="18">
        <f>MAX(Assumptions!$B$21,(AF50)+(AH50))</f>
        <v>75.256262418217858</v>
      </c>
      <c r="AH50" s="18">
        <f>(((Archetypes!$D$11*(IF(AF50&lt;0,1+Assumptions!$B$32*MIN(1,ABS(AF50)/ABS(Assumptions!$B$21)),MAX(0.1,1-Assumptions!$B$31*(AF50/50)))))-((Archetypes!$D$11*(IF(AF50&lt;0,1+Assumptions!$B$32*MIN(1,ABS(AF50)/ABS(Assumptions!$B$21)),MAX(0.1,1-Assumptions!$B$31*(AF50/50)))))*AJ50)*Archetypes!$D$15)*Assumptions!$B$22+((Archetypes!$D$11*(IF(AF50&lt;0,1+Assumptions!$B$32*MIN(1,ABS(AF50)/ABS(Assumptions!$B$21)),MAX(0.1,1-Assumptions!$B$31*(AF50/50)))))*AJ50*Archetypes!$D$15*Archetypes!$D$22)*Assumptions!$B$23+(Archetypes!$D$11*(IF(AF50&lt;0,1+Assumptions!$B$32*MIN(1,ABS(AF50)/ABS(Assumptions!$B$21)),MAX(0.1,1-Assumptions!$B$31*(AF50/50)))))*Assumptions!$B$24+-((Archetypes!$D$11*(IF(AF50&lt;0,1+Assumptions!$B$32*MIN(1,ABS(AF50)/ABS(Assumptions!$B$21)),MAX(0.1,1-Assumptions!$B$31*(AF50/50)))))*Archetypes!$D$16)*(Assumptions!$B$27*(1+Assumptions!$B$28*Archetypes!$D$14)/(1+Assumptions!$B$29*Archetypes!$D$12))+-(Archetypes!$D$11*(IF(AF50&lt;0,1+Assumptions!$B$32*MIN(1,ABS(AF50)/ABS(Assumptions!$B$21)),MAX(0.1,1-Assumptions!$B$31*(AF50/50)))))*Archetypes!$D$17*((Archetypes!$D$31)/100)*Assumptions!$B$30+-Assumptions!$B$25*Assumptions!$B$26)*$E50</f>
        <v>0.28842139810900913</v>
      </c>
      <c r="AI50" s="18">
        <f>(Archetypes!$D$11*(IF(AF50&lt;0,1+Assumptions!$B$32*MIN(1,ABS(AF50)/ABS(Assumptions!$B$21)),MAX(0.1,1-Assumptions!$B$31*(AF50/50)))))*$E50</f>
        <v>0.30115772327608148</v>
      </c>
      <c r="AJ50" s="19">
        <f>Archetypes!$D$30</f>
        <v>0.10400000000000001</v>
      </c>
      <c r="AK50" s="18">
        <f t="shared" si="6"/>
        <v>3.132040322071248E-2</v>
      </c>
      <c r="AL50" s="18">
        <f>((AI50-AK50)*Archetypes!$D$15)+(AK50*Archetypes!$D$15*Archetypes!$D$22)</f>
        <v>0.47052882684654967</v>
      </c>
      <c r="AM50" s="18">
        <f>AI50*Archetypes!$D$16</f>
        <v>6.0231544655216296E-2</v>
      </c>
      <c r="AN50" s="18">
        <f>(IF(AF50&lt;0,Assumptions!$B$8,IF(AF50&lt;10,Assumptions!$B$34,IF(AF50&lt;25,Assumptions!$B$35,Assumptions!$B$36))))*((((Archetypes!$D$5*Assumptions!$B$4+Archetypes!$D$6*Assumptions!$B$5)*60))+(Assumptions!$B$6*(((Archetypes!$D$11*(IF(AF50&lt;0,1+Assumptions!$B$32*MIN(1,ABS(AF50)/ABS(Assumptions!$B$21)),MAX(0.1,1-Assumptions!$B$31*(AF50/50)))))-((Archetypes!$D$11*(IF(AF50&lt;0,1+Assumptions!$B$32*MIN(1,ABS(AF50)/ABS(Assumptions!$B$21)),MAX(0.1,1-Assumptions!$B$31*(AF50/50)))))*AJ50)*Archetypes!$D$20)+((Archetypes!$D$11*(IF(AF50&lt;0,1+Assumptions!$B$32*MIN(1,ABS(AF50)/ABS(Assumptions!$B$21)),MAX(0.1,1-Assumptions!$B$31*(AF50/50)))))*AJ50*Archetypes!$D$20*Archetypes!$D$21)*Assumptions!$B$18)*(IF($D50=1,1,Assumptions!$B$7)))+(((((Archetypes!$D$11*(IF(AF50&lt;0,1+Assumptions!$B$32*MIN(1,ABS(AF50)/ABS(Assumptions!$B$21)),MAX(0.1,1-Assumptions!$B$31*(AF50/50)))))-((Archetypes!$D$11*(IF(AF50&lt;0,1+Assumptions!$B$32*MIN(1,ABS(AF50)/ABS(Assumptions!$B$21)),MAX(0.1,1-Assumptions!$B$31*(AF50/50)))))*AJ50)*Archetypes!$D$15)*(Archetypes!$D$13*IF(AF50&lt;0,1-Assumptions!$B$33*MIN(1,ABS(AF50)/ABS(Assumptions!$B$21)),1))*5)+(((Archetypes!$D$11*(IF(AF50&lt;0,1+Assumptions!$B$32*MIN(1,ABS(AF50)/ABS(Assumptions!$B$21)),MAX(0.1,1-Assumptions!$B$31*(AF50/50)))))*AJ50*Archetypes!$D$15*Archetypes!$D$22)*(Archetypes!$D$13*IF(AF50&lt;0,1-Assumptions!$B$33*MIN(1,ABS(AF50)/ABS(Assumptions!$B$21)),1))*5*Assumptions!$B$18))*IF(AF50&lt;0,Assumptions!$B$9,1)))*$E50</f>
        <v>1143.917060853913</v>
      </c>
      <c r="AO50" s="18">
        <f>(AO49)+(AN50)-(MAX(0,((AO49)+(AN50)-(AP50)))*(IF(Archetypes!$D$27="",Assumptions!$B$11,Archetypes!$D$27)))</f>
        <v>2887.2073455981244</v>
      </c>
      <c r="AP50" s="18">
        <f>Archetypes!$D$33</f>
        <v>201.32916645159378</v>
      </c>
      <c r="AQ50" s="18">
        <f t="shared" si="7"/>
        <v>2685.8781791465308</v>
      </c>
    </row>
    <row r="51" spans="1:43" x14ac:dyDescent="0.25">
      <c r="A51" s="14">
        <v>47</v>
      </c>
      <c r="B51" s="14">
        <f t="shared" si="0"/>
        <v>2</v>
      </c>
      <c r="C51" s="14">
        <f t="shared" si="1"/>
        <v>23</v>
      </c>
      <c r="D51" s="15">
        <f>IF(C51&lt;Assumptions!$B$10,1,0)</f>
        <v>0</v>
      </c>
      <c r="E51" s="15">
        <v>1</v>
      </c>
      <c r="F51" s="18">
        <f t="shared" si="8"/>
        <v>88.074745872558211</v>
      </c>
      <c r="G51" s="18">
        <f>MAX(Assumptions!$B$21,(F51)+(H51))</f>
        <v>88.692865872558215</v>
      </c>
      <c r="H51" s="18">
        <f>(((Archetypes!$B$11*(IF(F51&lt;0,1+Assumptions!$B$32*MIN(1,ABS(F51)/ABS(Assumptions!$B$21)),MAX(0.1,1-Assumptions!$B$31*(F51/50)))))-((Archetypes!$B$11*(IF(F51&lt;0,1+Assumptions!$B$32*MIN(1,ABS(F51)/ABS(Assumptions!$B$21)),MAX(0.1,1-Assumptions!$B$31*(F51/50)))))*J51)*Archetypes!$B$15)*Assumptions!$B$22+((Archetypes!$B$11*(IF(F51&lt;0,1+Assumptions!$B$32*MIN(1,ABS(F51)/ABS(Assumptions!$B$21)),MAX(0.1,1-Assumptions!$B$31*(F51/50)))))*J51*Archetypes!$B$15*Archetypes!$B$22)*Assumptions!$B$23+(Archetypes!$B$11*(IF(F51&lt;0,1+Assumptions!$B$32*MIN(1,ABS(F51)/ABS(Assumptions!$B$21)),MAX(0.1,1-Assumptions!$B$31*(F51/50)))))*Assumptions!$B$24+-((Archetypes!$B$11*(IF(F51&lt;0,1+Assumptions!$B$32*MIN(1,ABS(F51)/ABS(Assumptions!$B$21)),MAX(0.1,1-Assumptions!$B$31*(F51/50)))))*Archetypes!$B$16)*(Assumptions!$B$27*(1+Assumptions!$B$28*Archetypes!$B$14)/(1+Assumptions!$B$29*Archetypes!$B$12))+-(Archetypes!$B$11*(IF(F51&lt;0,1+Assumptions!$B$32*MIN(1,ABS(F51)/ABS(Assumptions!$B$21)),MAX(0.1,1-Assumptions!$B$31*(F51/50)))))*Archetypes!$B$17*((Archetypes!$B$31)/100)*Assumptions!$B$30+-Assumptions!$B$25*Assumptions!$B$26)*$E51</f>
        <v>0.61812</v>
      </c>
      <c r="I51" s="18">
        <f>(Archetypes!$B$11*(IF(F51&lt;0,1+Assumptions!$B$32*MIN(1,ABS(F51)/ABS(Assumptions!$B$21)),MAX(0.1,1-Assumptions!$B$31*(F51/50)))))*$E51</f>
        <v>1</v>
      </c>
      <c r="J51" s="19">
        <f>Archetypes!$B$30</f>
        <v>2.1999999999999999E-2</v>
      </c>
      <c r="K51" s="18">
        <f t="shared" si="2"/>
        <v>2.1999999999999999E-2</v>
      </c>
      <c r="L51" s="18">
        <f>((I51-K51)*Archetypes!$B$15)+(K51*Archetypes!$B$15*Archetypes!$B$22)</f>
        <v>0.10044</v>
      </c>
      <c r="M51" s="18">
        <f>I51*Archetypes!$B$16</f>
        <v>0.75</v>
      </c>
      <c r="N51" s="18">
        <f>(IF(F51&lt;0,Assumptions!$B$8,IF(F51&lt;10,Assumptions!$B$34,IF(F51&lt;25,Assumptions!$B$35,Assumptions!$B$36))))*((((Archetypes!$B$5*Assumptions!$B$4+Archetypes!$B$6*Assumptions!$B$5)*60))+(Assumptions!$B$6*(((Archetypes!$B$11*(IF(F51&lt;0,1+Assumptions!$B$32*MIN(1,ABS(F51)/ABS(Assumptions!$B$21)),MAX(0.1,1-Assumptions!$B$31*(F51/50)))))-((Archetypes!$B$11*(IF(F51&lt;0,1+Assumptions!$B$32*MIN(1,ABS(F51)/ABS(Assumptions!$B$21)),MAX(0.1,1-Assumptions!$B$31*(F51/50)))))*J51)*Archetypes!$B$20)+((Archetypes!$B$11*(IF(F51&lt;0,1+Assumptions!$B$32*MIN(1,ABS(F51)/ABS(Assumptions!$B$21)),MAX(0.1,1-Assumptions!$B$31*(F51/50)))))*J51*Archetypes!$B$20*Archetypes!$B$21)*Assumptions!$B$18)*(IF($D51=1,1,Assumptions!$B$7)))+(((((Archetypes!$B$11*(IF(F51&lt;0,1+Assumptions!$B$32*MIN(1,ABS(F51)/ABS(Assumptions!$B$21)),MAX(0.1,1-Assumptions!$B$31*(F51/50)))))-((Archetypes!$B$11*(IF(F51&lt;0,1+Assumptions!$B$32*MIN(1,ABS(F51)/ABS(Assumptions!$B$21)),MAX(0.1,1-Assumptions!$B$31*(F51/50)))))*J51)*Archetypes!$B$15)*(Archetypes!$B$13*IF(F51&lt;0,1-Assumptions!$B$33*MIN(1,ABS(F51)/ABS(Assumptions!$B$21)),1))*5)+(((Archetypes!$B$11*(IF(F51&lt;0,1+Assumptions!$B$32*MIN(1,ABS(F51)/ABS(Assumptions!$B$21)),MAX(0.1,1-Assumptions!$B$31*(F51/50)))))*J51*Archetypes!$B$15*Archetypes!$B$22)*(Archetypes!$B$13*IF(F51&lt;0,1-Assumptions!$B$33*MIN(1,ABS(F51)/ABS(Assumptions!$B$21)),1))*5*Assumptions!$B$18))*IF(F51&lt;0,Assumptions!$B$9,1)))*$E51</f>
        <v>183.95189999999999</v>
      </c>
      <c r="O51" s="18">
        <f>(O50)+(N51)-(MAX(0,((O50)+(N51)-(P51)))*(IF(Archetypes!$B$27="",Assumptions!$B$11,Archetypes!$B$27)))</f>
        <v>761.93647924920788</v>
      </c>
      <c r="P51" s="18">
        <f>Archetypes!$B$33</f>
        <v>25.423199999999998</v>
      </c>
      <c r="Q51" s="18">
        <f t="shared" si="3"/>
        <v>736.51327924920793</v>
      </c>
      <c r="S51" s="18">
        <f t="shared" si="9"/>
        <v>79.51126814622809</v>
      </c>
      <c r="T51" s="18">
        <f>MAX(Assumptions!$B$21,(S51)+(U51))</f>
        <v>79.923991003370944</v>
      </c>
      <c r="U51" s="18">
        <f>(((Archetypes!$C$11*(IF(S51&lt;0,1+Assumptions!$B$32*MIN(1,ABS(S51)/ABS(Assumptions!$B$21)),MAX(0.1,1-Assumptions!$B$31*(S51/50)))))-((Archetypes!$C$11*(IF(S51&lt;0,1+Assumptions!$B$32*MIN(1,ABS(S51)/ABS(Assumptions!$B$21)),MAX(0.1,1-Assumptions!$B$31*(S51/50)))))*W51)*Archetypes!$C$15)*Assumptions!$B$22+((Archetypes!$C$11*(IF(S51&lt;0,1+Assumptions!$B$32*MIN(1,ABS(S51)/ABS(Assumptions!$B$21)),MAX(0.1,1-Assumptions!$B$31*(S51/50)))))*W51*Archetypes!$C$15*Archetypes!$C$22)*Assumptions!$B$23+(Archetypes!$C$11*(IF(S51&lt;0,1+Assumptions!$B$32*MIN(1,ABS(S51)/ABS(Assumptions!$B$21)),MAX(0.1,1-Assumptions!$B$31*(S51/50)))))*Assumptions!$B$24+-((Archetypes!$C$11*(IF(S51&lt;0,1+Assumptions!$B$32*MIN(1,ABS(S51)/ABS(Assumptions!$B$21)),MAX(0.1,1-Assumptions!$B$31*(S51/50)))))*Archetypes!$C$16)*(Assumptions!$B$27*(1+Assumptions!$B$28*Archetypes!$C$14)/(1+Assumptions!$B$29*Archetypes!$C$12))+-(Archetypes!$C$11*(IF(S51&lt;0,1+Assumptions!$B$32*MIN(1,ABS(S51)/ABS(Assumptions!$B$21)),MAX(0.1,1-Assumptions!$B$31*(S51/50)))))*Archetypes!$C$17*((Archetypes!$C$31)/100)*Assumptions!$B$30+-Assumptions!$B$25*Assumptions!$B$26)*$E51</f>
        <v>0.41272285714285728</v>
      </c>
      <c r="V51" s="18">
        <f>(Archetypes!$C$11*(IF(S51&lt;0,1+Assumptions!$B$32*MIN(1,ABS(S51)/ABS(Assumptions!$B$21)),MAX(0.1,1-Assumptions!$B$31*(S51/50)))))*$E51</f>
        <v>0.60000000000000009</v>
      </c>
      <c r="W51" s="19">
        <f>Archetypes!$C$30</f>
        <v>3.7999999999999999E-2</v>
      </c>
      <c r="X51" s="18">
        <f t="shared" si="4"/>
        <v>2.2800000000000004E-2</v>
      </c>
      <c r="Y51" s="18">
        <f>((V51-X51)*Archetypes!$C$15)+(X51*Archetypes!$C$15*Archetypes!$C$22)</f>
        <v>0.30342000000000002</v>
      </c>
      <c r="Z51" s="18">
        <f>V51*Archetypes!$C$16</f>
        <v>0.27000000000000007</v>
      </c>
      <c r="AA51" s="18">
        <f>(IF(S51&lt;0,Assumptions!$B$8,IF(S51&lt;10,Assumptions!$B$34,IF(S51&lt;25,Assumptions!$B$35,Assumptions!$B$36))))*((((Archetypes!$C$5*Assumptions!$B$4+Archetypes!$C$6*Assumptions!$B$5)*60))+(Assumptions!$B$6*(((Archetypes!$C$11*(IF(S51&lt;0,1+Assumptions!$B$32*MIN(1,ABS(S51)/ABS(Assumptions!$B$21)),MAX(0.1,1-Assumptions!$B$31*(S51/50)))))-((Archetypes!$C$11*(IF(S51&lt;0,1+Assumptions!$B$32*MIN(1,ABS(S51)/ABS(Assumptions!$B$21)),MAX(0.1,1-Assumptions!$B$31*(S51/50)))))*W51)*Archetypes!$C$20)+((Archetypes!$C$11*(IF(S51&lt;0,1+Assumptions!$B$32*MIN(1,ABS(S51)/ABS(Assumptions!$B$21)),MAX(0.1,1-Assumptions!$B$31*(S51/50)))))*W51*Archetypes!$C$20*Archetypes!$C$21)*Assumptions!$B$18)*(IF($D51=1,1,Assumptions!$B$7)))+(((((Archetypes!$C$11*(IF(S51&lt;0,1+Assumptions!$B$32*MIN(1,ABS(S51)/ABS(Assumptions!$B$21)),MAX(0.1,1-Assumptions!$B$31*(S51/50)))))-((Archetypes!$C$11*(IF(S51&lt;0,1+Assumptions!$B$32*MIN(1,ABS(S51)/ABS(Assumptions!$B$21)),MAX(0.1,1-Assumptions!$B$31*(S51/50)))))*W51)*Archetypes!$C$15)*(Archetypes!$C$13*IF(S51&lt;0,1-Assumptions!$B$33*MIN(1,ABS(S51)/ABS(Assumptions!$B$21)),1))*5)+(((Archetypes!$C$11*(IF(S51&lt;0,1+Assumptions!$B$32*MIN(1,ABS(S51)/ABS(Assumptions!$B$21)),MAX(0.1,1-Assumptions!$B$31*(S51/50)))))*W51*Archetypes!$C$15*Archetypes!$C$22)*(Archetypes!$C$13*IF(S51&lt;0,1-Assumptions!$B$33*MIN(1,ABS(S51)/ABS(Assumptions!$B$21)),1))*5*Assumptions!$B$18))*IF(S51&lt;0,Assumptions!$B$9,1)))*$E51</f>
        <v>709.58237999999994</v>
      </c>
      <c r="AB51" s="18">
        <f>(AB50)+(AA51)-(MAX(0,((AB50)+(AA51)-(AC51)))*(IF(Archetypes!$C$27="",Assumptions!$B$11,Archetypes!$C$27)))</f>
        <v>2220.4674744898248</v>
      </c>
      <c r="AC51" s="18">
        <f>Archetypes!$C$33</f>
        <v>90.34</v>
      </c>
      <c r="AD51" s="18">
        <f t="shared" si="5"/>
        <v>2130.1274744898246</v>
      </c>
      <c r="AF51" s="18">
        <f t="shared" si="10"/>
        <v>75.256262418217858</v>
      </c>
      <c r="AG51" s="18">
        <f>MAX(Assumptions!$B$21,(AF51)+(AH51))</f>
        <v>75.542998418217863</v>
      </c>
      <c r="AH51" s="18">
        <f>(((Archetypes!$D$11*(IF(AF51&lt;0,1+Assumptions!$B$32*MIN(1,ABS(AF51)/ABS(Assumptions!$B$21)),MAX(0.1,1-Assumptions!$B$31*(AF51/50)))))-((Archetypes!$D$11*(IF(AF51&lt;0,1+Assumptions!$B$32*MIN(1,ABS(AF51)/ABS(Assumptions!$B$21)),MAX(0.1,1-Assumptions!$B$31*(AF51/50)))))*AJ51)*Archetypes!$D$15)*Assumptions!$B$22+((Archetypes!$D$11*(IF(AF51&lt;0,1+Assumptions!$B$32*MIN(1,ABS(AF51)/ABS(Assumptions!$B$21)),MAX(0.1,1-Assumptions!$B$31*(AF51/50)))))*AJ51*Archetypes!$D$15*Archetypes!$D$22)*Assumptions!$B$23+(Archetypes!$D$11*(IF(AF51&lt;0,1+Assumptions!$B$32*MIN(1,ABS(AF51)/ABS(Assumptions!$B$21)),MAX(0.1,1-Assumptions!$B$31*(AF51/50)))))*Assumptions!$B$24+-((Archetypes!$D$11*(IF(AF51&lt;0,1+Assumptions!$B$32*MIN(1,ABS(AF51)/ABS(Assumptions!$B$21)),MAX(0.1,1-Assumptions!$B$31*(AF51/50)))))*Archetypes!$D$16)*(Assumptions!$B$27*(1+Assumptions!$B$28*Archetypes!$D$14)/(1+Assumptions!$B$29*Archetypes!$D$12))+-(Archetypes!$D$11*(IF(AF51&lt;0,1+Assumptions!$B$32*MIN(1,ABS(AF51)/ABS(Assumptions!$B$21)),MAX(0.1,1-Assumptions!$B$31*(AF51/50)))))*Archetypes!$D$17*((Archetypes!$D$31)/100)*Assumptions!$B$30+-Assumptions!$B$25*Assumptions!$B$26)*$E51</f>
        <v>0.2867360000000001</v>
      </c>
      <c r="AI51" s="18">
        <f>(Archetypes!$D$11*(IF(AF51&lt;0,1+Assumptions!$B$32*MIN(1,ABS(AF51)/ABS(Assumptions!$B$21)),MAX(0.1,1-Assumptions!$B$31*(AF51/50)))))*$E51</f>
        <v>0.30000000000000004</v>
      </c>
      <c r="AJ51" s="19">
        <f>Archetypes!$D$30</f>
        <v>0.10400000000000001</v>
      </c>
      <c r="AK51" s="18">
        <f t="shared" si="6"/>
        <v>3.1200000000000009E-2</v>
      </c>
      <c r="AL51" s="18">
        <f>((AI51-AK51)*Archetypes!$D$15)+(AK51*Archetypes!$D$15*Archetypes!$D$22)</f>
        <v>0.46872000000000008</v>
      </c>
      <c r="AM51" s="18">
        <f>AI51*Archetypes!$D$16</f>
        <v>6.0000000000000012E-2</v>
      </c>
      <c r="AN51" s="18">
        <f>(IF(AF51&lt;0,Assumptions!$B$8,IF(AF51&lt;10,Assumptions!$B$34,IF(AF51&lt;25,Assumptions!$B$35,Assumptions!$B$36))))*((((Archetypes!$D$5*Assumptions!$B$4+Archetypes!$D$6*Assumptions!$B$5)*60))+(Assumptions!$B$6*(((Archetypes!$D$11*(IF(AF51&lt;0,1+Assumptions!$B$32*MIN(1,ABS(AF51)/ABS(Assumptions!$B$21)),MAX(0.1,1-Assumptions!$B$31*(AF51/50)))))-((Archetypes!$D$11*(IF(AF51&lt;0,1+Assumptions!$B$32*MIN(1,ABS(AF51)/ABS(Assumptions!$B$21)),MAX(0.1,1-Assumptions!$B$31*(AF51/50)))))*AJ51)*Archetypes!$D$20)+((Archetypes!$D$11*(IF(AF51&lt;0,1+Assumptions!$B$32*MIN(1,ABS(AF51)/ABS(Assumptions!$B$21)),MAX(0.1,1-Assumptions!$B$31*(AF51/50)))))*AJ51*Archetypes!$D$20*Archetypes!$D$21)*Assumptions!$B$18)*(IF($D51=1,1,Assumptions!$B$7)))+(((((Archetypes!$D$11*(IF(AF51&lt;0,1+Assumptions!$B$32*MIN(1,ABS(AF51)/ABS(Assumptions!$B$21)),MAX(0.1,1-Assumptions!$B$31*(AF51/50)))))-((Archetypes!$D$11*(IF(AF51&lt;0,1+Assumptions!$B$32*MIN(1,ABS(AF51)/ABS(Assumptions!$B$21)),MAX(0.1,1-Assumptions!$B$31*(AF51/50)))))*AJ51)*Archetypes!$D$15)*(Archetypes!$D$13*IF(AF51&lt;0,1-Assumptions!$B$33*MIN(1,ABS(AF51)/ABS(Assumptions!$B$21)),1))*5)+(((Archetypes!$D$11*(IF(AF51&lt;0,1+Assumptions!$B$32*MIN(1,ABS(AF51)/ABS(Assumptions!$B$21)),MAX(0.1,1-Assumptions!$B$31*(AF51/50)))))*AJ51*Archetypes!$D$15*Archetypes!$D$22)*(Archetypes!$D$13*IF(AF51&lt;0,1-Assumptions!$B$33*MIN(1,ABS(AF51)/ABS(Assumptions!$B$21)),1))*5*Assumptions!$B$18))*IF(AF51&lt;0,Assumptions!$B$9,1)))*$E51</f>
        <v>1143.6367499999999</v>
      </c>
      <c r="AO51" s="18">
        <f>(AO50)+(AN51)-(MAX(0,((AO50)+(AN51)-(AP51)))*(IF(Archetypes!$D$27="",Assumptions!$B$11,Archetypes!$D$27)))</f>
        <v>2881.989616854165</v>
      </c>
      <c r="AP51" s="18">
        <f>Archetypes!$D$33</f>
        <v>201.32916645159378</v>
      </c>
      <c r="AQ51" s="18">
        <f t="shared" si="7"/>
        <v>2680.6604504025713</v>
      </c>
    </row>
  </sheetData>
  <mergeCells count="4">
    <mergeCell ref="F2:Q2"/>
    <mergeCell ref="S2:AD2"/>
    <mergeCell ref="A1:AZ1"/>
    <mergeCell ref="AF2:A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32"/>
  <sheetViews>
    <sheetView workbookViewId="0">
      <selection sqref="A1:AZ1"/>
    </sheetView>
  </sheetViews>
  <sheetFormatPr defaultRowHeight="15" x14ac:dyDescent="0.25"/>
  <cols>
    <col min="1" max="1" width="12" customWidth="1"/>
    <col min="2" max="2" width="6" customWidth="1"/>
    <col min="3" max="3" width="10" customWidth="1"/>
    <col min="4" max="4" width="12" customWidth="1"/>
    <col min="5" max="5" width="10" customWidth="1"/>
    <col min="6" max="17" width="14" customWidth="1"/>
    <col min="19" max="30" width="14" customWidth="1"/>
    <col min="32" max="43" width="14" customWidth="1"/>
  </cols>
  <sheetData>
    <row r="1" spans="1:52" x14ac:dyDescent="0.25">
      <c r="A1" s="22" t="s">
        <v>155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</row>
    <row r="2" spans="1:52" x14ac:dyDescent="0.25">
      <c r="F2" s="25" t="s">
        <v>101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S2" s="25" t="s">
        <v>102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F2" s="25" t="s">
        <v>103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</row>
    <row r="3" spans="1:52" ht="30" x14ac:dyDescent="0.25">
      <c r="A3" s="8" t="s">
        <v>138</v>
      </c>
      <c r="B3" s="8" t="s">
        <v>139</v>
      </c>
      <c r="C3" s="8" t="s">
        <v>140</v>
      </c>
      <c r="D3" s="8" t="s">
        <v>141</v>
      </c>
      <c r="E3" s="8" t="s">
        <v>142</v>
      </c>
      <c r="F3" s="8" t="s">
        <v>143</v>
      </c>
      <c r="G3" s="8" t="s">
        <v>144</v>
      </c>
      <c r="H3" s="8" t="s">
        <v>145</v>
      </c>
      <c r="I3" s="8" t="s">
        <v>146</v>
      </c>
      <c r="J3" s="8" t="s">
        <v>147</v>
      </c>
      <c r="K3" s="8" t="s">
        <v>148</v>
      </c>
      <c r="L3" s="8" t="s">
        <v>149</v>
      </c>
      <c r="M3" s="8" t="s">
        <v>150</v>
      </c>
      <c r="N3" s="8" t="s">
        <v>151</v>
      </c>
      <c r="O3" s="8" t="s">
        <v>152</v>
      </c>
      <c r="P3" s="8" t="s">
        <v>153</v>
      </c>
      <c r="Q3" s="8" t="s">
        <v>154</v>
      </c>
      <c r="S3" s="8" t="s">
        <v>143</v>
      </c>
      <c r="T3" s="8" t="s">
        <v>144</v>
      </c>
      <c r="U3" s="8" t="s">
        <v>145</v>
      </c>
      <c r="V3" s="8" t="s">
        <v>146</v>
      </c>
      <c r="W3" s="8" t="s">
        <v>147</v>
      </c>
      <c r="X3" s="8" t="s">
        <v>148</v>
      </c>
      <c r="Y3" s="8" t="s">
        <v>149</v>
      </c>
      <c r="Z3" s="8" t="s">
        <v>150</v>
      </c>
      <c r="AA3" s="8" t="s">
        <v>151</v>
      </c>
      <c r="AB3" s="8" t="s">
        <v>152</v>
      </c>
      <c r="AC3" s="8" t="s">
        <v>153</v>
      </c>
      <c r="AD3" s="8" t="s">
        <v>154</v>
      </c>
      <c r="AF3" s="8" t="s">
        <v>143</v>
      </c>
      <c r="AG3" s="8" t="s">
        <v>144</v>
      </c>
      <c r="AH3" s="8" t="s">
        <v>145</v>
      </c>
      <c r="AI3" s="8" t="s">
        <v>146</v>
      </c>
      <c r="AJ3" s="8" t="s">
        <v>147</v>
      </c>
      <c r="AK3" s="8" t="s">
        <v>148</v>
      </c>
      <c r="AL3" s="8" t="s">
        <v>149</v>
      </c>
      <c r="AM3" s="8" t="s">
        <v>150</v>
      </c>
      <c r="AN3" s="8" t="s">
        <v>151</v>
      </c>
      <c r="AO3" s="8" t="s">
        <v>152</v>
      </c>
      <c r="AP3" s="8" t="s">
        <v>153</v>
      </c>
      <c r="AQ3" s="8" t="s">
        <v>154</v>
      </c>
    </row>
    <row r="4" spans="1:52" x14ac:dyDescent="0.25">
      <c r="A4" s="14">
        <v>0</v>
      </c>
      <c r="B4" s="14">
        <f t="shared" ref="B4:B32" si="0">INT(A4/24)+1</f>
        <v>1</v>
      </c>
      <c r="C4" s="14">
        <f t="shared" ref="C4:C32" si="1">MOD(A4,24)</f>
        <v>0</v>
      </c>
      <c r="D4" s="15">
        <f>IF(C4&lt;Assumptions!$B$10,1,0)</f>
        <v>1</v>
      </c>
      <c r="E4" s="15">
        <v>6</v>
      </c>
      <c r="F4" s="18">
        <f>Archetypes!$B$8</f>
        <v>0</v>
      </c>
      <c r="G4" s="18">
        <f>MAX(Assumptions!$B$21,(F4)+(H4))</f>
        <v>45.187199999999997</v>
      </c>
      <c r="H4" s="18">
        <f>(((Archetypes!$B$11*(IF(F4&lt;0,1+Assumptions!$B$32*MIN(1,ABS(F4)/ABS(Assumptions!$B$21)),MAX(0.1,1-Assumptions!$B$31*(F4/50)))))-((Archetypes!$B$11*(IF(F4&lt;0,1+Assumptions!$B$32*MIN(1,ABS(F4)/ABS(Assumptions!$B$21)),MAX(0.1,1-Assumptions!$B$31*(F4/50)))))*J4)*Archetypes!$B$15)*Assumptions!$B$22+((Archetypes!$B$11*(IF(F4&lt;0,1+Assumptions!$B$32*MIN(1,ABS(F4)/ABS(Assumptions!$B$21)),MAX(0.1,1-Assumptions!$B$31*(F4/50)))))*J4*Archetypes!$B$15*Archetypes!$B$22)*Assumptions!$B$23+(Archetypes!$B$11*(IF(F4&lt;0,1+Assumptions!$B$32*MIN(1,ABS(F4)/ABS(Assumptions!$B$21)),MAX(0.1,1-Assumptions!$B$31*(F4/50)))))*Assumptions!$B$24+-((Archetypes!$B$11*(IF(F4&lt;0,1+Assumptions!$B$32*MIN(1,ABS(F4)/ABS(Assumptions!$B$21)),MAX(0.1,1-Assumptions!$B$31*(F4/50)))))*Archetypes!$B$16)*(Assumptions!$B$27*(1+Assumptions!$B$28*Archetypes!$B$14)/(1+Assumptions!$B$29*Archetypes!$B$12))+-(Archetypes!$B$11*(IF(F4&lt;0,1+Assumptions!$B$32*MIN(1,ABS(F4)/ABS(Assumptions!$B$21)),MAX(0.1,1-Assumptions!$B$31*(F4/50)))))*Archetypes!$B$17*((Archetypes!$B$31)/100)*Assumptions!$B$30+-Assumptions!$B$25*Assumptions!$B$26)*$E4</f>
        <v>45.187199999999997</v>
      </c>
      <c r="I4" s="18">
        <f>(Archetypes!$B$11*(IF(F4&lt;0,1+Assumptions!$B$32*MIN(1,ABS(F4)/ABS(Assumptions!$B$21)),MAX(0.1,1-Assumptions!$B$31*(F4/50)))))*$E4</f>
        <v>60</v>
      </c>
      <c r="J4" s="19">
        <f>Archetypes!$B$30</f>
        <v>2.1999999999999999E-2</v>
      </c>
      <c r="K4" s="18">
        <f t="shared" ref="K4:K32" si="2">I4*J4</f>
        <v>1.3199999999999998</v>
      </c>
      <c r="L4" s="18">
        <f>((I4-K4)*Archetypes!$B$15)+(K4*Archetypes!$B$15*Archetypes!$B$22)</f>
        <v>6.0264000000000006</v>
      </c>
      <c r="M4" s="18">
        <f>I4*Archetypes!$B$16</f>
        <v>45</v>
      </c>
      <c r="N4" s="18">
        <f>(IF(F4&lt;0,Assumptions!$B$8,IF(F4&lt;10,Assumptions!$B$34,IF(F4&lt;25,Assumptions!$B$35,Assumptions!$B$36))))*((((Archetypes!$B$5*Assumptions!$B$4+Archetypes!$B$6*Assumptions!$B$5)*60))+(Assumptions!$B$6*(((Archetypes!$B$11*(IF(F4&lt;0,1+Assumptions!$B$32*MIN(1,ABS(F4)/ABS(Assumptions!$B$21)),MAX(0.1,1-Assumptions!$B$31*(F4/50)))))-((Archetypes!$B$11*(IF(F4&lt;0,1+Assumptions!$B$32*MIN(1,ABS(F4)/ABS(Assumptions!$B$21)),MAX(0.1,1-Assumptions!$B$31*(F4/50)))))*J4)*Archetypes!$B$20)+((Archetypes!$B$11*(IF(F4&lt;0,1+Assumptions!$B$32*MIN(1,ABS(F4)/ABS(Assumptions!$B$21)),MAX(0.1,1-Assumptions!$B$31*(F4/50)))))*J4*Archetypes!$B$20*Archetypes!$B$21)*Assumptions!$B$18)*(IF($D4=1,1,Assumptions!$B$7)))+(((((Archetypes!$B$11*(IF(F4&lt;0,1+Assumptions!$B$32*MIN(1,ABS(F4)/ABS(Assumptions!$B$21)),MAX(0.1,1-Assumptions!$B$31*(F4/50)))))-((Archetypes!$B$11*(IF(F4&lt;0,1+Assumptions!$B$32*MIN(1,ABS(F4)/ABS(Assumptions!$B$21)),MAX(0.1,1-Assumptions!$B$31*(F4/50)))))*J4)*Archetypes!$B$15)*(Archetypes!$B$13*IF(F4&lt;0,1-Assumptions!$B$33*MIN(1,ABS(F4)/ABS(Assumptions!$B$21)),1))*5)+(((Archetypes!$B$11*(IF(F4&lt;0,1+Assumptions!$B$32*MIN(1,ABS(F4)/ABS(Assumptions!$B$21)),MAX(0.1,1-Assumptions!$B$31*(F4/50)))))*J4*Archetypes!$B$15*Archetypes!$B$22)*(Archetypes!$B$13*IF(F4&lt;0,1-Assumptions!$B$33*MIN(1,ABS(F4)/ABS(Assumptions!$B$21)),1))*5*Assumptions!$B$18))*IF(F4&lt;0,Assumptions!$B$9,1)))*$E4</f>
        <v>4144.32</v>
      </c>
      <c r="O4" s="18">
        <f>(Archetypes!$B$7)+(N4)-(MAX(0,((Archetypes!$B$7)+(N4)-(P4)))*(IF(Archetypes!$B$27="",Assumptions!$B$11,Archetypes!$B$27)))</f>
        <v>3320.5406399999997</v>
      </c>
      <c r="P4" s="18">
        <f>Archetypes!$B$33</f>
        <v>25.423199999999998</v>
      </c>
      <c r="Q4" s="18">
        <f t="shared" ref="Q4:Q32" si="3">MAX(0,(O4)-(P4))</f>
        <v>3295.1174399999995</v>
      </c>
      <c r="S4" s="18">
        <f>Archetypes!$C$8</f>
        <v>5</v>
      </c>
      <c r="T4" s="18">
        <f>MAX(Assumptions!$B$21,(S4)+(U4))</f>
        <v>35.837569142857141</v>
      </c>
      <c r="U4" s="18">
        <f>(((Archetypes!$C$11*(IF(S4&lt;0,1+Assumptions!$B$32*MIN(1,ABS(S4)/ABS(Assumptions!$B$21)),MAX(0.1,1-Assumptions!$B$31*(S4/50)))))-((Archetypes!$C$11*(IF(S4&lt;0,1+Assumptions!$B$32*MIN(1,ABS(S4)/ABS(Assumptions!$B$21)),MAX(0.1,1-Assumptions!$B$31*(S4/50)))))*W4)*Archetypes!$C$15)*Assumptions!$B$22+((Archetypes!$C$11*(IF(S4&lt;0,1+Assumptions!$B$32*MIN(1,ABS(S4)/ABS(Assumptions!$B$21)),MAX(0.1,1-Assumptions!$B$31*(S4/50)))))*W4*Archetypes!$C$15*Archetypes!$C$22)*Assumptions!$B$23+(Archetypes!$C$11*(IF(S4&lt;0,1+Assumptions!$B$32*MIN(1,ABS(S4)/ABS(Assumptions!$B$21)),MAX(0.1,1-Assumptions!$B$31*(S4/50)))))*Assumptions!$B$24+-((Archetypes!$C$11*(IF(S4&lt;0,1+Assumptions!$B$32*MIN(1,ABS(S4)/ABS(Assumptions!$B$21)),MAX(0.1,1-Assumptions!$B$31*(S4/50)))))*Archetypes!$C$16)*(Assumptions!$B$27*(1+Assumptions!$B$28*Archetypes!$C$14)/(1+Assumptions!$B$29*Archetypes!$C$12))+-(Archetypes!$C$11*(IF(S4&lt;0,1+Assumptions!$B$32*MIN(1,ABS(S4)/ABS(Assumptions!$B$21)),MAX(0.1,1-Assumptions!$B$31*(S4/50)))))*Archetypes!$C$17*((Archetypes!$C$31)/100)*Assumptions!$B$30+-Assumptions!$B$25*Assumptions!$B$26)*$E4</f>
        <v>30.837569142857141</v>
      </c>
      <c r="V4" s="18">
        <f>(Archetypes!$C$11*(IF(S4&lt;0,1+Assumptions!$B$32*MIN(1,ABS(S4)/ABS(Assumptions!$B$21)),MAX(0.1,1-Assumptions!$B$31*(S4/50)))))*$E4</f>
        <v>33.839999999999996</v>
      </c>
      <c r="W4" s="19">
        <f>Archetypes!$C$30</f>
        <v>3.7999999999999999E-2</v>
      </c>
      <c r="X4" s="18">
        <f t="shared" ref="X4:X32" si="4">V4*W4</f>
        <v>1.2859199999999997</v>
      </c>
      <c r="Y4" s="18">
        <f>((V4-X4)*Archetypes!$C$15)+(X4*Archetypes!$C$15*Archetypes!$C$22)</f>
        <v>17.112887999999998</v>
      </c>
      <c r="Z4" s="18">
        <f>V4*Archetypes!$C$16</f>
        <v>15.227999999999998</v>
      </c>
      <c r="AA4" s="18">
        <f>(IF(S4&lt;0,Assumptions!$B$8,IF(S4&lt;10,Assumptions!$B$34,IF(S4&lt;25,Assumptions!$B$35,Assumptions!$B$36))))*((((Archetypes!$C$5*Assumptions!$B$4+Archetypes!$C$6*Assumptions!$B$5)*60))+(Assumptions!$B$6*(((Archetypes!$C$11*(IF(S4&lt;0,1+Assumptions!$B$32*MIN(1,ABS(S4)/ABS(Assumptions!$B$21)),MAX(0.1,1-Assumptions!$B$31*(S4/50)))))-((Archetypes!$C$11*(IF(S4&lt;0,1+Assumptions!$B$32*MIN(1,ABS(S4)/ABS(Assumptions!$B$21)),MAX(0.1,1-Assumptions!$B$31*(S4/50)))))*W4)*Archetypes!$C$20)+((Archetypes!$C$11*(IF(S4&lt;0,1+Assumptions!$B$32*MIN(1,ABS(S4)/ABS(Assumptions!$B$21)),MAX(0.1,1-Assumptions!$B$31*(S4/50)))))*W4*Archetypes!$C$20*Archetypes!$C$21)*Assumptions!$B$18)*(IF($D4=1,1,Assumptions!$B$7)))+(((((Archetypes!$C$11*(IF(S4&lt;0,1+Assumptions!$B$32*MIN(1,ABS(S4)/ABS(Assumptions!$B$21)),MAX(0.1,1-Assumptions!$B$31*(S4/50)))))-((Archetypes!$C$11*(IF(S4&lt;0,1+Assumptions!$B$32*MIN(1,ABS(S4)/ABS(Assumptions!$B$21)),MAX(0.1,1-Assumptions!$B$31*(S4/50)))))*W4)*Archetypes!$C$15)*(Archetypes!$C$13*IF(S4&lt;0,1-Assumptions!$B$33*MIN(1,ABS(S4)/ABS(Assumptions!$B$21)),1))*5)+(((Archetypes!$C$11*(IF(S4&lt;0,1+Assumptions!$B$32*MIN(1,ABS(S4)/ABS(Assumptions!$B$21)),MAX(0.1,1-Assumptions!$B$31*(S4/50)))))*W4*Archetypes!$C$15*Archetypes!$C$22)*(Archetypes!$C$13*IF(S4&lt;0,1-Assumptions!$B$33*MIN(1,ABS(S4)/ABS(Assumptions!$B$21)),1))*5*Assumptions!$B$18))*IF(S4&lt;0,Assumptions!$B$9,1)))*$E4</f>
        <v>10042.794</v>
      </c>
      <c r="AB4" s="18">
        <f>(Archetypes!$C$7)+(AA4)-(MAX(0,((Archetypes!$C$7)+(AA4)-(AC4)))*(IF(Archetypes!$C$27="",Assumptions!$B$11,Archetypes!$C$27)))</f>
        <v>7554.6805000000004</v>
      </c>
      <c r="AC4" s="18">
        <f>Archetypes!$C$33</f>
        <v>90.34</v>
      </c>
      <c r="AD4" s="18">
        <f t="shared" ref="AD4:AD32" si="5">MAX(0,(AB4)-(AC4))</f>
        <v>7464.3405000000002</v>
      </c>
      <c r="AF4" s="18">
        <f>Archetypes!$D$8</f>
        <v>15</v>
      </c>
      <c r="AG4" s="18">
        <f>MAX(Assumptions!$B$21,(AF4)+(AH4))</f>
        <v>35.587411200000005</v>
      </c>
      <c r="AH4" s="18">
        <f>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$15)*Assumptions!$B$22+((Archetypes!$D$11*(IF(AF4&lt;0,1+Assumptions!$B$32*MIN(1,ABS(AF4)/ABS(Assumptions!$B$21)),MAX(0.1,1-Assumptions!$B$31*(AF4/50)))))*AJ4*Archetypes!$D$15*Archetypes!$D$22)*Assumptions!$B$23+(Archetypes!$D$11*(IF(AF4&lt;0,1+Assumptions!$B$32*MIN(1,ABS(AF4)/ABS(Assumptions!$B$21)),MAX(0.1,1-Assumptions!$B$31*(AF4/50)))))*Assumptions!$B$24+-((Archetypes!$D$11*(IF(AF4&lt;0,1+Assumptions!$B$32*MIN(1,ABS(AF4)/ABS(Assumptions!$B$21)),MAX(0.1,1-Assumptions!$B$31*(AF4/50)))))*Archetypes!$D$16)*(Assumptions!$B$27*(1+Assumptions!$B$28*Archetypes!$D$14)/(1+Assumptions!$B$29*Archetypes!$D$12))+-(Archetypes!$D$11*(IF(AF4&lt;0,1+Assumptions!$B$32*MIN(1,ABS(AF4)/ABS(Assumptions!$B$21)),MAX(0.1,1-Assumptions!$B$31*(AF4/50)))))*Archetypes!$D$17*((Archetypes!$D$31)/100)*Assumptions!$B$30+-Assumptions!$B$25*Assumptions!$B$26)*$E4</f>
        <v>20.587411200000002</v>
      </c>
      <c r="AI4" s="18">
        <f>(Archetypes!$D$11*(IF(AF4&lt;0,1+Assumptions!$B$32*MIN(1,ABS(AF4)/ABS(Assumptions!$B$21)),MAX(0.1,1-Assumptions!$B$31*(AF4/50)))))*$E4</f>
        <v>14.76</v>
      </c>
      <c r="AJ4" s="19">
        <f>Archetypes!$D$30</f>
        <v>0.10400000000000001</v>
      </c>
      <c r="AK4" s="18">
        <f t="shared" ref="AK4:AK32" si="6">AI4*AJ4</f>
        <v>1.5350400000000002</v>
      </c>
      <c r="AL4" s="18">
        <f>((AI4-AK4)*Archetypes!$D$15)+(AK4*Archetypes!$D$15*Archetypes!$D$22)</f>
        <v>23.061024</v>
      </c>
      <c r="AM4" s="18">
        <f>AI4*Archetypes!$D$16</f>
        <v>2.952</v>
      </c>
      <c r="AN4" s="18">
        <f>(IF(AF4&lt;0,Assumptions!$B$8,IF(AF4&lt;10,Assumptions!$B$34,IF(AF4&lt;25,Assumptions!$B$35,Assumptions!$B$36))))*((((Archetypes!$D$5*Assumptions!$B$4+Archetypes!$D$6*Assumptions!$B$5)*60))+(Assumptions!$B$6*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$20)+((Archetypes!$D$11*(IF(AF4&lt;0,1+Assumptions!$B$32*MIN(1,ABS(AF4)/ABS(Assumptions!$B$21)),MAX(0.1,1-Assumptions!$B$31*(AF4/50)))))*AJ4*Archetypes!$D$20*Archetypes!$D$21)*Assumptions!$B$18)*(IF($D4=1,1,Assumptions!$B$7)))+((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$15)*(Archetypes!$D$13*IF(AF4&lt;0,1-Assumptions!$B$33*MIN(1,ABS(AF4)/ABS(Assumptions!$B$21)),1))*5)+(((Archetypes!$D$11*(IF(AF4&lt;0,1+Assumptions!$B$32*MIN(1,ABS(AF4)/ABS(Assumptions!$B$21)),MAX(0.1,1-Assumptions!$B$31*(AF4/50)))))*AJ4*Archetypes!$D$15*Archetypes!$D$22)*(Archetypes!$D$13*IF(AF4&lt;0,1-Assumptions!$B$33*MIN(1,ABS(AF4)/ABS(Assumptions!$B$21)),1))*5*Assumptions!$B$18))*IF(AF4&lt;0,Assumptions!$B$9,1)))*$E4</f>
        <v>16402.867199999997</v>
      </c>
      <c r="AO4" s="18">
        <f>(Archetypes!$D$7)+(AN4)-(MAX(0,((Archetypes!$D$7)+(AN4)-(AP4)))*(IF(Archetypes!$D$27="",Assumptions!$B$11,Archetypes!$D$27)))</f>
        <v>11542.405789935478</v>
      </c>
      <c r="AP4" s="18">
        <f>Archetypes!$D$33</f>
        <v>201.32916645159378</v>
      </c>
      <c r="AQ4" s="18">
        <f t="shared" ref="AQ4:AQ32" si="7">MAX(0,(AO4)-(AP4))</f>
        <v>11341.076623483883</v>
      </c>
    </row>
    <row r="5" spans="1:52" x14ac:dyDescent="0.25">
      <c r="A5" s="14">
        <v>6</v>
      </c>
      <c r="B5" s="14">
        <f t="shared" si="0"/>
        <v>1</v>
      </c>
      <c r="C5" s="14">
        <f t="shared" si="1"/>
        <v>6</v>
      </c>
      <c r="D5" s="15">
        <f>IF(C5&lt;Assumptions!$B$10,1,0)</f>
        <v>0</v>
      </c>
      <c r="E5" s="15">
        <v>6</v>
      </c>
      <c r="F5" s="18">
        <f t="shared" ref="F5:F32" si="8">G4</f>
        <v>45.187199999999997</v>
      </c>
      <c r="G5" s="18">
        <f>MAX(Assumptions!$B$21,(F5)+(H5))</f>
        <v>65.383781713920001</v>
      </c>
      <c r="H5" s="18">
        <f>(((Archetypes!$B$11*(IF(F5&lt;0,1+Assumptions!$B$32*MIN(1,ABS(F5)/ABS(Assumptions!$B$21)),MAX(0.1,1-Assumptions!$B$31*(F5/50)))))-((Archetypes!$B$11*(IF(F5&lt;0,1+Assumptions!$B$32*MIN(1,ABS(F5)/ABS(Assumptions!$B$21)),MAX(0.1,1-Assumptions!$B$31*(F5/50)))))*J5)*Archetypes!$B$15)*Assumptions!$B$22+((Archetypes!$B$11*(IF(F5&lt;0,1+Assumptions!$B$32*MIN(1,ABS(F5)/ABS(Assumptions!$B$21)),MAX(0.1,1-Assumptions!$B$31*(F5/50)))))*J5*Archetypes!$B$15*Archetypes!$B$22)*Assumptions!$B$23+(Archetypes!$B$11*(IF(F5&lt;0,1+Assumptions!$B$32*MIN(1,ABS(F5)/ABS(Assumptions!$B$21)),MAX(0.1,1-Assumptions!$B$31*(F5/50)))))*Assumptions!$B$24+-((Archetypes!$B$11*(IF(F5&lt;0,1+Assumptions!$B$32*MIN(1,ABS(F5)/ABS(Assumptions!$B$21)),MAX(0.1,1-Assumptions!$B$31*(F5/50)))))*Archetypes!$B$16)*(Assumptions!$B$27*(1+Assumptions!$B$28*Archetypes!$B$14)/(1+Assumptions!$B$29*Archetypes!$B$12))+-(Archetypes!$B$11*(IF(F5&lt;0,1+Assumptions!$B$32*MIN(1,ABS(F5)/ABS(Assumptions!$B$21)),MAX(0.1,1-Assumptions!$B$31*(F5/50)))))*Archetypes!$B$17*((Archetypes!$B$31)/100)*Assumptions!$B$30+-Assumptions!$B$25*Assumptions!$B$26)*$E5</f>
        <v>20.196581713920004</v>
      </c>
      <c r="I5" s="18">
        <f>(Archetypes!$B$11*(IF(F5&lt;0,1+Assumptions!$B$32*MIN(1,ABS(F5)/ABS(Assumptions!$B$21)),MAX(0.1,1-Assumptions!$B$31*(F5/50)))))*$E5</f>
        <v>27.465216000000002</v>
      </c>
      <c r="J5" s="19">
        <f>Archetypes!$B$30</f>
        <v>2.1999999999999999E-2</v>
      </c>
      <c r="K5" s="18">
        <f t="shared" si="2"/>
        <v>0.60423475199999999</v>
      </c>
      <c r="L5" s="18">
        <f>((I5-K5)*Archetypes!$B$15)+(K5*Archetypes!$B$15*Archetypes!$B$22)</f>
        <v>2.7586062950400003</v>
      </c>
      <c r="M5" s="18">
        <f>I5*Archetypes!$B$16</f>
        <v>20.598912000000002</v>
      </c>
      <c r="N5" s="18">
        <f>(IF(F5&lt;0,Assumptions!$B$8,IF(F5&lt;10,Assumptions!$B$34,IF(F5&lt;25,Assumptions!$B$35,Assumptions!$B$36))))*((((Archetypes!$B$5*Assumptions!$B$4+Archetypes!$B$6*Assumptions!$B$5)*60))+(Assumptions!$B$6*(((Archetypes!$B$11*(IF(F5&lt;0,1+Assumptions!$B$32*MIN(1,ABS(F5)/ABS(Assumptions!$B$21)),MAX(0.1,1-Assumptions!$B$31*(F5/50)))))-((Archetypes!$B$11*(IF(F5&lt;0,1+Assumptions!$B$32*MIN(1,ABS(F5)/ABS(Assumptions!$B$21)),MAX(0.1,1-Assumptions!$B$31*(F5/50)))))*J5)*Archetypes!$B$20)+((Archetypes!$B$11*(IF(F5&lt;0,1+Assumptions!$B$32*MIN(1,ABS(F5)/ABS(Assumptions!$B$21)),MAX(0.1,1-Assumptions!$B$31*(F5/50)))))*J5*Archetypes!$B$20*Archetypes!$B$21)*Assumptions!$B$18)*(IF($D5=1,1,Assumptions!$B$7)))+(((((Archetypes!$B$11*(IF(F5&lt;0,1+Assumptions!$B$32*MIN(1,ABS(F5)/ABS(Assumptions!$B$21)),MAX(0.1,1-Assumptions!$B$31*(F5/50)))))-((Archetypes!$B$11*(IF(F5&lt;0,1+Assumptions!$B$32*MIN(1,ABS(F5)/ABS(Assumptions!$B$21)),MAX(0.1,1-Assumptions!$B$31*(F5/50)))))*J5)*Archetypes!$B$15)*(Archetypes!$B$13*IF(F5&lt;0,1-Assumptions!$B$33*MIN(1,ABS(F5)/ABS(Assumptions!$B$21)),1))*5)+(((Archetypes!$B$11*(IF(F5&lt;0,1+Assumptions!$B$32*MIN(1,ABS(F5)/ABS(Assumptions!$B$21)),MAX(0.1,1-Assumptions!$B$31*(F5/50)))))*J5*Archetypes!$B$15*Archetypes!$B$22)*(Archetypes!$B$13*IF(F5&lt;0,1-Assumptions!$B$33*MIN(1,ABS(F5)/ABS(Assumptions!$B$21)),1))*5*Assumptions!$B$18))*IF(F5&lt;0,Assumptions!$B$9,1)))*$E5</f>
        <v>1768.1006191104002</v>
      </c>
      <c r="O5" s="18">
        <f>(O4)+(N5)-(MAX(0,((O4)+(N5)-(P5)))*(IF(Archetypes!$B$27="",Assumptions!$B$11,Archetypes!$B$27)))</f>
        <v>4075.99764728832</v>
      </c>
      <c r="P5" s="18">
        <f>Archetypes!$B$33</f>
        <v>25.423199999999998</v>
      </c>
      <c r="Q5" s="18">
        <f t="shared" si="3"/>
        <v>4050.5744472883198</v>
      </c>
      <c r="S5" s="18">
        <f t="shared" ref="S5:S32" si="9">T4</f>
        <v>35.837569142857141</v>
      </c>
      <c r="T5" s="18">
        <f>MAX(Assumptions!$B$21,(S5)+(U5))</f>
        <v>54.180974674619826</v>
      </c>
      <c r="U5" s="18">
        <f>(((Archetypes!$C$11*(IF(S5&lt;0,1+Assumptions!$B$32*MIN(1,ABS(S5)/ABS(Assumptions!$B$21)),MAX(0.1,1-Assumptions!$B$31*(S5/50)))))-((Archetypes!$C$11*(IF(S5&lt;0,1+Assumptions!$B$32*MIN(1,ABS(S5)/ABS(Assumptions!$B$21)),MAX(0.1,1-Assumptions!$B$31*(S5/50)))))*W5)*Archetypes!$C$15)*Assumptions!$B$22+((Archetypes!$C$11*(IF(S5&lt;0,1+Assumptions!$B$32*MIN(1,ABS(S5)/ABS(Assumptions!$B$21)),MAX(0.1,1-Assumptions!$B$31*(S5/50)))))*W5*Archetypes!$C$15*Archetypes!$C$22)*Assumptions!$B$23+(Archetypes!$C$11*(IF(S5&lt;0,1+Assumptions!$B$32*MIN(1,ABS(S5)/ABS(Assumptions!$B$21)),MAX(0.1,1-Assumptions!$B$31*(S5/50)))))*Assumptions!$B$24+-((Archetypes!$C$11*(IF(S5&lt;0,1+Assumptions!$B$32*MIN(1,ABS(S5)/ABS(Assumptions!$B$21)),MAX(0.1,1-Assumptions!$B$31*(S5/50)))))*Archetypes!$C$16)*(Assumptions!$B$27*(1+Assumptions!$B$28*Archetypes!$C$14)/(1+Assumptions!$B$29*Archetypes!$C$12))+-(Archetypes!$C$11*(IF(S5&lt;0,1+Assumptions!$B$32*MIN(1,ABS(S5)/ABS(Assumptions!$B$21)),MAX(0.1,1-Assumptions!$B$31*(S5/50)))))*Archetypes!$C$17*((Archetypes!$C$31)/100)*Assumptions!$B$30+-Assumptions!$B$25*Assumptions!$B$26)*$E5</f>
        <v>18.343405531762684</v>
      </c>
      <c r="V5" s="18">
        <f>(Archetypes!$C$11*(IF(S5&lt;0,1+Assumptions!$B$32*MIN(1,ABS(S5)/ABS(Assumptions!$B$21)),MAX(0.1,1-Assumptions!$B$31*(S5/50)))))*$E5</f>
        <v>20.518170130285718</v>
      </c>
      <c r="W5" s="19">
        <f>Archetypes!$C$30</f>
        <v>3.7999999999999999E-2</v>
      </c>
      <c r="X5" s="18">
        <f t="shared" si="4"/>
        <v>0.77969046495085725</v>
      </c>
      <c r="Y5" s="18">
        <f>((V5-X5)*Archetypes!$C$15)+(X5*Archetypes!$C$15*Archetypes!$C$22)</f>
        <v>10.376038634885488</v>
      </c>
      <c r="Z5" s="18">
        <f>V5*Archetypes!$C$16</f>
        <v>9.233176558628573</v>
      </c>
      <c r="AA5" s="18">
        <f>(IF(S5&lt;0,Assumptions!$B$8,IF(S5&lt;10,Assumptions!$B$34,IF(S5&lt;25,Assumptions!$B$35,Assumptions!$B$36))))*((((Archetypes!$C$5*Assumptions!$B$4+Archetypes!$C$6*Assumptions!$B$5)*60))+(Assumptions!$B$6*(((Archetypes!$C$11*(IF(S5&lt;0,1+Assumptions!$B$32*MIN(1,ABS(S5)/ABS(Assumptions!$B$21)),MAX(0.1,1-Assumptions!$B$31*(S5/50)))))-((Archetypes!$C$11*(IF(S5&lt;0,1+Assumptions!$B$32*MIN(1,ABS(S5)/ABS(Assumptions!$B$21)),MAX(0.1,1-Assumptions!$B$31*(S5/50)))))*W5)*Archetypes!$C$20)+((Archetypes!$C$11*(IF(S5&lt;0,1+Assumptions!$B$32*MIN(1,ABS(S5)/ABS(Assumptions!$B$21)),MAX(0.1,1-Assumptions!$B$31*(S5/50)))))*W5*Archetypes!$C$20*Archetypes!$C$21)*Assumptions!$B$18)*(IF($D5=1,1,Assumptions!$B$7)))+(((((Archetypes!$C$11*(IF(S5&lt;0,1+Assumptions!$B$32*MIN(1,ABS(S5)/ABS(Assumptions!$B$21)),MAX(0.1,1-Assumptions!$B$31*(S5/50)))))-((Archetypes!$C$11*(IF(S5&lt;0,1+Assumptions!$B$32*MIN(1,ABS(S5)/ABS(Assumptions!$B$21)),MAX(0.1,1-Assumptions!$B$31*(S5/50)))))*W5)*Archetypes!$C$15)*(Archetypes!$C$13*IF(S5&lt;0,1-Assumptions!$B$33*MIN(1,ABS(S5)/ABS(Assumptions!$B$21)),1))*5)+(((Archetypes!$C$11*(IF(S5&lt;0,1+Assumptions!$B$32*MIN(1,ABS(S5)/ABS(Assumptions!$B$21)),MAX(0.1,1-Assumptions!$B$31*(S5/50)))))*W5*Archetypes!$C$15*Archetypes!$C$22)*(Archetypes!$C$13*IF(S5&lt;0,1-Assumptions!$B$33*MIN(1,ABS(S5)/ABS(Assumptions!$B$21)),1))*5*Assumptions!$B$18))*IF(S5&lt;0,Assumptions!$B$9,1)))*$E5</f>
        <v>5570.9753298560317</v>
      </c>
      <c r="AB5" s="18">
        <f>(AB4)+(AA5)-(MAX(0,((AB4)+(AA5)-(AC5)))*(IF(Archetypes!$C$27="",Assumptions!$B$11,Archetypes!$C$27)))</f>
        <v>9866.8268723920246</v>
      </c>
      <c r="AC5" s="18">
        <f>Archetypes!$C$33</f>
        <v>90.34</v>
      </c>
      <c r="AD5" s="18">
        <f t="shared" si="5"/>
        <v>9776.4868723920245</v>
      </c>
      <c r="AF5" s="18">
        <f t="shared" ref="AF5:AF32" si="10">AG4</f>
        <v>35.587411200000005</v>
      </c>
      <c r="AG5" s="18">
        <f>MAX(Assumptions!$B$21,(AF5)+(AH5))</f>
        <v>49.701112595152892</v>
      </c>
      <c r="AH5" s="18">
        <f>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$15)*Assumptions!$B$22+((Archetypes!$D$11*(IF(AF5&lt;0,1+Assumptions!$B$32*MIN(1,ABS(AF5)/ABS(Assumptions!$B$21)),MAX(0.1,1-Assumptions!$B$31*(AF5/50)))))*AJ5*Archetypes!$D$15*Archetypes!$D$22)*Assumptions!$B$23+(Archetypes!$D$11*(IF(AF5&lt;0,1+Assumptions!$B$32*MIN(1,ABS(AF5)/ABS(Assumptions!$B$21)),MAX(0.1,1-Assumptions!$B$31*(AF5/50)))))*Assumptions!$B$24+-((Archetypes!$D$11*(IF(AF5&lt;0,1+Assumptions!$B$32*MIN(1,ABS(AF5)/ABS(Assumptions!$B$21)),MAX(0.1,1-Assumptions!$B$31*(AF5/50)))))*Archetypes!$D$16)*(Assumptions!$B$27*(1+Assumptions!$B$28*Archetypes!$D$14)/(1+Assumptions!$B$29*Archetypes!$D$12))+-(Archetypes!$D$11*(IF(AF5&lt;0,1+Assumptions!$B$32*MIN(1,ABS(AF5)/ABS(Assumptions!$B$21)),MAX(0.1,1-Assumptions!$B$31*(AF5/50)))))*Archetypes!$D$17*((Archetypes!$D$31)/100)*Assumptions!$B$30+-Assumptions!$B$25*Assumptions!$B$26)*$E5</f>
        <v>14.113701395152891</v>
      </c>
      <c r="AI5" s="18">
        <f>(Archetypes!$D$11*(IF(AF5&lt;0,1+Assumptions!$B$32*MIN(1,ABS(AF5)/ABS(Assumptions!$B$21)),MAX(0.1,1-Assumptions!$B$31*(AF5/50)))))*$E5</f>
        <v>10.313119180799998</v>
      </c>
      <c r="AJ5" s="19">
        <f>Archetypes!$D$30</f>
        <v>0.10400000000000001</v>
      </c>
      <c r="AK5" s="18">
        <f t="shared" si="6"/>
        <v>1.0725643948031998</v>
      </c>
      <c r="AL5" s="18">
        <f>((AI5-AK5)*Archetypes!$D$15)+(AK5*Archetypes!$D$15*Archetypes!$D$22)</f>
        <v>16.113217408081915</v>
      </c>
      <c r="AM5" s="18">
        <f>AI5*Archetypes!$D$16</f>
        <v>2.0626238361599998</v>
      </c>
      <c r="AN5" s="18">
        <f>(IF(AF5&lt;0,Assumptions!$B$8,IF(AF5&lt;10,Assumptions!$B$34,IF(AF5&lt;25,Assumptions!$B$35,Assumptions!$B$36))))*((((Archetypes!$D$5*Assumptions!$B$4+Archetypes!$D$6*Assumptions!$B$5)*60))+(Assumptions!$B$6*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$20)+((Archetypes!$D$11*(IF(AF5&lt;0,1+Assumptions!$B$32*MIN(1,ABS(AF5)/ABS(Assumptions!$B$21)),MAX(0.1,1-Assumptions!$B$31*(AF5/50)))))*AJ5*Archetypes!$D$20*Archetypes!$D$21)*Assumptions!$B$18)*(IF($D5=1,1,Assumptions!$B$7)))+((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$15)*(Archetypes!$D$13*IF(AF5&lt;0,1-Assumptions!$B$33*MIN(1,ABS(AF5)/ABS(Assumptions!$B$21)),1))*5)+(((Archetypes!$D$11*(IF(AF5&lt;0,1+Assumptions!$B$32*MIN(1,ABS(AF5)/ABS(Assumptions!$B$21)),MAX(0.1,1-Assumptions!$B$31*(AF5/50)))))*AJ5*Archetypes!$D$15*Archetypes!$D$22)*(Archetypes!$D$13*IF(AF5&lt;0,1-Assumptions!$B$33*MIN(1,ABS(AF5)/ABS(Assumptions!$B$21)),1))*5*Assumptions!$B$18))*IF(AF5&lt;0,Assumptions!$B$9,1)))*$E5</f>
        <v>8923.0381988532481</v>
      </c>
      <c r="AO5" s="18">
        <f>(AO4)+(AN5)-(MAX(0,((AO4)+(AN5)-(AP5)))*(IF(Archetypes!$D$27="",Assumptions!$B$11,Archetypes!$D$27)))</f>
        <v>14386.209542087588</v>
      </c>
      <c r="AP5" s="18">
        <f>Archetypes!$D$33</f>
        <v>201.32916645159378</v>
      </c>
      <c r="AQ5" s="18">
        <f t="shared" si="7"/>
        <v>14184.880375635994</v>
      </c>
    </row>
    <row r="6" spans="1:52" x14ac:dyDescent="0.25">
      <c r="A6" s="14">
        <v>12</v>
      </c>
      <c r="B6" s="14">
        <f t="shared" si="0"/>
        <v>1</v>
      </c>
      <c r="C6" s="14">
        <f t="shared" si="1"/>
        <v>12</v>
      </c>
      <c r="D6" s="15">
        <f>IF(C6&lt;Assumptions!$B$10,1,0)</f>
        <v>0</v>
      </c>
      <c r="E6" s="15">
        <v>6</v>
      </c>
      <c r="F6" s="18">
        <f t="shared" si="8"/>
        <v>65.383781713920001</v>
      </c>
      <c r="G6" s="18">
        <f>MAX(Assumptions!$B$21,(F6)+(H6))</f>
        <v>74.41071661865071</v>
      </c>
      <c r="H6" s="18">
        <f>(((Archetypes!$B$11*(IF(F6&lt;0,1+Assumptions!$B$32*MIN(1,ABS(F6)/ABS(Assumptions!$B$21)),MAX(0.1,1-Assumptions!$B$31*(F6/50)))))-((Archetypes!$B$11*(IF(F6&lt;0,1+Assumptions!$B$32*MIN(1,ABS(F6)/ABS(Assumptions!$B$21)),MAX(0.1,1-Assumptions!$B$31*(F6/50)))))*J6)*Archetypes!$B$15)*Assumptions!$B$22+((Archetypes!$B$11*(IF(F6&lt;0,1+Assumptions!$B$32*MIN(1,ABS(F6)/ABS(Assumptions!$B$21)),MAX(0.1,1-Assumptions!$B$31*(F6/50)))))*J6*Archetypes!$B$15*Archetypes!$B$22)*Assumptions!$B$23+(Archetypes!$B$11*(IF(F6&lt;0,1+Assumptions!$B$32*MIN(1,ABS(F6)/ABS(Assumptions!$B$21)),MAX(0.1,1-Assumptions!$B$31*(F6/50)))))*Assumptions!$B$24+-((Archetypes!$B$11*(IF(F6&lt;0,1+Assumptions!$B$32*MIN(1,ABS(F6)/ABS(Assumptions!$B$21)),MAX(0.1,1-Assumptions!$B$31*(F6/50)))))*Archetypes!$B$16)*(Assumptions!$B$27*(1+Assumptions!$B$28*Archetypes!$B$14)/(1+Assumptions!$B$29*Archetypes!$B$12))+-(Archetypes!$B$11*(IF(F6&lt;0,1+Assumptions!$B$32*MIN(1,ABS(F6)/ABS(Assumptions!$B$21)),MAX(0.1,1-Assumptions!$B$31*(F6/50)))))*Archetypes!$B$17*((Archetypes!$B$31)/100)*Assumptions!$B$30+-Assumptions!$B$25*Assumptions!$B$26)*$E6</f>
        <v>9.0269349047307124</v>
      </c>
      <c r="I6" s="18">
        <f>(Archetypes!$B$11*(IF(F6&lt;0,1+Assumptions!$B$32*MIN(1,ABS(F6)/ABS(Assumptions!$B$21)),MAX(0.1,1-Assumptions!$B$31*(F6/50)))))*$E6</f>
        <v>12.923677165977599</v>
      </c>
      <c r="J6" s="19">
        <f>Archetypes!$B$30</f>
        <v>2.1999999999999999E-2</v>
      </c>
      <c r="K6" s="18">
        <f t="shared" si="2"/>
        <v>0.28432089765150714</v>
      </c>
      <c r="L6" s="18">
        <f>((I6-K6)*Archetypes!$B$15)+(K6*Archetypes!$B$15*Archetypes!$B$22)</f>
        <v>1.2980541345507901</v>
      </c>
      <c r="M6" s="18">
        <f>I6*Archetypes!$B$16</f>
        <v>9.692757874483199</v>
      </c>
      <c r="N6" s="18">
        <f>(IF(F6&lt;0,Assumptions!$B$8,IF(F6&lt;10,Assumptions!$B$34,IF(F6&lt;25,Assumptions!$B$35,Assumptions!$B$36))))*((((Archetypes!$B$5*Assumptions!$B$4+Archetypes!$B$6*Assumptions!$B$5)*60))+(Assumptions!$B$6*(((Archetypes!$B$11*(IF(F6&lt;0,1+Assumptions!$B$32*MIN(1,ABS(F6)/ABS(Assumptions!$B$21)),MAX(0.1,1-Assumptions!$B$31*(F6/50)))))-((Archetypes!$B$11*(IF(F6&lt;0,1+Assumptions!$B$32*MIN(1,ABS(F6)/ABS(Assumptions!$B$21)),MAX(0.1,1-Assumptions!$B$31*(F6/50)))))*J6)*Archetypes!$B$20)+((Archetypes!$B$11*(IF(F6&lt;0,1+Assumptions!$B$32*MIN(1,ABS(F6)/ABS(Assumptions!$B$21)),MAX(0.1,1-Assumptions!$B$31*(F6/50)))))*J6*Archetypes!$B$20*Archetypes!$B$21)*Assumptions!$B$18)*(IF($D6=1,1,Assumptions!$B$7)))+(((((Archetypes!$B$11*(IF(F6&lt;0,1+Assumptions!$B$32*MIN(1,ABS(F6)/ABS(Assumptions!$B$21)),MAX(0.1,1-Assumptions!$B$31*(F6/50)))))-((Archetypes!$B$11*(IF(F6&lt;0,1+Assumptions!$B$32*MIN(1,ABS(F6)/ABS(Assumptions!$B$21)),MAX(0.1,1-Assumptions!$B$31*(F6/50)))))*J6)*Archetypes!$B$15)*(Archetypes!$B$13*IF(F6&lt;0,1-Assumptions!$B$33*MIN(1,ABS(F6)/ABS(Assumptions!$B$21)),1))*5)+(((Archetypes!$B$11*(IF(F6&lt;0,1+Assumptions!$B$32*MIN(1,ABS(F6)/ABS(Assumptions!$B$21)),MAX(0.1,1-Assumptions!$B$31*(F6/50)))))*J6*Archetypes!$B$15*Archetypes!$B$22)*(Archetypes!$B$13*IF(F6&lt;0,1-Assumptions!$B$33*MIN(1,ABS(F6)/ABS(Assumptions!$B$21)),1))*5*Assumptions!$B$18))*IF(F6&lt;0,Assumptions!$B$9,1)))*$E6</f>
        <v>1318.0123632736218</v>
      </c>
      <c r="O6" s="18">
        <f>(O5)+(N6)-(MAX(0,((O5)+(N6)-(P6)))*(IF(Archetypes!$B$27="",Assumptions!$B$11,Archetypes!$B$27)))</f>
        <v>4320.2926484495538</v>
      </c>
      <c r="P6" s="18">
        <f>Archetypes!$B$33</f>
        <v>25.423199999999998</v>
      </c>
      <c r="Q6" s="18">
        <f t="shared" si="3"/>
        <v>4294.8694484495536</v>
      </c>
      <c r="S6" s="18">
        <f t="shared" si="9"/>
        <v>54.180974674619826</v>
      </c>
      <c r="T6" s="18">
        <f>MAX(Assumptions!$B$21,(S6)+(U6))</f>
        <v>65.092357635576718</v>
      </c>
      <c r="U6" s="18">
        <f>(((Archetypes!$C$11*(IF(S6&lt;0,1+Assumptions!$B$32*MIN(1,ABS(S6)/ABS(Assumptions!$B$21)),MAX(0.1,1-Assumptions!$B$31*(S6/50)))))-((Archetypes!$C$11*(IF(S6&lt;0,1+Assumptions!$B$32*MIN(1,ABS(S6)/ABS(Assumptions!$B$21)),MAX(0.1,1-Assumptions!$B$31*(S6/50)))))*W6)*Archetypes!$C$15)*Assumptions!$B$22+((Archetypes!$C$11*(IF(S6&lt;0,1+Assumptions!$B$32*MIN(1,ABS(S6)/ABS(Assumptions!$B$21)),MAX(0.1,1-Assumptions!$B$31*(S6/50)))))*W6*Archetypes!$C$15*Archetypes!$C$22)*Assumptions!$B$23+(Archetypes!$C$11*(IF(S6&lt;0,1+Assumptions!$B$32*MIN(1,ABS(S6)/ABS(Assumptions!$B$21)),MAX(0.1,1-Assumptions!$B$31*(S6/50)))))*Assumptions!$B$24+-((Archetypes!$C$11*(IF(S6&lt;0,1+Assumptions!$B$32*MIN(1,ABS(S6)/ABS(Assumptions!$B$21)),MAX(0.1,1-Assumptions!$B$31*(S6/50)))))*Archetypes!$C$16)*(Assumptions!$B$27*(1+Assumptions!$B$28*Archetypes!$C$14)/(1+Assumptions!$B$29*Archetypes!$C$12))+-(Archetypes!$C$11*(IF(S6&lt;0,1+Assumptions!$B$32*MIN(1,ABS(S6)/ABS(Assumptions!$B$21)),MAX(0.1,1-Assumptions!$B$31*(S6/50)))))*Archetypes!$C$17*((Archetypes!$C$31)/100)*Assumptions!$B$30+-Assumptions!$B$25*Assumptions!$B$26)*$E6</f>
        <v>10.9113829609569</v>
      </c>
      <c r="V6" s="18">
        <f>(Archetypes!$C$11*(IF(S6&lt;0,1+Assumptions!$B$32*MIN(1,ABS(S6)/ABS(Assumptions!$B$21)),MAX(0.1,1-Assumptions!$B$31*(S6/50)))))*$E6</f>
        <v>12.593818940564237</v>
      </c>
      <c r="W6" s="19">
        <f>Archetypes!$C$30</f>
        <v>3.7999999999999999E-2</v>
      </c>
      <c r="X6" s="18">
        <f t="shared" si="4"/>
        <v>0.478565119741441</v>
      </c>
      <c r="Y6" s="18">
        <f>((V6-X6)*Archetypes!$C$15)+(X6*Archetypes!$C$15*Archetypes!$C$22)</f>
        <v>6.368694238243334</v>
      </c>
      <c r="Z6" s="18">
        <f>V6*Archetypes!$C$16</f>
        <v>5.667218523253907</v>
      </c>
      <c r="AA6" s="18">
        <f>(IF(S6&lt;0,Assumptions!$B$8,IF(S6&lt;10,Assumptions!$B$34,IF(S6&lt;25,Assumptions!$B$35,Assumptions!$B$36))))*((((Archetypes!$C$5*Assumptions!$B$4+Archetypes!$C$6*Assumptions!$B$5)*60))+(Assumptions!$B$6*(((Archetypes!$C$11*(IF(S6&lt;0,1+Assumptions!$B$32*MIN(1,ABS(S6)/ABS(Assumptions!$B$21)),MAX(0.1,1-Assumptions!$B$31*(S6/50)))))-((Archetypes!$C$11*(IF(S6&lt;0,1+Assumptions!$B$32*MIN(1,ABS(S6)/ABS(Assumptions!$B$21)),MAX(0.1,1-Assumptions!$B$31*(S6/50)))))*W6)*Archetypes!$C$20)+((Archetypes!$C$11*(IF(S6&lt;0,1+Assumptions!$B$32*MIN(1,ABS(S6)/ABS(Assumptions!$B$21)),MAX(0.1,1-Assumptions!$B$31*(S6/50)))))*W6*Archetypes!$C$20*Archetypes!$C$21)*Assumptions!$B$18)*(IF($D6=1,1,Assumptions!$B$7)))+(((((Archetypes!$C$11*(IF(S6&lt;0,1+Assumptions!$B$32*MIN(1,ABS(S6)/ABS(Assumptions!$B$21)),MAX(0.1,1-Assumptions!$B$31*(S6/50)))))-((Archetypes!$C$11*(IF(S6&lt;0,1+Assumptions!$B$32*MIN(1,ABS(S6)/ABS(Assumptions!$B$21)),MAX(0.1,1-Assumptions!$B$31*(S6/50)))))*W6)*Archetypes!$C$15)*(Archetypes!$C$13*IF(S6&lt;0,1-Assumptions!$B$33*MIN(1,ABS(S6)/ABS(Assumptions!$B$21)),1))*5)+(((Archetypes!$C$11*(IF(S6&lt;0,1+Assumptions!$B$32*MIN(1,ABS(S6)/ABS(Assumptions!$B$21)),MAX(0.1,1-Assumptions!$B$31*(S6/50)))))*W6*Archetypes!$C$15*Archetypes!$C$22)*(Archetypes!$C$13*IF(S6&lt;0,1-Assumptions!$B$33*MIN(1,ABS(S6)/ABS(Assumptions!$B$21)),1))*5*Assumptions!$B$18))*IF(S6&lt;0,Assumptions!$B$9,1)))*$E6</f>
        <v>4955.7500992342675</v>
      </c>
      <c r="AB6" s="18">
        <f>(AB5)+(AA6)-(MAX(0,((AB5)+(AA6)-(AC6)))*(IF(Archetypes!$C$27="",Assumptions!$B$11,Archetypes!$C$27)))</f>
        <v>11139.517728719718</v>
      </c>
      <c r="AC6" s="18">
        <f>Archetypes!$C$33</f>
        <v>90.34</v>
      </c>
      <c r="AD6" s="18">
        <f t="shared" si="5"/>
        <v>11049.177728719718</v>
      </c>
      <c r="AF6" s="18">
        <f t="shared" si="10"/>
        <v>49.701112595152892</v>
      </c>
      <c r="AG6" s="18">
        <f>MAX(Assumptions!$B$21,(AF6)+(AH6))</f>
        <v>59.376761715696077</v>
      </c>
      <c r="AH6" s="18">
        <f>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$15)*Assumptions!$B$22+((Archetypes!$D$11*(IF(AF6&lt;0,1+Assumptions!$B$32*MIN(1,ABS(AF6)/ABS(Assumptions!$B$21)),MAX(0.1,1-Assumptions!$B$31*(AF6/50)))))*AJ6*Archetypes!$D$15*Archetypes!$D$22)*Assumptions!$B$23+(Archetypes!$D$11*(IF(AF6&lt;0,1+Assumptions!$B$32*MIN(1,ABS(AF6)/ABS(Assumptions!$B$21)),MAX(0.1,1-Assumptions!$B$31*(AF6/50)))))*Assumptions!$B$24+-((Archetypes!$D$11*(IF(AF6&lt;0,1+Assumptions!$B$32*MIN(1,ABS(AF6)/ABS(Assumptions!$B$21)),MAX(0.1,1-Assumptions!$B$31*(AF6/50)))))*Archetypes!$D$16)*(Assumptions!$B$27*(1+Assumptions!$B$28*Archetypes!$D$14)/(1+Assumptions!$B$29*Archetypes!$D$12))+-(Archetypes!$D$11*(IF(AF6&lt;0,1+Assumptions!$B$32*MIN(1,ABS(AF6)/ABS(Assumptions!$B$21)),MAX(0.1,1-Assumptions!$B$31*(AF6/50)))))*Archetypes!$D$17*((Archetypes!$D$31)/100)*Assumptions!$B$30+-Assumptions!$B$25*Assumptions!$B$26)*$E6</f>
        <v>9.6756491205431807</v>
      </c>
      <c r="AI6" s="18">
        <f>(Archetypes!$D$11*(IF(AF6&lt;0,1+Assumptions!$B$32*MIN(1,ABS(AF6)/ABS(Assumptions!$B$21)),MAX(0.1,1-Assumptions!$B$31*(AF6/50)))))*$E6</f>
        <v>7.2645596794469762</v>
      </c>
      <c r="AJ6" s="19">
        <f>Archetypes!$D$30</f>
        <v>0.10400000000000001</v>
      </c>
      <c r="AK6" s="18">
        <f t="shared" si="6"/>
        <v>0.75551420666248559</v>
      </c>
      <c r="AL6" s="18">
        <f>((AI6-AK6)*Archetypes!$D$15)+(AK6*Archetypes!$D$15*Archetypes!$D$22)</f>
        <v>11.350148043167955</v>
      </c>
      <c r="AM6" s="18">
        <f>AI6*Archetypes!$D$16</f>
        <v>1.4529119358893954</v>
      </c>
      <c r="AN6" s="18">
        <f>(IF(AF6&lt;0,Assumptions!$B$8,IF(AF6&lt;10,Assumptions!$B$34,IF(AF6&lt;25,Assumptions!$B$35,Assumptions!$B$36))))*((((Archetypes!$D$5*Assumptions!$B$4+Archetypes!$D$6*Assumptions!$B$5)*60))+(Assumptions!$B$6*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$20)+((Archetypes!$D$11*(IF(AF6&lt;0,1+Assumptions!$B$32*MIN(1,ABS(AF6)/ABS(Assumptions!$B$21)),MAX(0.1,1-Assumptions!$B$31*(AF6/50)))))*AJ6*Archetypes!$D$20*Archetypes!$D$21)*Assumptions!$B$18)*(IF($D6=1,1,Assumptions!$B$7)))+((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$15)*(Archetypes!$D$13*IF(AF6&lt;0,1-Assumptions!$B$33*MIN(1,ABS(AF6)/ABS(Assumptions!$B$21)),1))*5)+(((Archetypes!$D$11*(IF(AF6&lt;0,1+Assumptions!$B$32*MIN(1,ABS(AF6)/ABS(Assumptions!$B$21)),MAX(0.1,1-Assumptions!$B$31*(AF6/50)))))*AJ6*Archetypes!$D$15*Archetypes!$D$22)*(Archetypes!$D$13*IF(AF6&lt;0,1-Assumptions!$B$33*MIN(1,ABS(AF6)/ABS(Assumptions!$B$21)),1))*5*Assumptions!$B$18))*IF(AF6&lt;0,Assumptions!$B$9,1)))*$E6</f>
        <v>8184.9133509868998</v>
      </c>
      <c r="AO6" s="18">
        <f>(AO5)+(AN6)-(MAX(0,((AO5)+(AN6)-(AP6)))*(IF(Archetypes!$D$27="",Assumptions!$B$11,Archetypes!$D$27)))</f>
        <v>15860.184775087619</v>
      </c>
      <c r="AP6" s="18">
        <f>Archetypes!$D$33</f>
        <v>201.32916645159378</v>
      </c>
      <c r="AQ6" s="18">
        <f t="shared" si="7"/>
        <v>15658.855608636024</v>
      </c>
    </row>
    <row r="7" spans="1:52" x14ac:dyDescent="0.25">
      <c r="A7" s="14">
        <v>18</v>
      </c>
      <c r="B7" s="14">
        <f t="shared" si="0"/>
        <v>1</v>
      </c>
      <c r="C7" s="14">
        <f t="shared" si="1"/>
        <v>18</v>
      </c>
      <c r="D7" s="15">
        <f>IF(C7&lt;Assumptions!$B$10,1,0)</f>
        <v>0</v>
      </c>
      <c r="E7" s="15">
        <v>6</v>
      </c>
      <c r="F7" s="18">
        <f t="shared" si="8"/>
        <v>74.41071661865071</v>
      </c>
      <c r="G7" s="18">
        <f>MAX(Assumptions!$B$21,(F7)+(H7))</f>
        <v>78.44533767128577</v>
      </c>
      <c r="H7" s="18">
        <f>(((Archetypes!$B$11*(IF(F7&lt;0,1+Assumptions!$B$32*MIN(1,ABS(F7)/ABS(Assumptions!$B$21)),MAX(0.1,1-Assumptions!$B$31*(F7/50)))))-((Archetypes!$B$11*(IF(F7&lt;0,1+Assumptions!$B$32*MIN(1,ABS(F7)/ABS(Assumptions!$B$21)),MAX(0.1,1-Assumptions!$B$31*(F7/50)))))*J7)*Archetypes!$B$15)*Assumptions!$B$22+((Archetypes!$B$11*(IF(F7&lt;0,1+Assumptions!$B$32*MIN(1,ABS(F7)/ABS(Assumptions!$B$21)),MAX(0.1,1-Assumptions!$B$31*(F7/50)))))*J7*Archetypes!$B$15*Archetypes!$B$22)*Assumptions!$B$23+(Archetypes!$B$11*(IF(F7&lt;0,1+Assumptions!$B$32*MIN(1,ABS(F7)/ABS(Assumptions!$B$21)),MAX(0.1,1-Assumptions!$B$31*(F7/50)))))*Assumptions!$B$24+-((Archetypes!$B$11*(IF(F7&lt;0,1+Assumptions!$B$32*MIN(1,ABS(F7)/ABS(Assumptions!$B$21)),MAX(0.1,1-Assumptions!$B$31*(F7/50)))))*Archetypes!$B$16)*(Assumptions!$B$27*(1+Assumptions!$B$28*Archetypes!$B$14)/(1+Assumptions!$B$29*Archetypes!$B$12))+-(Archetypes!$B$11*(IF(F7&lt;0,1+Assumptions!$B$32*MIN(1,ABS(F7)/ABS(Assumptions!$B$21)),MAX(0.1,1-Assumptions!$B$31*(F7/50)))))*Archetypes!$B$17*((Archetypes!$B$31)/100)*Assumptions!$B$30+-Assumptions!$B$25*Assumptions!$B$26)*$E7</f>
        <v>4.0346210526350568</v>
      </c>
      <c r="I7" s="18">
        <f>(Archetypes!$B$11*(IF(F7&lt;0,1+Assumptions!$B$32*MIN(1,ABS(F7)/ABS(Assumptions!$B$21)),MAX(0.1,1-Assumptions!$B$31*(F7/50)))))*$E7</f>
        <v>6.4242840345714942</v>
      </c>
      <c r="J7" s="19">
        <f>Archetypes!$B$30</f>
        <v>2.1999999999999999E-2</v>
      </c>
      <c r="K7" s="18">
        <f t="shared" si="2"/>
        <v>0.14133424876057288</v>
      </c>
      <c r="L7" s="18">
        <f>((I7-K7)*Archetypes!$B$15)+(K7*Archetypes!$B$15*Archetypes!$B$22)</f>
        <v>0.6452550884323609</v>
      </c>
      <c r="M7" s="18">
        <f>I7*Archetypes!$B$16</f>
        <v>4.8182130259286211</v>
      </c>
      <c r="N7" s="18">
        <f>(IF(F7&lt;0,Assumptions!$B$8,IF(F7&lt;10,Assumptions!$B$34,IF(F7&lt;25,Assumptions!$B$35,Assumptions!$B$36))))*((((Archetypes!$B$5*Assumptions!$B$4+Archetypes!$B$6*Assumptions!$B$5)*60))+(Assumptions!$B$6*(((Archetypes!$B$11*(IF(F7&lt;0,1+Assumptions!$B$32*MIN(1,ABS(F7)/ABS(Assumptions!$B$21)),MAX(0.1,1-Assumptions!$B$31*(F7/50)))))-((Archetypes!$B$11*(IF(F7&lt;0,1+Assumptions!$B$32*MIN(1,ABS(F7)/ABS(Assumptions!$B$21)),MAX(0.1,1-Assumptions!$B$31*(F7/50)))))*J7)*Archetypes!$B$20)+((Archetypes!$B$11*(IF(F7&lt;0,1+Assumptions!$B$32*MIN(1,ABS(F7)/ABS(Assumptions!$B$21)),MAX(0.1,1-Assumptions!$B$31*(F7/50)))))*J7*Archetypes!$B$20*Archetypes!$B$21)*Assumptions!$B$18)*(IF($D7=1,1,Assumptions!$B$7)))+(((((Archetypes!$B$11*(IF(F7&lt;0,1+Assumptions!$B$32*MIN(1,ABS(F7)/ABS(Assumptions!$B$21)),MAX(0.1,1-Assumptions!$B$31*(F7/50)))))-((Archetypes!$B$11*(IF(F7&lt;0,1+Assumptions!$B$32*MIN(1,ABS(F7)/ABS(Assumptions!$B$21)),MAX(0.1,1-Assumptions!$B$31*(F7/50)))))*J7)*Archetypes!$B$15)*(Archetypes!$B$13*IF(F7&lt;0,1-Assumptions!$B$33*MIN(1,ABS(F7)/ABS(Assumptions!$B$21)),1))*5)+(((Archetypes!$B$11*(IF(F7&lt;0,1+Assumptions!$B$32*MIN(1,ABS(F7)/ABS(Assumptions!$B$21)),MAX(0.1,1-Assumptions!$B$31*(F7/50)))))*J7*Archetypes!$B$15*Archetypes!$B$22)*(Archetypes!$B$13*IF(F7&lt;0,1-Assumptions!$B$33*MIN(1,ABS(F7)/ABS(Assumptions!$B$21)),1))*5*Assumptions!$B$18))*IF(F7&lt;0,Assumptions!$B$9,1)))*$E7</f>
        <v>1116.8437970096534</v>
      </c>
      <c r="O7" s="18">
        <f>(O6)+(N7)-(MAX(0,((O6)+(N7)-(P7)))*(IF(Archetypes!$B$27="",Assumptions!$B$11,Archetypes!$B$27)))</f>
        <v>4354.7937963673658</v>
      </c>
      <c r="P7" s="18">
        <f>Archetypes!$B$33</f>
        <v>25.423199999999998</v>
      </c>
      <c r="Q7" s="18">
        <f t="shared" si="3"/>
        <v>4329.3705963673656</v>
      </c>
      <c r="S7" s="18">
        <f t="shared" si="9"/>
        <v>65.092357635576718</v>
      </c>
      <c r="T7" s="18">
        <f>MAX(Assumptions!$B$21,(S7)+(U7))</f>
        <v>71.582879688011545</v>
      </c>
      <c r="U7" s="18">
        <f>(((Archetypes!$C$11*(IF(S7&lt;0,1+Assumptions!$B$32*MIN(1,ABS(S7)/ABS(Assumptions!$B$21)),MAX(0.1,1-Assumptions!$B$31*(S7/50)))))-((Archetypes!$C$11*(IF(S7&lt;0,1+Assumptions!$B$32*MIN(1,ABS(S7)/ABS(Assumptions!$B$21)),MAX(0.1,1-Assumptions!$B$31*(S7/50)))))*W7)*Archetypes!$C$15)*Assumptions!$B$22+((Archetypes!$C$11*(IF(S7&lt;0,1+Assumptions!$B$32*MIN(1,ABS(S7)/ABS(Assumptions!$B$21)),MAX(0.1,1-Assumptions!$B$31*(S7/50)))))*W7*Archetypes!$C$15*Archetypes!$C$22)*Assumptions!$B$23+(Archetypes!$C$11*(IF(S7&lt;0,1+Assumptions!$B$32*MIN(1,ABS(S7)/ABS(Assumptions!$B$21)),MAX(0.1,1-Assumptions!$B$31*(S7/50)))))*Assumptions!$B$24+-((Archetypes!$C$11*(IF(S7&lt;0,1+Assumptions!$B$32*MIN(1,ABS(S7)/ABS(Assumptions!$B$21)),MAX(0.1,1-Assumptions!$B$31*(S7/50)))))*Archetypes!$C$16)*(Assumptions!$B$27*(1+Assumptions!$B$28*Archetypes!$C$14)/(1+Assumptions!$B$29*Archetypes!$C$12))+-(Archetypes!$C$11*(IF(S7&lt;0,1+Assumptions!$B$32*MIN(1,ABS(S7)/ABS(Assumptions!$B$21)),MAX(0.1,1-Assumptions!$B$31*(S7/50)))))*Archetypes!$C$17*((Archetypes!$C$31)/100)*Assumptions!$B$30+-Assumptions!$B$25*Assumptions!$B$26)*$E7</f>
        <v>6.4905220524348213</v>
      </c>
      <c r="V7" s="18">
        <f>(Archetypes!$C$11*(IF(S7&lt;0,1+Assumptions!$B$32*MIN(1,ABS(S7)/ABS(Assumptions!$B$21)),MAX(0.1,1-Assumptions!$B$31*(S7/50)))))*$E7</f>
        <v>7.8801015014308611</v>
      </c>
      <c r="W7" s="19">
        <f>Archetypes!$C$30</f>
        <v>3.7999999999999999E-2</v>
      </c>
      <c r="X7" s="18">
        <f t="shared" si="4"/>
        <v>0.29944385705437271</v>
      </c>
      <c r="Y7" s="18">
        <f>((V7-X7)*Archetypes!$C$15)+(X7*Archetypes!$C$15*Archetypes!$C$22)</f>
        <v>3.9849673292735868</v>
      </c>
      <c r="Z7" s="18">
        <f>V7*Archetypes!$C$16</f>
        <v>3.5460456756438874</v>
      </c>
      <c r="AA7" s="18">
        <f>(IF(S7&lt;0,Assumptions!$B$8,IF(S7&lt;10,Assumptions!$B$34,IF(S7&lt;25,Assumptions!$B$35,Assumptions!$B$36))))*((((Archetypes!$C$5*Assumptions!$B$4+Archetypes!$C$6*Assumptions!$B$5)*60))+(Assumptions!$B$6*(((Archetypes!$C$11*(IF(S7&lt;0,1+Assumptions!$B$32*MIN(1,ABS(S7)/ABS(Assumptions!$B$21)),MAX(0.1,1-Assumptions!$B$31*(S7/50)))))-((Archetypes!$C$11*(IF(S7&lt;0,1+Assumptions!$B$32*MIN(1,ABS(S7)/ABS(Assumptions!$B$21)),MAX(0.1,1-Assumptions!$B$31*(S7/50)))))*W7)*Archetypes!$C$20)+((Archetypes!$C$11*(IF(S7&lt;0,1+Assumptions!$B$32*MIN(1,ABS(S7)/ABS(Assumptions!$B$21)),MAX(0.1,1-Assumptions!$B$31*(S7/50)))))*W7*Archetypes!$C$20*Archetypes!$C$21)*Assumptions!$B$18)*(IF($D7=1,1,Assumptions!$B$7)))+(((((Archetypes!$C$11*(IF(S7&lt;0,1+Assumptions!$B$32*MIN(1,ABS(S7)/ABS(Assumptions!$B$21)),MAX(0.1,1-Assumptions!$B$31*(S7/50)))))-((Archetypes!$C$11*(IF(S7&lt;0,1+Assumptions!$B$32*MIN(1,ABS(S7)/ABS(Assumptions!$B$21)),MAX(0.1,1-Assumptions!$B$31*(S7/50)))))*W7)*Archetypes!$C$15)*(Archetypes!$C$13*IF(S7&lt;0,1-Assumptions!$B$33*MIN(1,ABS(S7)/ABS(Assumptions!$B$21)),1))*5)+(((Archetypes!$C$11*(IF(S7&lt;0,1+Assumptions!$B$32*MIN(1,ABS(S7)/ABS(Assumptions!$B$21)),MAX(0.1,1-Assumptions!$B$31*(S7/50)))))*W7*Archetypes!$C$15*Archetypes!$C$22)*(Archetypes!$C$13*IF(S7&lt;0,1-Assumptions!$B$33*MIN(1,ABS(S7)/ABS(Assumptions!$B$21)),1))*5*Assumptions!$B$18))*IF(S7&lt;0,Assumptions!$B$9,1)))*$E7</f>
        <v>4589.7898042970382</v>
      </c>
      <c r="AB7" s="18">
        <f>(AB6)+(AA7)-(MAX(0,((AB6)+(AA7)-(AC7)))*(IF(Archetypes!$C$27="",Assumptions!$B$11,Archetypes!$C$27)))</f>
        <v>11819.565649762568</v>
      </c>
      <c r="AC7" s="18">
        <f>Archetypes!$C$33</f>
        <v>90.34</v>
      </c>
      <c r="AD7" s="18">
        <f t="shared" si="5"/>
        <v>11729.225649762568</v>
      </c>
      <c r="AF7" s="18">
        <f t="shared" si="10"/>
        <v>59.376761715696077</v>
      </c>
      <c r="AG7" s="18">
        <f>MAX(Assumptions!$B$21,(AF7)+(AH7))</f>
        <v>66.009903744336384</v>
      </c>
      <c r="AH7" s="18">
        <f>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$15)*Assumptions!$B$22+((Archetypes!$D$11*(IF(AF7&lt;0,1+Assumptions!$B$32*MIN(1,ABS(AF7)/ABS(Assumptions!$B$21)),MAX(0.1,1-Assumptions!$B$31*(AF7/50)))))*AJ7*Archetypes!$D$15*Archetypes!$D$22)*Assumptions!$B$23+(Archetypes!$D$11*(IF(AF7&lt;0,1+Assumptions!$B$32*MIN(1,ABS(AF7)/ABS(Assumptions!$B$21)),MAX(0.1,1-Assumptions!$B$31*(AF7/50)))))*Assumptions!$B$24+-((Archetypes!$D$11*(IF(AF7&lt;0,1+Assumptions!$B$32*MIN(1,ABS(AF7)/ABS(Assumptions!$B$21)),MAX(0.1,1-Assumptions!$B$31*(AF7/50)))))*Archetypes!$D$16)*(Assumptions!$B$27*(1+Assumptions!$B$28*Archetypes!$D$14)/(1+Assumptions!$B$29*Archetypes!$D$12))+-(Archetypes!$D$11*(IF(AF7&lt;0,1+Assumptions!$B$32*MIN(1,ABS(AF7)/ABS(Assumptions!$B$21)),MAX(0.1,1-Assumptions!$B$31*(AF7/50)))))*Archetypes!$D$17*((Archetypes!$D$31)/100)*Assumptions!$B$30+-Assumptions!$B$25*Assumptions!$B$26)*$E7</f>
        <v>6.6331420286403082</v>
      </c>
      <c r="AI7" s="18">
        <f>(Archetypes!$D$11*(IF(AF7&lt;0,1+Assumptions!$B$32*MIN(1,ABS(AF7)/ABS(Assumptions!$B$21)),MAX(0.1,1-Assumptions!$B$31*(AF7/50)))))*$E7</f>
        <v>5.174619469409647</v>
      </c>
      <c r="AJ7" s="19">
        <f>Archetypes!$D$30</f>
        <v>0.10400000000000001</v>
      </c>
      <c r="AK7" s="18">
        <f t="shared" si="6"/>
        <v>0.53816042481860338</v>
      </c>
      <c r="AL7" s="18">
        <f>((AI7-AK7)*Archetypes!$D$15)+(AK7*Archetypes!$D$15*Archetypes!$D$22)</f>
        <v>8.0848254590056339</v>
      </c>
      <c r="AM7" s="18">
        <f>AI7*Archetypes!$D$16</f>
        <v>1.0349238938819294</v>
      </c>
      <c r="AN7" s="18">
        <f>(IF(AF7&lt;0,Assumptions!$B$8,IF(AF7&lt;10,Assumptions!$B$34,IF(AF7&lt;25,Assumptions!$B$35,Assumptions!$B$36))))*((((Archetypes!$D$5*Assumptions!$B$4+Archetypes!$D$6*Assumptions!$B$5)*60))+(Assumptions!$B$6*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$20)+((Archetypes!$D$11*(IF(AF7&lt;0,1+Assumptions!$B$32*MIN(1,ABS(AF7)/ABS(Assumptions!$B$21)),MAX(0.1,1-Assumptions!$B$31*(AF7/50)))))*AJ7*Archetypes!$D$20*Archetypes!$D$21)*Assumptions!$B$18)*(IF($D7=1,1,Assumptions!$B$7)))+((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$15)*(Archetypes!$D$13*IF(AF7&lt;0,1-Assumptions!$B$33*MIN(1,ABS(AF7)/ABS(Assumptions!$B$21)),1))*5)+(((Archetypes!$D$11*(IF(AF7&lt;0,1+Assumptions!$B$32*MIN(1,ABS(AF7)/ABS(Assumptions!$B$21)),MAX(0.1,1-Assumptions!$B$31*(AF7/50)))))*AJ7*Archetypes!$D$15*Archetypes!$D$22)*(Archetypes!$D$13*IF(AF7&lt;0,1-Assumptions!$B$33*MIN(1,ABS(AF7)/ABS(Assumptions!$B$21)),1))*5*Assumptions!$B$18))*IF(AF7&lt;0,Assumptions!$B$9,1)))*$E7</f>
        <v>7678.891802482136</v>
      </c>
      <c r="AO7" s="18">
        <f>(AO6)+(AN7)-(MAX(0,((AO6)+(AN7)-(AP7)))*(IF(Archetypes!$D$27="",Assumptions!$B$11,Archetypes!$D$27)))</f>
        <v>16537.752354234304</v>
      </c>
      <c r="AP7" s="18">
        <f>Archetypes!$D$33</f>
        <v>201.32916645159378</v>
      </c>
      <c r="AQ7" s="18">
        <f t="shared" si="7"/>
        <v>16336.42318778271</v>
      </c>
    </row>
    <row r="8" spans="1:52" x14ac:dyDescent="0.25">
      <c r="A8" s="14">
        <v>24</v>
      </c>
      <c r="B8" s="14">
        <f t="shared" si="0"/>
        <v>2</v>
      </c>
      <c r="C8" s="14">
        <f t="shared" si="1"/>
        <v>0</v>
      </c>
      <c r="D8" s="15">
        <f>IF(C8&lt;Assumptions!$B$10,1,0)</f>
        <v>1</v>
      </c>
      <c r="E8" s="15">
        <v>6</v>
      </c>
      <c r="F8" s="18">
        <f t="shared" si="8"/>
        <v>78.44533767128577</v>
      </c>
      <c r="G8" s="18">
        <f>MAX(Assumptions!$B$21,(F8)+(H8))</f>
        <v>82.15405767128577</v>
      </c>
      <c r="H8" s="18">
        <f>(((Archetypes!$B$11*(IF(F8&lt;0,1+Assumptions!$B$32*MIN(1,ABS(F8)/ABS(Assumptions!$B$21)),MAX(0.1,1-Assumptions!$B$31*(F8/50)))))-((Archetypes!$B$11*(IF(F8&lt;0,1+Assumptions!$B$32*MIN(1,ABS(F8)/ABS(Assumptions!$B$21)),MAX(0.1,1-Assumptions!$B$31*(F8/50)))))*J8)*Archetypes!$B$15)*Assumptions!$B$22+((Archetypes!$B$11*(IF(F8&lt;0,1+Assumptions!$B$32*MIN(1,ABS(F8)/ABS(Assumptions!$B$21)),MAX(0.1,1-Assumptions!$B$31*(F8/50)))))*J8*Archetypes!$B$15*Archetypes!$B$22)*Assumptions!$B$23+(Archetypes!$B$11*(IF(F8&lt;0,1+Assumptions!$B$32*MIN(1,ABS(F8)/ABS(Assumptions!$B$21)),MAX(0.1,1-Assumptions!$B$31*(F8/50)))))*Assumptions!$B$24+-((Archetypes!$B$11*(IF(F8&lt;0,1+Assumptions!$B$32*MIN(1,ABS(F8)/ABS(Assumptions!$B$21)),MAX(0.1,1-Assumptions!$B$31*(F8/50)))))*Archetypes!$B$16)*(Assumptions!$B$27*(1+Assumptions!$B$28*Archetypes!$B$14)/(1+Assumptions!$B$29*Archetypes!$B$12))+-(Archetypes!$B$11*(IF(F8&lt;0,1+Assumptions!$B$32*MIN(1,ABS(F8)/ABS(Assumptions!$B$21)),MAX(0.1,1-Assumptions!$B$31*(F8/50)))))*Archetypes!$B$17*((Archetypes!$B$31)/100)*Assumptions!$B$30+-Assumptions!$B$25*Assumptions!$B$26)*$E8</f>
        <v>3.70872</v>
      </c>
      <c r="I8" s="18">
        <f>(Archetypes!$B$11*(IF(F8&lt;0,1+Assumptions!$B$32*MIN(1,ABS(F8)/ABS(Assumptions!$B$21)),MAX(0.1,1-Assumptions!$B$31*(F8/50)))))*$E8</f>
        <v>6</v>
      </c>
      <c r="J8" s="19">
        <f>Archetypes!$B$30</f>
        <v>2.1999999999999999E-2</v>
      </c>
      <c r="K8" s="18">
        <f t="shared" si="2"/>
        <v>0.13200000000000001</v>
      </c>
      <c r="L8" s="18">
        <f>((I8-K8)*Archetypes!$B$15)+(K8*Archetypes!$B$15*Archetypes!$B$22)</f>
        <v>0.60264000000000006</v>
      </c>
      <c r="M8" s="18">
        <f>I8*Archetypes!$B$16</f>
        <v>4.5</v>
      </c>
      <c r="N8" s="18">
        <f>(IF(F8&lt;0,Assumptions!$B$8,IF(F8&lt;10,Assumptions!$B$34,IF(F8&lt;25,Assumptions!$B$35,Assumptions!$B$36))))*((((Archetypes!$B$5*Assumptions!$B$4+Archetypes!$B$6*Assumptions!$B$5)*60))+(Assumptions!$B$6*(((Archetypes!$B$11*(IF(F8&lt;0,1+Assumptions!$B$32*MIN(1,ABS(F8)/ABS(Assumptions!$B$21)),MAX(0.1,1-Assumptions!$B$31*(F8/50)))))-((Archetypes!$B$11*(IF(F8&lt;0,1+Assumptions!$B$32*MIN(1,ABS(F8)/ABS(Assumptions!$B$21)),MAX(0.1,1-Assumptions!$B$31*(F8/50)))))*J8)*Archetypes!$B$20)+((Archetypes!$B$11*(IF(F8&lt;0,1+Assumptions!$B$32*MIN(1,ABS(F8)/ABS(Assumptions!$B$21)),MAX(0.1,1-Assumptions!$B$31*(F8/50)))))*J8*Archetypes!$B$20*Archetypes!$B$21)*Assumptions!$B$18)*(IF($D8=1,1,Assumptions!$B$7)))+(((((Archetypes!$B$11*(IF(F8&lt;0,1+Assumptions!$B$32*MIN(1,ABS(F8)/ABS(Assumptions!$B$21)),MAX(0.1,1-Assumptions!$B$31*(F8/50)))))-((Archetypes!$B$11*(IF(F8&lt;0,1+Assumptions!$B$32*MIN(1,ABS(F8)/ABS(Assumptions!$B$21)),MAX(0.1,1-Assumptions!$B$31*(F8/50)))))*J8)*Archetypes!$B$15)*(Archetypes!$B$13*IF(F8&lt;0,1-Assumptions!$B$33*MIN(1,ABS(F8)/ABS(Assumptions!$B$21)),1))*5)+(((Archetypes!$B$11*(IF(F8&lt;0,1+Assumptions!$B$32*MIN(1,ABS(F8)/ABS(Assumptions!$B$21)),MAX(0.1,1-Assumptions!$B$31*(F8/50)))))*J8*Archetypes!$B$15*Archetypes!$B$22)*(Archetypes!$B$13*IF(F8&lt;0,1-Assumptions!$B$33*MIN(1,ABS(F8)/ABS(Assumptions!$B$21)),1))*5*Assumptions!$B$18))*IF(F8&lt;0,Assumptions!$B$9,1)))*$E8</f>
        <v>1178.4672</v>
      </c>
      <c r="O8" s="18">
        <f>(O7)+(N8)-(MAX(0,((O7)+(N8)-(P8)))*(IF(Archetypes!$B$27="",Assumptions!$B$11,Archetypes!$B$27)))</f>
        <v>4431.6934370938925</v>
      </c>
      <c r="P8" s="18">
        <f>Archetypes!$B$33</f>
        <v>25.423199999999998</v>
      </c>
      <c r="Q8" s="18">
        <f t="shared" si="3"/>
        <v>4406.2702370938923</v>
      </c>
      <c r="S8" s="18">
        <f t="shared" si="9"/>
        <v>71.582879688011545</v>
      </c>
      <c r="T8" s="18">
        <f>MAX(Assumptions!$B$21,(S8)+(U8))</f>
        <v>75.443698858586075</v>
      </c>
      <c r="U8" s="18">
        <f>(((Archetypes!$C$11*(IF(S8&lt;0,1+Assumptions!$B$32*MIN(1,ABS(S8)/ABS(Assumptions!$B$21)),MAX(0.1,1-Assumptions!$B$31*(S8/50)))))-((Archetypes!$C$11*(IF(S8&lt;0,1+Assumptions!$B$32*MIN(1,ABS(S8)/ABS(Assumptions!$B$21)),MAX(0.1,1-Assumptions!$B$31*(S8/50)))))*W8)*Archetypes!$C$15)*Assumptions!$B$22+((Archetypes!$C$11*(IF(S8&lt;0,1+Assumptions!$B$32*MIN(1,ABS(S8)/ABS(Assumptions!$B$21)),MAX(0.1,1-Assumptions!$B$31*(S8/50)))))*W8*Archetypes!$C$15*Archetypes!$C$22)*Assumptions!$B$23+(Archetypes!$C$11*(IF(S8&lt;0,1+Assumptions!$B$32*MIN(1,ABS(S8)/ABS(Assumptions!$B$21)),MAX(0.1,1-Assumptions!$B$31*(S8/50)))))*Assumptions!$B$24+-((Archetypes!$C$11*(IF(S8&lt;0,1+Assumptions!$B$32*MIN(1,ABS(S8)/ABS(Assumptions!$B$21)),MAX(0.1,1-Assumptions!$B$31*(S8/50)))))*Archetypes!$C$16)*(Assumptions!$B$27*(1+Assumptions!$B$28*Archetypes!$C$14)/(1+Assumptions!$B$29*Archetypes!$C$12))+-(Archetypes!$C$11*(IF(S8&lt;0,1+Assumptions!$B$32*MIN(1,ABS(S8)/ABS(Assumptions!$B$21)),MAX(0.1,1-Assumptions!$B$31*(S8/50)))))*Archetypes!$C$17*((Archetypes!$C$31)/100)*Assumptions!$B$30+-Assumptions!$B$25*Assumptions!$B$26)*$E8</f>
        <v>3.8608191705745281</v>
      </c>
      <c r="V8" s="18">
        <f>(Archetypes!$C$11*(IF(S8&lt;0,1+Assumptions!$B$32*MIN(1,ABS(S8)/ABS(Assumptions!$B$21)),MAX(0.1,1-Assumptions!$B$31*(S8/50)))))*$E8</f>
        <v>5.0761959747790133</v>
      </c>
      <c r="W8" s="19">
        <f>Archetypes!$C$30</f>
        <v>3.7999999999999999E-2</v>
      </c>
      <c r="X8" s="18">
        <f t="shared" si="4"/>
        <v>0.1928954470416025</v>
      </c>
      <c r="Y8" s="18">
        <f>((V8-X8)*Archetypes!$C$15)+(X8*Archetypes!$C$15*Archetypes!$C$22)</f>
        <v>2.567032304445747</v>
      </c>
      <c r="Z8" s="18">
        <f>V8*Archetypes!$C$16</f>
        <v>2.2842881886505562</v>
      </c>
      <c r="AA8" s="18">
        <f>(IF(S8&lt;0,Assumptions!$B$8,IF(S8&lt;10,Assumptions!$B$34,IF(S8&lt;25,Assumptions!$B$35,Assumptions!$B$36))))*((((Archetypes!$C$5*Assumptions!$B$4+Archetypes!$C$6*Assumptions!$B$5)*60))+(Assumptions!$B$6*(((Archetypes!$C$11*(IF(S8&lt;0,1+Assumptions!$B$32*MIN(1,ABS(S8)/ABS(Assumptions!$B$21)),MAX(0.1,1-Assumptions!$B$31*(S8/50)))))-((Archetypes!$C$11*(IF(S8&lt;0,1+Assumptions!$B$32*MIN(1,ABS(S8)/ABS(Assumptions!$B$21)),MAX(0.1,1-Assumptions!$B$31*(S8/50)))))*W8)*Archetypes!$C$20)+((Archetypes!$C$11*(IF(S8&lt;0,1+Assumptions!$B$32*MIN(1,ABS(S8)/ABS(Assumptions!$B$21)),MAX(0.1,1-Assumptions!$B$31*(S8/50)))))*W8*Archetypes!$C$20*Archetypes!$C$21)*Assumptions!$B$18)*(IF($D8=1,1,Assumptions!$B$7)))+(((((Archetypes!$C$11*(IF(S8&lt;0,1+Assumptions!$B$32*MIN(1,ABS(S8)/ABS(Assumptions!$B$21)),MAX(0.1,1-Assumptions!$B$31*(S8/50)))))-((Archetypes!$C$11*(IF(S8&lt;0,1+Assumptions!$B$32*MIN(1,ABS(S8)/ABS(Assumptions!$B$21)),MAX(0.1,1-Assumptions!$B$31*(S8/50)))))*W8)*Archetypes!$C$15)*(Archetypes!$C$13*IF(S8&lt;0,1-Assumptions!$B$33*MIN(1,ABS(S8)/ABS(Assumptions!$B$21)),1))*5)+(((Archetypes!$C$11*(IF(S8&lt;0,1+Assumptions!$B$32*MIN(1,ABS(S8)/ABS(Assumptions!$B$21)),MAX(0.1,1-Assumptions!$B$31*(S8/50)))))*W8*Archetypes!$C$15*Archetypes!$C$22)*(Archetypes!$C$13*IF(S8&lt;0,1-Assumptions!$B$33*MIN(1,ABS(S8)/ABS(Assumptions!$B$21)),1))*5*Assumptions!$B$18))*IF(S8&lt;0,Assumptions!$B$9,1)))*$E8</f>
        <v>4661.7826335376376</v>
      </c>
      <c r="AB8" s="18">
        <f>(AB7)+(AA8)-(MAX(0,((AB7)+(AA8)-(AC8)))*(IF(Archetypes!$C$27="",Assumptions!$B$11,Archetypes!$C$27)))</f>
        <v>12383.596212475153</v>
      </c>
      <c r="AC8" s="18">
        <f>Archetypes!$C$33</f>
        <v>90.34</v>
      </c>
      <c r="AD8" s="18">
        <f t="shared" si="5"/>
        <v>12293.256212475153</v>
      </c>
      <c r="AF8" s="18">
        <f t="shared" si="10"/>
        <v>66.009903744336384</v>
      </c>
      <c r="AG8" s="18">
        <f>MAX(Assumptions!$B$21,(AF8)+(AH8))</f>
        <v>70.557254792722105</v>
      </c>
      <c r="AH8" s="18">
        <f>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$15)*Assumptions!$B$22+((Archetypes!$D$11*(IF(AF8&lt;0,1+Assumptions!$B$32*MIN(1,ABS(AF8)/ABS(Assumptions!$B$21)),MAX(0.1,1-Assumptions!$B$31*(AF8/50)))))*AJ8*Archetypes!$D$15*Archetypes!$D$22)*Assumptions!$B$23+(Archetypes!$D$11*(IF(AF8&lt;0,1+Assumptions!$B$32*MIN(1,ABS(AF8)/ABS(Assumptions!$B$21)),MAX(0.1,1-Assumptions!$B$31*(AF8/50)))))*Assumptions!$B$24+-((Archetypes!$D$11*(IF(AF8&lt;0,1+Assumptions!$B$32*MIN(1,ABS(AF8)/ABS(Assumptions!$B$21)),MAX(0.1,1-Assumptions!$B$31*(AF8/50)))))*Archetypes!$D$16)*(Assumptions!$B$27*(1+Assumptions!$B$28*Archetypes!$D$14)/(1+Assumptions!$B$29*Archetypes!$D$12))+-(Archetypes!$D$11*(IF(AF8&lt;0,1+Assumptions!$B$32*MIN(1,ABS(AF8)/ABS(Assumptions!$B$21)),MAX(0.1,1-Assumptions!$B$31*(AF8/50)))))*Archetypes!$D$17*((Archetypes!$D$31)/100)*Assumptions!$B$30+-Assumptions!$B$25*Assumptions!$B$26)*$E8</f>
        <v>4.5473510483857238</v>
      </c>
      <c r="AI8" s="18">
        <f>(Archetypes!$D$11*(IF(AF8&lt;0,1+Assumptions!$B$32*MIN(1,ABS(AF8)/ABS(Assumptions!$B$21)),MAX(0.1,1-Assumptions!$B$31*(AF8/50)))))*$E8</f>
        <v>3.7418607912233419</v>
      </c>
      <c r="AJ8" s="19">
        <f>Archetypes!$D$30</f>
        <v>0.10400000000000001</v>
      </c>
      <c r="AK8" s="18">
        <f t="shared" si="6"/>
        <v>0.3891535222872276</v>
      </c>
      <c r="AL8" s="18">
        <f>((AI8-AK8)*Archetypes!$D$15)+(AK8*Archetypes!$D$15*Archetypes!$D$22)</f>
        <v>5.8462833002073493</v>
      </c>
      <c r="AM8" s="18">
        <f>AI8*Archetypes!$D$16</f>
        <v>0.74837215824466841</v>
      </c>
      <c r="AN8" s="18">
        <f>(IF(AF8&lt;0,Assumptions!$B$8,IF(AF8&lt;10,Assumptions!$B$34,IF(AF8&lt;25,Assumptions!$B$35,Assumptions!$B$36))))*((((Archetypes!$D$5*Assumptions!$B$4+Archetypes!$D$6*Assumptions!$B$5)*60))+(Assumptions!$B$6*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$20)+((Archetypes!$D$11*(IF(AF8&lt;0,1+Assumptions!$B$32*MIN(1,ABS(AF8)/ABS(Assumptions!$B$21)),MAX(0.1,1-Assumptions!$B$31*(AF8/50)))))*AJ8*Archetypes!$D$20*Archetypes!$D$21)*Assumptions!$B$18)*(IF($D8=1,1,Assumptions!$B$7)))+((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$15)*(Archetypes!$D$13*IF(AF8&lt;0,1-Assumptions!$B$33*MIN(1,ABS(AF8)/ABS(Assumptions!$B$21)),1))*5)+(((Archetypes!$D$11*(IF(AF8&lt;0,1+Assumptions!$B$32*MIN(1,ABS(AF8)/ABS(Assumptions!$B$21)),MAX(0.1,1-Assumptions!$B$31*(AF8/50)))))*AJ8*Archetypes!$D$15*Archetypes!$D$22)*(Archetypes!$D$13*IF(AF8&lt;0,1-Assumptions!$B$33*MIN(1,ABS(AF8)/ABS(Assumptions!$B$21)),1))*5*Assumptions!$B$18))*IF(AF8&lt;0,Assumptions!$B$9,1)))*$E8</f>
        <v>8517.5505078621973</v>
      </c>
      <c r="AO8" s="18">
        <f>(AO7)+(AN8)-(MAX(0,((AO7)+(AN8)-(AP8)))*(IF(Archetypes!$D$27="",Assumptions!$B$11,Archetypes!$D$27)))</f>
        <v>17599.110753403031</v>
      </c>
      <c r="AP8" s="18">
        <f>Archetypes!$D$33</f>
        <v>201.32916645159378</v>
      </c>
      <c r="AQ8" s="18">
        <f t="shared" si="7"/>
        <v>17397.781586951438</v>
      </c>
    </row>
    <row r="9" spans="1:52" x14ac:dyDescent="0.25">
      <c r="A9" s="14">
        <v>30</v>
      </c>
      <c r="B9" s="14">
        <f t="shared" si="0"/>
        <v>2</v>
      </c>
      <c r="C9" s="14">
        <f t="shared" si="1"/>
        <v>6</v>
      </c>
      <c r="D9" s="15">
        <f>IF(C9&lt;Assumptions!$B$10,1,0)</f>
        <v>0</v>
      </c>
      <c r="E9" s="15">
        <v>6</v>
      </c>
      <c r="F9" s="18">
        <f t="shared" si="8"/>
        <v>82.15405767128577</v>
      </c>
      <c r="G9" s="18">
        <f>MAX(Assumptions!$B$21,(F9)+(H9))</f>
        <v>85.86277767128577</v>
      </c>
      <c r="H9" s="18">
        <f>(((Archetypes!$B$11*(IF(F9&lt;0,1+Assumptions!$B$32*MIN(1,ABS(F9)/ABS(Assumptions!$B$21)),MAX(0.1,1-Assumptions!$B$31*(F9/50)))))-((Archetypes!$B$11*(IF(F9&lt;0,1+Assumptions!$B$32*MIN(1,ABS(F9)/ABS(Assumptions!$B$21)),MAX(0.1,1-Assumptions!$B$31*(F9/50)))))*J9)*Archetypes!$B$15)*Assumptions!$B$22+((Archetypes!$B$11*(IF(F9&lt;0,1+Assumptions!$B$32*MIN(1,ABS(F9)/ABS(Assumptions!$B$21)),MAX(0.1,1-Assumptions!$B$31*(F9/50)))))*J9*Archetypes!$B$15*Archetypes!$B$22)*Assumptions!$B$23+(Archetypes!$B$11*(IF(F9&lt;0,1+Assumptions!$B$32*MIN(1,ABS(F9)/ABS(Assumptions!$B$21)),MAX(0.1,1-Assumptions!$B$31*(F9/50)))))*Assumptions!$B$24+-((Archetypes!$B$11*(IF(F9&lt;0,1+Assumptions!$B$32*MIN(1,ABS(F9)/ABS(Assumptions!$B$21)),MAX(0.1,1-Assumptions!$B$31*(F9/50)))))*Archetypes!$B$16)*(Assumptions!$B$27*(1+Assumptions!$B$28*Archetypes!$B$14)/(1+Assumptions!$B$29*Archetypes!$B$12))+-(Archetypes!$B$11*(IF(F9&lt;0,1+Assumptions!$B$32*MIN(1,ABS(F9)/ABS(Assumptions!$B$21)),MAX(0.1,1-Assumptions!$B$31*(F9/50)))))*Archetypes!$B$17*((Archetypes!$B$31)/100)*Assumptions!$B$30+-Assumptions!$B$25*Assumptions!$B$26)*$E9</f>
        <v>3.70872</v>
      </c>
      <c r="I9" s="18">
        <f>(Archetypes!$B$11*(IF(F9&lt;0,1+Assumptions!$B$32*MIN(1,ABS(F9)/ABS(Assumptions!$B$21)),MAX(0.1,1-Assumptions!$B$31*(F9/50)))))*$E9</f>
        <v>6</v>
      </c>
      <c r="J9" s="19">
        <f>Archetypes!$B$30</f>
        <v>2.1999999999999999E-2</v>
      </c>
      <c r="K9" s="18">
        <f t="shared" si="2"/>
        <v>0.13200000000000001</v>
      </c>
      <c r="L9" s="18">
        <f>((I9-K9)*Archetypes!$B$15)+(K9*Archetypes!$B$15*Archetypes!$B$22)</f>
        <v>0.60264000000000006</v>
      </c>
      <c r="M9" s="18">
        <f>I9*Archetypes!$B$16</f>
        <v>4.5</v>
      </c>
      <c r="N9" s="18">
        <f>(IF(F9&lt;0,Assumptions!$B$8,IF(F9&lt;10,Assumptions!$B$34,IF(F9&lt;25,Assumptions!$B$35,Assumptions!$B$36))))*((((Archetypes!$B$5*Assumptions!$B$4+Archetypes!$B$6*Assumptions!$B$5)*60))+(Assumptions!$B$6*(((Archetypes!$B$11*(IF(F9&lt;0,1+Assumptions!$B$32*MIN(1,ABS(F9)/ABS(Assumptions!$B$21)),MAX(0.1,1-Assumptions!$B$31*(F9/50)))))-((Archetypes!$B$11*(IF(F9&lt;0,1+Assumptions!$B$32*MIN(1,ABS(F9)/ABS(Assumptions!$B$21)),MAX(0.1,1-Assumptions!$B$31*(F9/50)))))*J9)*Archetypes!$B$20)+((Archetypes!$B$11*(IF(F9&lt;0,1+Assumptions!$B$32*MIN(1,ABS(F9)/ABS(Assumptions!$B$21)),MAX(0.1,1-Assumptions!$B$31*(F9/50)))))*J9*Archetypes!$B$20*Archetypes!$B$21)*Assumptions!$B$18)*(IF($D9=1,1,Assumptions!$B$7)))+(((((Archetypes!$B$11*(IF(F9&lt;0,1+Assumptions!$B$32*MIN(1,ABS(F9)/ABS(Assumptions!$B$21)),MAX(0.1,1-Assumptions!$B$31*(F9/50)))))-((Archetypes!$B$11*(IF(F9&lt;0,1+Assumptions!$B$32*MIN(1,ABS(F9)/ABS(Assumptions!$B$21)),MAX(0.1,1-Assumptions!$B$31*(F9/50)))))*J9)*Archetypes!$B$15)*(Archetypes!$B$13*IF(F9&lt;0,1-Assumptions!$B$33*MIN(1,ABS(F9)/ABS(Assumptions!$B$21)),1))*5)+(((Archetypes!$B$11*(IF(F9&lt;0,1+Assumptions!$B$32*MIN(1,ABS(F9)/ABS(Assumptions!$B$21)),MAX(0.1,1-Assumptions!$B$31*(F9/50)))))*J9*Archetypes!$B$15*Archetypes!$B$22)*(Archetypes!$B$13*IF(F9&lt;0,1-Assumptions!$B$33*MIN(1,ABS(F9)/ABS(Assumptions!$B$21)),1))*5*Assumptions!$B$18))*IF(F9&lt;0,Assumptions!$B$9,1)))*$E9</f>
        <v>1103.7113999999999</v>
      </c>
      <c r="O9" s="18">
        <f>(O8)+(N9)-(MAX(0,((O8)+(N9)-(P9)))*(IF(Archetypes!$B$27="",Assumptions!$B$11,Archetypes!$B$27)))</f>
        <v>4433.4085096751141</v>
      </c>
      <c r="P9" s="18">
        <f>Archetypes!$B$33</f>
        <v>25.423199999999998</v>
      </c>
      <c r="Q9" s="18">
        <f t="shared" si="3"/>
        <v>4407.985309675114</v>
      </c>
      <c r="S9" s="18">
        <f t="shared" si="9"/>
        <v>75.443698858586075</v>
      </c>
      <c r="T9" s="18">
        <f>MAX(Assumptions!$B$21,(S9)+(U9))</f>
        <v>77.920036001443222</v>
      </c>
      <c r="U9" s="18">
        <f>(((Archetypes!$C$11*(IF(S9&lt;0,1+Assumptions!$B$32*MIN(1,ABS(S9)/ABS(Assumptions!$B$21)),MAX(0.1,1-Assumptions!$B$31*(S9/50)))))-((Archetypes!$C$11*(IF(S9&lt;0,1+Assumptions!$B$32*MIN(1,ABS(S9)/ABS(Assumptions!$B$21)),MAX(0.1,1-Assumptions!$B$31*(S9/50)))))*W9)*Archetypes!$C$15)*Assumptions!$B$22+((Archetypes!$C$11*(IF(S9&lt;0,1+Assumptions!$B$32*MIN(1,ABS(S9)/ABS(Assumptions!$B$21)),MAX(0.1,1-Assumptions!$B$31*(S9/50)))))*W9*Archetypes!$C$15*Archetypes!$C$22)*Assumptions!$B$23+(Archetypes!$C$11*(IF(S9&lt;0,1+Assumptions!$B$32*MIN(1,ABS(S9)/ABS(Assumptions!$B$21)),MAX(0.1,1-Assumptions!$B$31*(S9/50)))))*Assumptions!$B$24+-((Archetypes!$C$11*(IF(S9&lt;0,1+Assumptions!$B$32*MIN(1,ABS(S9)/ABS(Assumptions!$B$21)),MAX(0.1,1-Assumptions!$B$31*(S9/50)))))*Archetypes!$C$16)*(Assumptions!$B$27*(1+Assumptions!$B$28*Archetypes!$C$14)/(1+Assumptions!$B$29*Archetypes!$C$12))+-(Archetypes!$C$11*(IF(S9&lt;0,1+Assumptions!$B$32*MIN(1,ABS(S9)/ABS(Assumptions!$B$21)),MAX(0.1,1-Assumptions!$B$31*(S9/50)))))*Archetypes!$C$17*((Archetypes!$C$31)/100)*Assumptions!$B$30+-Assumptions!$B$25*Assumptions!$B$26)*$E9</f>
        <v>2.4763371428571439</v>
      </c>
      <c r="V9" s="18">
        <f>(Archetypes!$C$11*(IF(S9&lt;0,1+Assumptions!$B$32*MIN(1,ABS(S9)/ABS(Assumptions!$B$21)),MAX(0.1,1-Assumptions!$B$31*(S9/50)))))*$E9</f>
        <v>3.6000000000000005</v>
      </c>
      <c r="W9" s="19">
        <f>Archetypes!$C$30</f>
        <v>3.7999999999999999E-2</v>
      </c>
      <c r="X9" s="18">
        <f t="shared" si="4"/>
        <v>0.1368</v>
      </c>
      <c r="Y9" s="18">
        <f>((V9-X9)*Archetypes!$C$15)+(X9*Archetypes!$C$15*Archetypes!$C$22)</f>
        <v>1.8205200000000004</v>
      </c>
      <c r="Z9" s="18">
        <f>V9*Archetypes!$C$16</f>
        <v>1.6200000000000003</v>
      </c>
      <c r="AA9" s="18">
        <f>(IF(S9&lt;0,Assumptions!$B$8,IF(S9&lt;10,Assumptions!$B$34,IF(S9&lt;25,Assumptions!$B$35,Assumptions!$B$36))))*((((Archetypes!$C$5*Assumptions!$B$4+Archetypes!$C$6*Assumptions!$B$5)*60))+(Assumptions!$B$6*(((Archetypes!$C$11*(IF(S9&lt;0,1+Assumptions!$B$32*MIN(1,ABS(S9)/ABS(Assumptions!$B$21)),MAX(0.1,1-Assumptions!$B$31*(S9/50)))))-((Archetypes!$C$11*(IF(S9&lt;0,1+Assumptions!$B$32*MIN(1,ABS(S9)/ABS(Assumptions!$B$21)),MAX(0.1,1-Assumptions!$B$31*(S9/50)))))*W9)*Archetypes!$C$20)+((Archetypes!$C$11*(IF(S9&lt;0,1+Assumptions!$B$32*MIN(1,ABS(S9)/ABS(Assumptions!$B$21)),MAX(0.1,1-Assumptions!$B$31*(S9/50)))))*W9*Archetypes!$C$20*Archetypes!$C$21)*Assumptions!$B$18)*(IF($D9=1,1,Assumptions!$B$7)))+(((((Archetypes!$C$11*(IF(S9&lt;0,1+Assumptions!$B$32*MIN(1,ABS(S9)/ABS(Assumptions!$B$21)),MAX(0.1,1-Assumptions!$B$31*(S9/50)))))-((Archetypes!$C$11*(IF(S9&lt;0,1+Assumptions!$B$32*MIN(1,ABS(S9)/ABS(Assumptions!$B$21)),MAX(0.1,1-Assumptions!$B$31*(S9/50)))))*W9)*Archetypes!$C$15)*(Archetypes!$C$13*IF(S9&lt;0,1-Assumptions!$B$33*MIN(1,ABS(S9)/ABS(Assumptions!$B$21)),1))*5)+(((Archetypes!$C$11*(IF(S9&lt;0,1+Assumptions!$B$32*MIN(1,ABS(S9)/ABS(Assumptions!$B$21)),MAX(0.1,1-Assumptions!$B$31*(S9/50)))))*W9*Archetypes!$C$15*Archetypes!$C$22)*(Archetypes!$C$13*IF(S9&lt;0,1-Assumptions!$B$33*MIN(1,ABS(S9)/ABS(Assumptions!$B$21)),1))*5*Assumptions!$B$18))*IF(S9&lt;0,Assumptions!$B$9,1)))*$E9</f>
        <v>4257.4942799999999</v>
      </c>
      <c r="AB9" s="18">
        <f>(AB8)+(AA9)-(MAX(0,((AB8)+(AA9)-(AC9)))*(IF(Archetypes!$C$27="",Assumptions!$B$11,Archetypes!$C$27)))</f>
        <v>12503.402869356363</v>
      </c>
      <c r="AC9" s="18">
        <f>Archetypes!$C$33</f>
        <v>90.34</v>
      </c>
      <c r="AD9" s="18">
        <f t="shared" si="5"/>
        <v>12413.062869356363</v>
      </c>
      <c r="AF9" s="18">
        <f t="shared" si="10"/>
        <v>70.557254792722105</v>
      </c>
      <c r="AG9" s="18">
        <f>MAX(Assumptions!$B$21,(AF9)+(AH9))</f>
        <v>73.674691667731025</v>
      </c>
      <c r="AH9" s="18">
        <f>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$15)*Assumptions!$B$22+((Archetypes!$D$11*(IF(AF9&lt;0,1+Assumptions!$B$32*MIN(1,ABS(AF9)/ABS(Assumptions!$B$21)),MAX(0.1,1-Assumptions!$B$31*(AF9/50)))))*AJ9*Archetypes!$D$15*Archetypes!$D$22)*Assumptions!$B$23+(Archetypes!$D$11*(IF(AF9&lt;0,1+Assumptions!$B$32*MIN(1,ABS(AF9)/ABS(Assumptions!$B$21)),MAX(0.1,1-Assumptions!$B$31*(AF9/50)))))*Assumptions!$B$24+-((Archetypes!$D$11*(IF(AF9&lt;0,1+Assumptions!$B$32*MIN(1,ABS(AF9)/ABS(Assumptions!$B$21)),MAX(0.1,1-Assumptions!$B$31*(AF9/50)))))*Archetypes!$D$16)*(Assumptions!$B$27*(1+Assumptions!$B$28*Archetypes!$D$14)/(1+Assumptions!$B$29*Archetypes!$D$12))+-(Archetypes!$D$11*(IF(AF9&lt;0,1+Assumptions!$B$32*MIN(1,ABS(AF9)/ABS(Assumptions!$B$21)),MAX(0.1,1-Assumptions!$B$31*(AF9/50)))))*Archetypes!$D$17*((Archetypes!$D$31)/100)*Assumptions!$B$30+-Assumptions!$B$25*Assumptions!$B$26)*$E9</f>
        <v>3.1174368750089201</v>
      </c>
      <c r="AI9" s="18">
        <f>(Archetypes!$D$11*(IF(AF9&lt;0,1+Assumptions!$B$32*MIN(1,ABS(AF9)/ABS(Assumptions!$B$21)),MAX(0.1,1-Assumptions!$B$31*(AF9/50)))))*$E9</f>
        <v>2.7596329647720275</v>
      </c>
      <c r="AJ9" s="19">
        <f>Archetypes!$D$30</f>
        <v>0.10400000000000001</v>
      </c>
      <c r="AK9" s="18">
        <f t="shared" si="6"/>
        <v>0.2870018283362909</v>
      </c>
      <c r="AL9" s="18">
        <f>((AI9-AK9)*Archetypes!$D$15)+(AK9*Archetypes!$D$15*Archetypes!$D$22)</f>
        <v>4.3116505441598161</v>
      </c>
      <c r="AM9" s="18">
        <f>AI9*Archetypes!$D$16</f>
        <v>0.55192659295440549</v>
      </c>
      <c r="AN9" s="18">
        <f>(IF(AF9&lt;0,Assumptions!$B$8,IF(AF9&lt;10,Assumptions!$B$34,IF(AF9&lt;25,Assumptions!$B$35,Assumptions!$B$36))))*((((Archetypes!$D$5*Assumptions!$B$4+Archetypes!$D$6*Assumptions!$B$5)*60))+(Assumptions!$B$6*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$20)+((Archetypes!$D$11*(IF(AF9&lt;0,1+Assumptions!$B$32*MIN(1,ABS(AF9)/ABS(Assumptions!$B$21)),MAX(0.1,1-Assumptions!$B$31*(AF9/50)))))*AJ9*Archetypes!$D$20*Archetypes!$D$21)*Assumptions!$B$18)*(IF($D9=1,1,Assumptions!$B$7)))+((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$15)*(Archetypes!$D$13*IF(AF9&lt;0,1-Assumptions!$B$33*MIN(1,ABS(AF9)/ABS(Assumptions!$B$21)),1))*5)+(((Archetypes!$D$11*(IF(AF9&lt;0,1+Assumptions!$B$32*MIN(1,ABS(AF9)/ABS(Assumptions!$B$21)),MAX(0.1,1-Assumptions!$B$31*(AF9/50)))))*AJ9*Archetypes!$D$15*Archetypes!$D$22)*(Archetypes!$D$13*IF(AF9&lt;0,1-Assumptions!$B$33*MIN(1,ABS(AF9)/ABS(Assumptions!$B$21)),1))*5*Assumptions!$B$18))*IF(AF9&lt;0,Assumptions!$B$9,1)))*$E9</f>
        <v>7094.1692325130143</v>
      </c>
      <c r="AO9" s="18">
        <f>(AO8)+(AN9)-(MAX(0,((AO8)+(AN9)-(AP9)))*(IF(Archetypes!$D$27="",Assumptions!$B$11,Archetypes!$D$27)))</f>
        <v>17345.694740076709</v>
      </c>
      <c r="AP9" s="18">
        <f>Archetypes!$D$33</f>
        <v>201.32916645159378</v>
      </c>
      <c r="AQ9" s="18">
        <f t="shared" si="7"/>
        <v>17144.365573625117</v>
      </c>
    </row>
    <row r="10" spans="1:52" x14ac:dyDescent="0.25">
      <c r="A10" s="14">
        <v>36</v>
      </c>
      <c r="B10" s="14">
        <f t="shared" si="0"/>
        <v>2</v>
      </c>
      <c r="C10" s="14">
        <f t="shared" si="1"/>
        <v>12</v>
      </c>
      <c r="D10" s="15">
        <f>IF(C10&lt;Assumptions!$B$10,1,0)</f>
        <v>0</v>
      </c>
      <c r="E10" s="15">
        <v>6</v>
      </c>
      <c r="F10" s="18">
        <f t="shared" si="8"/>
        <v>85.86277767128577</v>
      </c>
      <c r="G10" s="18">
        <f>MAX(Assumptions!$B$21,(F10)+(H10))</f>
        <v>89.571497671285769</v>
      </c>
      <c r="H10" s="18">
        <f>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$15)*Assumptions!$B$22+((Archetypes!$B$11*(IF(F10&lt;0,1+Assumptions!$B$32*MIN(1,ABS(F10)/ABS(Assumptions!$B$21)),MAX(0.1,1-Assumptions!$B$31*(F10/50)))))*J10*Archetypes!$B$15*Archetypes!$B$22)*Assumptions!$B$23+(Archetypes!$B$11*(IF(F10&lt;0,1+Assumptions!$B$32*MIN(1,ABS(F10)/ABS(Assumptions!$B$21)),MAX(0.1,1-Assumptions!$B$31*(F10/50)))))*Assumptions!$B$24+-((Archetypes!$B$11*(IF(F10&lt;0,1+Assumptions!$B$32*MIN(1,ABS(F10)/ABS(Assumptions!$B$21)),MAX(0.1,1-Assumptions!$B$31*(F10/50)))))*Archetypes!$B$16)*(Assumptions!$B$27*(1+Assumptions!$B$28*Archetypes!$B$14)/(1+Assumptions!$B$29*Archetypes!$B$12))+-(Archetypes!$B$11*(IF(F10&lt;0,1+Assumptions!$B$32*MIN(1,ABS(F10)/ABS(Assumptions!$B$21)),MAX(0.1,1-Assumptions!$B$31*(F10/50)))))*Archetypes!$B$17*((Archetypes!$B$31)/100)*Assumptions!$B$30+-Assumptions!$B$25*Assumptions!$B$26)*$E10</f>
        <v>3.70872</v>
      </c>
      <c r="I10" s="18">
        <f>(Archetypes!$B$11*(IF(F10&lt;0,1+Assumptions!$B$32*MIN(1,ABS(F10)/ABS(Assumptions!$B$21)),MAX(0.1,1-Assumptions!$B$31*(F10/50)))))*$E10</f>
        <v>6</v>
      </c>
      <c r="J10" s="19">
        <f>Archetypes!$B$30</f>
        <v>2.1999999999999999E-2</v>
      </c>
      <c r="K10" s="18">
        <f t="shared" si="2"/>
        <v>0.13200000000000001</v>
      </c>
      <c r="L10" s="18">
        <f>((I10-K10)*Archetypes!$B$15)+(K10*Archetypes!$B$15*Archetypes!$B$22)</f>
        <v>0.60264000000000006</v>
      </c>
      <c r="M10" s="18">
        <f>I10*Archetypes!$B$16</f>
        <v>4.5</v>
      </c>
      <c r="N10" s="18">
        <f>(IF(F10&lt;0,Assumptions!$B$8,IF(F10&lt;10,Assumptions!$B$34,IF(F10&lt;25,Assumptions!$B$35,Assumptions!$B$36))))*((((Archetypes!$B$5*Assumptions!$B$4+Archetypes!$B$6*Assumptions!$B$5)*60))+(Assumptions!$B$6*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$20)+((Archetypes!$B$11*(IF(F10&lt;0,1+Assumptions!$B$32*MIN(1,ABS(F10)/ABS(Assumptions!$B$21)),MAX(0.1,1-Assumptions!$B$31*(F10/50)))))*J10*Archetypes!$B$20*Archetypes!$B$21)*Assumptions!$B$18)*(IF($D10=1,1,Assumptions!$B$7)))+((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$15)*(Archetypes!$B$13*IF(F10&lt;0,1-Assumptions!$B$33*MIN(1,ABS(F10)/ABS(Assumptions!$B$21)),1))*5)+(((Archetypes!$B$11*(IF(F10&lt;0,1+Assumptions!$B$32*MIN(1,ABS(F10)/ABS(Assumptions!$B$21)),MAX(0.1,1-Assumptions!$B$31*(F10/50)))))*J10*Archetypes!$B$15*Archetypes!$B$22)*(Archetypes!$B$13*IF(F10&lt;0,1-Assumptions!$B$33*MIN(1,ABS(F10)/ABS(Assumptions!$B$21)),1))*5*Assumptions!$B$18))*IF(F10&lt;0,Assumptions!$B$9,1)))*$E10</f>
        <v>1103.7113999999999</v>
      </c>
      <c r="O10" s="18">
        <f>(O9)+(N10)-(MAX(0,((O9)+(N10)-(P10)))*(IF(Archetypes!$B$27="",Assumptions!$B$11,Archetypes!$B$27)))</f>
        <v>4434.7805677400911</v>
      </c>
      <c r="P10" s="18">
        <f>Archetypes!$B$33</f>
        <v>25.423199999999998</v>
      </c>
      <c r="Q10" s="18">
        <f t="shared" si="3"/>
        <v>4409.3573677400909</v>
      </c>
      <c r="S10" s="18">
        <f t="shared" si="9"/>
        <v>77.920036001443222</v>
      </c>
      <c r="T10" s="18">
        <f>MAX(Assumptions!$B$21,(S10)+(U10))</f>
        <v>80.39637314430037</v>
      </c>
      <c r="U10" s="18">
        <f>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$15)*Assumptions!$B$22+((Archetypes!$C$11*(IF(S10&lt;0,1+Assumptions!$B$32*MIN(1,ABS(S10)/ABS(Assumptions!$B$21)),MAX(0.1,1-Assumptions!$B$31*(S10/50)))))*W10*Archetypes!$C$15*Archetypes!$C$22)*Assumptions!$B$23+(Archetypes!$C$11*(IF(S10&lt;0,1+Assumptions!$B$32*MIN(1,ABS(S10)/ABS(Assumptions!$B$21)),MAX(0.1,1-Assumptions!$B$31*(S10/50)))))*Assumptions!$B$24+-((Archetypes!$C$11*(IF(S10&lt;0,1+Assumptions!$B$32*MIN(1,ABS(S10)/ABS(Assumptions!$B$21)),MAX(0.1,1-Assumptions!$B$31*(S10/50)))))*Archetypes!$C$16)*(Assumptions!$B$27*(1+Assumptions!$B$28*Archetypes!$C$14)/(1+Assumptions!$B$29*Archetypes!$C$12))+-(Archetypes!$C$11*(IF(S10&lt;0,1+Assumptions!$B$32*MIN(1,ABS(S10)/ABS(Assumptions!$B$21)),MAX(0.1,1-Assumptions!$B$31*(S10/50)))))*Archetypes!$C$17*((Archetypes!$C$31)/100)*Assumptions!$B$30+-Assumptions!$B$25*Assumptions!$B$26)*$E10</f>
        <v>2.4763371428571439</v>
      </c>
      <c r="V10" s="18">
        <f>(Archetypes!$C$11*(IF(S10&lt;0,1+Assumptions!$B$32*MIN(1,ABS(S10)/ABS(Assumptions!$B$21)),MAX(0.1,1-Assumptions!$B$31*(S10/50)))))*$E10</f>
        <v>3.6000000000000005</v>
      </c>
      <c r="W10" s="19">
        <f>Archetypes!$C$30</f>
        <v>3.7999999999999999E-2</v>
      </c>
      <c r="X10" s="18">
        <f t="shared" si="4"/>
        <v>0.1368</v>
      </c>
      <c r="Y10" s="18">
        <f>((V10-X10)*Archetypes!$C$15)+(X10*Archetypes!$C$15*Archetypes!$C$22)</f>
        <v>1.8205200000000004</v>
      </c>
      <c r="Z10" s="18">
        <f>V10*Archetypes!$C$16</f>
        <v>1.6200000000000003</v>
      </c>
      <c r="AA10" s="18">
        <f>(IF(S10&lt;0,Assumptions!$B$8,IF(S10&lt;10,Assumptions!$B$34,IF(S10&lt;25,Assumptions!$B$35,Assumptions!$B$36))))*((((Archetypes!$C$5*Assumptions!$B$4+Archetypes!$C$6*Assumptions!$B$5)*60))+(Assumptions!$B$6*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$20)+((Archetypes!$C$11*(IF(S10&lt;0,1+Assumptions!$B$32*MIN(1,ABS(S10)/ABS(Assumptions!$B$21)),MAX(0.1,1-Assumptions!$B$31*(S10/50)))))*W10*Archetypes!$C$20*Archetypes!$C$21)*Assumptions!$B$18)*(IF($D10=1,1,Assumptions!$B$7)))+((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$15)*(Archetypes!$C$13*IF(S10&lt;0,1-Assumptions!$B$33*MIN(1,ABS(S10)/ABS(Assumptions!$B$21)),1))*5)+(((Archetypes!$C$11*(IF(S10&lt;0,1+Assumptions!$B$32*MIN(1,ABS(S10)/ABS(Assumptions!$B$21)),MAX(0.1,1-Assumptions!$B$31*(S10/50)))))*W10*Archetypes!$C$15*Archetypes!$C$22)*(Archetypes!$C$13*IF(S10&lt;0,1-Assumptions!$B$33*MIN(1,ABS(S10)/ABS(Assumptions!$B$21)),1))*5*Assumptions!$B$18))*IF(S10&lt;0,Assumptions!$B$9,1)))*$E10</f>
        <v>4257.4942799999999</v>
      </c>
      <c r="AB10" s="18">
        <f>(AB9)+(AA10)-(MAX(0,((AB9)+(AA10)-(AC10)))*(IF(Archetypes!$C$27="",Assumptions!$B$11,Archetypes!$C$27)))</f>
        <v>12593.257862017272</v>
      </c>
      <c r="AC10" s="18">
        <f>Archetypes!$C$33</f>
        <v>90.34</v>
      </c>
      <c r="AD10" s="18">
        <f t="shared" si="5"/>
        <v>12502.917862017272</v>
      </c>
      <c r="AF10" s="18">
        <f t="shared" si="10"/>
        <v>73.674691667731025</v>
      </c>
      <c r="AG10" s="18">
        <f>MAX(Assumptions!$B$21,(AF10)+(AH10))</f>
        <v>75.811850766788339</v>
      </c>
      <c r="AH10" s="18">
        <f>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$15)*Assumptions!$B$22+((Archetypes!$D$11*(IF(AF10&lt;0,1+Assumptions!$B$32*MIN(1,ABS(AF10)/ABS(Assumptions!$B$21)),MAX(0.1,1-Assumptions!$B$31*(AF10/50)))))*AJ10*Archetypes!$D$15*Archetypes!$D$22)*Assumptions!$B$23+(Archetypes!$D$11*(IF(AF10&lt;0,1+Assumptions!$B$32*MIN(1,ABS(AF10)/ABS(Assumptions!$B$21)),MAX(0.1,1-Assumptions!$B$31*(AF10/50)))))*Assumptions!$B$24+-((Archetypes!$D$11*(IF(AF10&lt;0,1+Assumptions!$B$32*MIN(1,ABS(AF10)/ABS(Assumptions!$B$21)),MAX(0.1,1-Assumptions!$B$31*(AF10/50)))))*Archetypes!$D$16)*(Assumptions!$B$27*(1+Assumptions!$B$28*Archetypes!$D$14)/(1+Assumptions!$B$29*Archetypes!$D$12))+-(Archetypes!$D$11*(IF(AF10&lt;0,1+Assumptions!$B$32*MIN(1,ABS(AF10)/ABS(Assumptions!$B$21)),MAX(0.1,1-Assumptions!$B$31*(AF10/50)))))*Archetypes!$D$17*((Archetypes!$D$31)/100)*Assumptions!$B$30+-Assumptions!$B$25*Assumptions!$B$26)*$E10</f>
        <v>2.1371590990573122</v>
      </c>
      <c r="AI10" s="18">
        <f>(Archetypes!$D$11*(IF(AF10&lt;0,1+Assumptions!$B$32*MIN(1,ABS(AF10)/ABS(Assumptions!$B$21)),MAX(0.1,1-Assumptions!$B$31*(AF10/50)))))*$E10</f>
        <v>2.0862665997700987</v>
      </c>
      <c r="AJ10" s="19">
        <f>Archetypes!$D$30</f>
        <v>0.10400000000000001</v>
      </c>
      <c r="AK10" s="18">
        <f t="shared" si="6"/>
        <v>0.21697172637609027</v>
      </c>
      <c r="AL10" s="18">
        <f>((AI10-AK10)*Archetypes!$D$15)+(AK10*Archetypes!$D$15*Archetypes!$D$22)</f>
        <v>3.2595829354808021</v>
      </c>
      <c r="AM10" s="18">
        <f>AI10*Archetypes!$D$16</f>
        <v>0.41725331995401976</v>
      </c>
      <c r="AN10" s="18">
        <f>(IF(AF10&lt;0,Assumptions!$B$8,IF(AF10&lt;10,Assumptions!$B$34,IF(AF10&lt;25,Assumptions!$B$35,Assumptions!$B$36))))*((((Archetypes!$D$5*Assumptions!$B$4+Archetypes!$D$6*Assumptions!$B$5)*60))+(Assumptions!$B$6*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$20)+((Archetypes!$D$11*(IF(AF10&lt;0,1+Assumptions!$B$32*MIN(1,ABS(AF10)/ABS(Assumptions!$B$21)),MAX(0.1,1-Assumptions!$B$31*(AF10/50)))))*AJ10*Archetypes!$D$20*Archetypes!$D$21)*Assumptions!$B$18)*(IF($D10=1,1,Assumptions!$B$7)))+((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$15)*(Archetypes!$D$13*IF(AF10&lt;0,1-Assumptions!$B$33*MIN(1,ABS(AF10)/ABS(Assumptions!$B$21)),1))*5)+(((Archetypes!$D$11*(IF(AF10&lt;0,1+Assumptions!$B$32*MIN(1,ABS(AF10)/ABS(Assumptions!$B$21)),MAX(0.1,1-Assumptions!$B$31*(AF10/50)))))*AJ10*Archetypes!$D$15*Archetypes!$D$22)*(Archetypes!$D$13*IF(AF10&lt;0,1-Assumptions!$B$33*MIN(1,ABS(AF10)/ABS(Assumptions!$B$21)),1))*5*Assumptions!$B$18))*IF(AF10&lt;0,Assumptions!$B$9,1)))*$E10</f>
        <v>6931.1320848028354</v>
      </c>
      <c r="AO10" s="18">
        <f>(AO9)+(AN10)-(MAX(0,((AO9)+(AN10)-(AP10)))*(IF(Archetypes!$D$27="",Assumptions!$B$11,Archetypes!$D$27)))</f>
        <v>17054.177527351159</v>
      </c>
      <c r="AP10" s="18">
        <f>Archetypes!$D$33</f>
        <v>201.32916645159378</v>
      </c>
      <c r="AQ10" s="18">
        <f t="shared" si="7"/>
        <v>16852.848360899567</v>
      </c>
    </row>
    <row r="11" spans="1:52" x14ac:dyDescent="0.25">
      <c r="A11" s="14">
        <v>42</v>
      </c>
      <c r="B11" s="14">
        <f t="shared" si="0"/>
        <v>2</v>
      </c>
      <c r="C11" s="14">
        <f t="shared" si="1"/>
        <v>18</v>
      </c>
      <c r="D11" s="15">
        <f>IF(C11&lt;Assumptions!$B$10,1,0)</f>
        <v>0</v>
      </c>
      <c r="E11" s="15">
        <v>6</v>
      </c>
      <c r="F11" s="18">
        <f t="shared" si="8"/>
        <v>89.571497671285769</v>
      </c>
      <c r="G11" s="18">
        <f>MAX(Assumptions!$B$21,(F11)+(H11))</f>
        <v>93.280217671285769</v>
      </c>
      <c r="H11" s="18">
        <f>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$15)*Assumptions!$B$22+((Archetypes!$B$11*(IF(F11&lt;0,1+Assumptions!$B$32*MIN(1,ABS(F11)/ABS(Assumptions!$B$21)),MAX(0.1,1-Assumptions!$B$31*(F11/50)))))*J11*Archetypes!$B$15*Archetypes!$B$22)*Assumptions!$B$23+(Archetypes!$B$11*(IF(F11&lt;0,1+Assumptions!$B$32*MIN(1,ABS(F11)/ABS(Assumptions!$B$21)),MAX(0.1,1-Assumptions!$B$31*(F11/50)))))*Assumptions!$B$24+-((Archetypes!$B$11*(IF(F11&lt;0,1+Assumptions!$B$32*MIN(1,ABS(F11)/ABS(Assumptions!$B$21)),MAX(0.1,1-Assumptions!$B$31*(F11/50)))))*Archetypes!$B$16)*(Assumptions!$B$27*(1+Assumptions!$B$28*Archetypes!$B$14)/(1+Assumptions!$B$29*Archetypes!$B$12))+-(Archetypes!$B$11*(IF(F11&lt;0,1+Assumptions!$B$32*MIN(1,ABS(F11)/ABS(Assumptions!$B$21)),MAX(0.1,1-Assumptions!$B$31*(F11/50)))))*Archetypes!$B$17*((Archetypes!$B$31)/100)*Assumptions!$B$30+-Assumptions!$B$25*Assumptions!$B$26)*$E11</f>
        <v>3.70872</v>
      </c>
      <c r="I11" s="18">
        <f>(Archetypes!$B$11*(IF(F11&lt;0,1+Assumptions!$B$32*MIN(1,ABS(F11)/ABS(Assumptions!$B$21)),MAX(0.1,1-Assumptions!$B$31*(F11/50)))))*$E11</f>
        <v>6</v>
      </c>
      <c r="J11" s="19">
        <f>Archetypes!$B$30</f>
        <v>2.1999999999999999E-2</v>
      </c>
      <c r="K11" s="18">
        <f t="shared" si="2"/>
        <v>0.13200000000000001</v>
      </c>
      <c r="L11" s="18">
        <f>((I11-K11)*Archetypes!$B$15)+(K11*Archetypes!$B$15*Archetypes!$B$22)</f>
        <v>0.60264000000000006</v>
      </c>
      <c r="M11" s="18">
        <f>I11*Archetypes!$B$16</f>
        <v>4.5</v>
      </c>
      <c r="N11" s="18">
        <f>(IF(F11&lt;0,Assumptions!$B$8,IF(F11&lt;10,Assumptions!$B$34,IF(F11&lt;25,Assumptions!$B$35,Assumptions!$B$36))))*((((Archetypes!$B$5*Assumptions!$B$4+Archetypes!$B$6*Assumptions!$B$5)*60))+(Assumptions!$B$6*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$20)+((Archetypes!$B$11*(IF(F11&lt;0,1+Assumptions!$B$32*MIN(1,ABS(F11)/ABS(Assumptions!$B$21)),MAX(0.1,1-Assumptions!$B$31*(F11/50)))))*J11*Archetypes!$B$20*Archetypes!$B$21)*Assumptions!$B$18)*(IF($D11=1,1,Assumptions!$B$7)))+((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$15)*(Archetypes!$B$13*IF(F11&lt;0,1-Assumptions!$B$33*MIN(1,ABS(F11)/ABS(Assumptions!$B$21)),1))*5)+(((Archetypes!$B$11*(IF(F11&lt;0,1+Assumptions!$B$32*MIN(1,ABS(F11)/ABS(Assumptions!$B$21)),MAX(0.1,1-Assumptions!$B$31*(F11/50)))))*J11*Archetypes!$B$15*Archetypes!$B$22)*(Archetypes!$B$13*IF(F11&lt;0,1-Assumptions!$B$33*MIN(1,ABS(F11)/ABS(Assumptions!$B$21)),1))*5*Assumptions!$B$18))*IF(F11&lt;0,Assumptions!$B$9,1)))*$E11</f>
        <v>1103.7113999999999</v>
      </c>
      <c r="O11" s="18">
        <f>(O10)+(N11)-(MAX(0,((O10)+(N11)-(P11)))*(IF(Archetypes!$B$27="",Assumptions!$B$11,Archetypes!$B$27)))</f>
        <v>4435.8782141920728</v>
      </c>
      <c r="P11" s="18">
        <f>Archetypes!$B$33</f>
        <v>25.423199999999998</v>
      </c>
      <c r="Q11" s="18">
        <f t="shared" si="3"/>
        <v>4410.4550141920727</v>
      </c>
      <c r="S11" s="18">
        <f t="shared" si="9"/>
        <v>80.39637314430037</v>
      </c>
      <c r="T11" s="18">
        <f>MAX(Assumptions!$B$21,(S11)+(U11))</f>
        <v>82.872710287157517</v>
      </c>
      <c r="U11" s="18">
        <f>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$15)*Assumptions!$B$22+((Archetypes!$C$11*(IF(S11&lt;0,1+Assumptions!$B$32*MIN(1,ABS(S11)/ABS(Assumptions!$B$21)),MAX(0.1,1-Assumptions!$B$31*(S11/50)))))*W11*Archetypes!$C$15*Archetypes!$C$22)*Assumptions!$B$23+(Archetypes!$C$11*(IF(S11&lt;0,1+Assumptions!$B$32*MIN(1,ABS(S11)/ABS(Assumptions!$B$21)),MAX(0.1,1-Assumptions!$B$31*(S11/50)))))*Assumptions!$B$24+-((Archetypes!$C$11*(IF(S11&lt;0,1+Assumptions!$B$32*MIN(1,ABS(S11)/ABS(Assumptions!$B$21)),MAX(0.1,1-Assumptions!$B$31*(S11/50)))))*Archetypes!$C$16)*(Assumptions!$B$27*(1+Assumptions!$B$28*Archetypes!$C$14)/(1+Assumptions!$B$29*Archetypes!$C$12))+-(Archetypes!$C$11*(IF(S11&lt;0,1+Assumptions!$B$32*MIN(1,ABS(S11)/ABS(Assumptions!$B$21)),MAX(0.1,1-Assumptions!$B$31*(S11/50)))))*Archetypes!$C$17*((Archetypes!$C$31)/100)*Assumptions!$B$30+-Assumptions!$B$25*Assumptions!$B$26)*$E11</f>
        <v>2.4763371428571439</v>
      </c>
      <c r="V11" s="18">
        <f>(Archetypes!$C$11*(IF(S11&lt;0,1+Assumptions!$B$32*MIN(1,ABS(S11)/ABS(Assumptions!$B$21)),MAX(0.1,1-Assumptions!$B$31*(S11/50)))))*$E11</f>
        <v>3.6000000000000005</v>
      </c>
      <c r="W11" s="19">
        <f>Archetypes!$C$30</f>
        <v>3.7999999999999999E-2</v>
      </c>
      <c r="X11" s="18">
        <f t="shared" si="4"/>
        <v>0.1368</v>
      </c>
      <c r="Y11" s="18">
        <f>((V11-X11)*Archetypes!$C$15)+(X11*Archetypes!$C$15*Archetypes!$C$22)</f>
        <v>1.8205200000000004</v>
      </c>
      <c r="Z11" s="18">
        <f>V11*Archetypes!$C$16</f>
        <v>1.6200000000000003</v>
      </c>
      <c r="AA11" s="18">
        <f>(IF(S11&lt;0,Assumptions!$B$8,IF(S11&lt;10,Assumptions!$B$34,IF(S11&lt;25,Assumptions!$B$35,Assumptions!$B$36))))*((((Archetypes!$C$5*Assumptions!$B$4+Archetypes!$C$6*Assumptions!$B$5)*60))+(Assumptions!$B$6*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$20)+((Archetypes!$C$11*(IF(S11&lt;0,1+Assumptions!$B$32*MIN(1,ABS(S11)/ABS(Assumptions!$B$21)),MAX(0.1,1-Assumptions!$B$31*(S11/50)))))*W11*Archetypes!$C$20*Archetypes!$C$21)*Assumptions!$B$18)*(IF($D11=1,1,Assumptions!$B$7)))+((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$15)*(Archetypes!$C$13*IF(S11&lt;0,1-Assumptions!$B$33*MIN(1,ABS(S11)/ABS(Assumptions!$B$21)),1))*5)+(((Archetypes!$C$11*(IF(S11&lt;0,1+Assumptions!$B$32*MIN(1,ABS(S11)/ABS(Assumptions!$B$21)),MAX(0.1,1-Assumptions!$B$31*(S11/50)))))*W11*Archetypes!$C$15*Archetypes!$C$22)*(Archetypes!$C$13*IF(S11&lt;0,1-Assumptions!$B$33*MIN(1,ABS(S11)/ABS(Assumptions!$B$21)),1))*5*Assumptions!$B$18))*IF(S11&lt;0,Assumptions!$B$9,1)))*$E11</f>
        <v>4257.4942799999999</v>
      </c>
      <c r="AB11" s="18">
        <f>(AB10)+(AA11)-(MAX(0,((AB10)+(AA11)-(AC11)))*(IF(Archetypes!$C$27="",Assumptions!$B$11,Archetypes!$C$27)))</f>
        <v>12660.649106512952</v>
      </c>
      <c r="AC11" s="18">
        <f>Archetypes!$C$33</f>
        <v>90.34</v>
      </c>
      <c r="AD11" s="18">
        <f t="shared" si="5"/>
        <v>12570.309106512952</v>
      </c>
      <c r="AF11" s="18">
        <f t="shared" si="10"/>
        <v>75.811850766788339</v>
      </c>
      <c r="AG11" s="18">
        <f>MAX(Assumptions!$B$21,(AF11)+(AH11))</f>
        <v>77.532266766788339</v>
      </c>
      <c r="AH11" s="18">
        <f>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$15)*Assumptions!$B$22+((Archetypes!$D$11*(IF(AF11&lt;0,1+Assumptions!$B$32*MIN(1,ABS(AF11)/ABS(Assumptions!$B$21)),MAX(0.1,1-Assumptions!$B$31*(AF11/50)))))*AJ11*Archetypes!$D$15*Archetypes!$D$22)*Assumptions!$B$23+(Archetypes!$D$11*(IF(AF11&lt;0,1+Assumptions!$B$32*MIN(1,ABS(AF11)/ABS(Assumptions!$B$21)),MAX(0.1,1-Assumptions!$B$31*(AF11/50)))))*Assumptions!$B$24+-((Archetypes!$D$11*(IF(AF11&lt;0,1+Assumptions!$B$32*MIN(1,ABS(AF11)/ABS(Assumptions!$B$21)),MAX(0.1,1-Assumptions!$B$31*(AF11/50)))))*Archetypes!$D$16)*(Assumptions!$B$27*(1+Assumptions!$B$28*Archetypes!$D$14)/(1+Assumptions!$B$29*Archetypes!$D$12))+-(Archetypes!$D$11*(IF(AF11&lt;0,1+Assumptions!$B$32*MIN(1,ABS(AF11)/ABS(Assumptions!$B$21)),MAX(0.1,1-Assumptions!$B$31*(AF11/50)))))*Archetypes!$D$17*((Archetypes!$D$31)/100)*Assumptions!$B$30+-Assumptions!$B$25*Assumptions!$B$26)*$E11</f>
        <v>1.7204160000000006</v>
      </c>
      <c r="AI11" s="18">
        <f>(Archetypes!$D$11*(IF(AF11&lt;0,1+Assumptions!$B$32*MIN(1,ABS(AF11)/ABS(Assumptions!$B$21)),MAX(0.1,1-Assumptions!$B$31*(AF11/50)))))*$E11</f>
        <v>1.8000000000000003</v>
      </c>
      <c r="AJ11" s="19">
        <f>Archetypes!$D$30</f>
        <v>0.10400000000000001</v>
      </c>
      <c r="AK11" s="18">
        <f t="shared" si="6"/>
        <v>0.18720000000000003</v>
      </c>
      <c r="AL11" s="18">
        <f>((AI11-AK11)*Archetypes!$D$15)+(AK11*Archetypes!$D$15*Archetypes!$D$22)</f>
        <v>2.8123200000000006</v>
      </c>
      <c r="AM11" s="18">
        <f>AI11*Archetypes!$D$16</f>
        <v>0.3600000000000001</v>
      </c>
      <c r="AN11" s="18">
        <f>(IF(AF11&lt;0,Assumptions!$B$8,IF(AF11&lt;10,Assumptions!$B$34,IF(AF11&lt;25,Assumptions!$B$35,Assumptions!$B$36))))*((((Archetypes!$D$5*Assumptions!$B$4+Archetypes!$D$6*Assumptions!$B$5)*60))+(Assumptions!$B$6*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$20)+((Archetypes!$D$11*(IF(AF11&lt;0,1+Assumptions!$B$32*MIN(1,ABS(AF11)/ABS(Assumptions!$B$21)),MAX(0.1,1-Assumptions!$B$31*(AF11/50)))))*AJ11*Archetypes!$D$20*Archetypes!$D$21)*Assumptions!$B$18)*(IF($D11=1,1,Assumptions!$B$7)))+((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$15)*(Archetypes!$D$13*IF(AF11&lt;0,1-Assumptions!$B$33*MIN(1,ABS(AF11)/ABS(Assumptions!$B$21)),1))*5)+(((Archetypes!$D$11*(IF(AF11&lt;0,1+Assumptions!$B$32*MIN(1,ABS(AF11)/ABS(Assumptions!$B$21)),MAX(0.1,1-Assumptions!$B$31*(AF11/50)))))*AJ11*Archetypes!$D$15*Archetypes!$D$22)*(Archetypes!$D$13*IF(AF11&lt;0,1-Assumptions!$B$33*MIN(1,ABS(AF11)/ABS(Assumptions!$B$21)),1))*5*Assumptions!$B$18))*IF(AF11&lt;0,Assumptions!$B$9,1)))*$E11</f>
        <v>6861.8204999999998</v>
      </c>
      <c r="AO11" s="18">
        <f>(AO10)+(AN11)-(MAX(0,((AO10)+(AN11)-(AP11)))*(IF(Archetypes!$D$27="",Assumptions!$B$11,Archetypes!$D$27)))</f>
        <v>16801.59736908129</v>
      </c>
      <c r="AP11" s="18">
        <f>Archetypes!$D$33</f>
        <v>201.32916645159378</v>
      </c>
      <c r="AQ11" s="18">
        <f t="shared" si="7"/>
        <v>16600.268202629697</v>
      </c>
    </row>
    <row r="12" spans="1:52" x14ac:dyDescent="0.25">
      <c r="A12" s="14">
        <v>48</v>
      </c>
      <c r="B12" s="14">
        <f t="shared" si="0"/>
        <v>3</v>
      </c>
      <c r="C12" s="14">
        <f t="shared" si="1"/>
        <v>0</v>
      </c>
      <c r="D12" s="15">
        <f>IF(C12&lt;Assumptions!$B$10,1,0)</f>
        <v>1</v>
      </c>
      <c r="E12" s="15">
        <v>6</v>
      </c>
      <c r="F12" s="18">
        <f t="shared" si="8"/>
        <v>93.280217671285769</v>
      </c>
      <c r="G12" s="18">
        <f>MAX(Assumptions!$B$21,(F12)+(H12))</f>
        <v>96.988937671285768</v>
      </c>
      <c r="H12" s="18">
        <f>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$15)*Assumptions!$B$22+((Archetypes!$B$11*(IF(F12&lt;0,1+Assumptions!$B$32*MIN(1,ABS(F12)/ABS(Assumptions!$B$21)),MAX(0.1,1-Assumptions!$B$31*(F12/50)))))*J12*Archetypes!$B$15*Archetypes!$B$22)*Assumptions!$B$23+(Archetypes!$B$11*(IF(F12&lt;0,1+Assumptions!$B$32*MIN(1,ABS(F12)/ABS(Assumptions!$B$21)),MAX(0.1,1-Assumptions!$B$31*(F12/50)))))*Assumptions!$B$24+-((Archetypes!$B$11*(IF(F12&lt;0,1+Assumptions!$B$32*MIN(1,ABS(F12)/ABS(Assumptions!$B$21)),MAX(0.1,1-Assumptions!$B$31*(F12/50)))))*Archetypes!$B$16)*(Assumptions!$B$27*(1+Assumptions!$B$28*Archetypes!$B$14)/(1+Assumptions!$B$29*Archetypes!$B$12))+-(Archetypes!$B$11*(IF(F12&lt;0,1+Assumptions!$B$32*MIN(1,ABS(F12)/ABS(Assumptions!$B$21)),MAX(0.1,1-Assumptions!$B$31*(F12/50)))))*Archetypes!$B$17*((Archetypes!$B$31)/100)*Assumptions!$B$30+-Assumptions!$B$25*Assumptions!$B$26)*$E12</f>
        <v>3.70872</v>
      </c>
      <c r="I12" s="18">
        <f>(Archetypes!$B$11*(IF(F12&lt;0,1+Assumptions!$B$32*MIN(1,ABS(F12)/ABS(Assumptions!$B$21)),MAX(0.1,1-Assumptions!$B$31*(F12/50)))))*$E12</f>
        <v>6</v>
      </c>
      <c r="J12" s="19">
        <f>Archetypes!$B$30</f>
        <v>2.1999999999999999E-2</v>
      </c>
      <c r="K12" s="18">
        <f t="shared" si="2"/>
        <v>0.13200000000000001</v>
      </c>
      <c r="L12" s="18">
        <f>((I12-K12)*Archetypes!$B$15)+(K12*Archetypes!$B$15*Archetypes!$B$22)</f>
        <v>0.60264000000000006</v>
      </c>
      <c r="M12" s="18">
        <f>I12*Archetypes!$B$16</f>
        <v>4.5</v>
      </c>
      <c r="N12" s="18">
        <f>(IF(F12&lt;0,Assumptions!$B$8,IF(F12&lt;10,Assumptions!$B$34,IF(F12&lt;25,Assumptions!$B$35,Assumptions!$B$36))))*((((Archetypes!$B$5*Assumptions!$B$4+Archetypes!$B$6*Assumptions!$B$5)*60))+(Assumptions!$B$6*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$20)+((Archetypes!$B$11*(IF(F12&lt;0,1+Assumptions!$B$32*MIN(1,ABS(F12)/ABS(Assumptions!$B$21)),MAX(0.1,1-Assumptions!$B$31*(F12/50)))))*J12*Archetypes!$B$20*Archetypes!$B$21)*Assumptions!$B$18)*(IF($D12=1,1,Assumptions!$B$7)))+((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$15)*(Archetypes!$B$13*IF(F12&lt;0,1-Assumptions!$B$33*MIN(1,ABS(F12)/ABS(Assumptions!$B$21)),1))*5)+(((Archetypes!$B$11*(IF(F12&lt;0,1+Assumptions!$B$32*MIN(1,ABS(F12)/ABS(Assumptions!$B$21)),MAX(0.1,1-Assumptions!$B$31*(F12/50)))))*J12*Archetypes!$B$15*Archetypes!$B$22)*(Archetypes!$B$13*IF(F12&lt;0,1-Assumptions!$B$33*MIN(1,ABS(F12)/ABS(Assumptions!$B$21)),1))*5*Assumptions!$B$18))*IF(F12&lt;0,Assumptions!$B$9,1)))*$E12</f>
        <v>1178.4672</v>
      </c>
      <c r="O12" s="18">
        <f>(O11)+(N12)-(MAX(0,((O11)+(N12)-(P12)))*(IF(Archetypes!$B$27="",Assumptions!$B$11,Archetypes!$B$27)))</f>
        <v>4496.5609713536578</v>
      </c>
      <c r="P12" s="18">
        <f>Archetypes!$B$33</f>
        <v>25.423199999999998</v>
      </c>
      <c r="Q12" s="18">
        <f t="shared" si="3"/>
        <v>4471.1377713536576</v>
      </c>
      <c r="S12" s="18">
        <f t="shared" si="9"/>
        <v>82.872710287157517</v>
      </c>
      <c r="T12" s="18">
        <f>MAX(Assumptions!$B$21,(S12)+(U12))</f>
        <v>85.349047430014664</v>
      </c>
      <c r="U12" s="18">
        <f>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$15)*Assumptions!$B$22+((Archetypes!$C$11*(IF(S12&lt;0,1+Assumptions!$B$32*MIN(1,ABS(S12)/ABS(Assumptions!$B$21)),MAX(0.1,1-Assumptions!$B$31*(S12/50)))))*W12*Archetypes!$C$15*Archetypes!$C$22)*Assumptions!$B$23+(Archetypes!$C$11*(IF(S12&lt;0,1+Assumptions!$B$32*MIN(1,ABS(S12)/ABS(Assumptions!$B$21)),MAX(0.1,1-Assumptions!$B$31*(S12/50)))))*Assumptions!$B$24+-((Archetypes!$C$11*(IF(S12&lt;0,1+Assumptions!$B$32*MIN(1,ABS(S12)/ABS(Assumptions!$B$21)),MAX(0.1,1-Assumptions!$B$31*(S12/50)))))*Archetypes!$C$16)*(Assumptions!$B$27*(1+Assumptions!$B$28*Archetypes!$C$14)/(1+Assumptions!$B$29*Archetypes!$C$12))+-(Archetypes!$C$11*(IF(S12&lt;0,1+Assumptions!$B$32*MIN(1,ABS(S12)/ABS(Assumptions!$B$21)),MAX(0.1,1-Assumptions!$B$31*(S12/50)))))*Archetypes!$C$17*((Archetypes!$C$31)/100)*Assumptions!$B$30+-Assumptions!$B$25*Assumptions!$B$26)*$E12</f>
        <v>2.4763371428571439</v>
      </c>
      <c r="V12" s="18">
        <f>(Archetypes!$C$11*(IF(S12&lt;0,1+Assumptions!$B$32*MIN(1,ABS(S12)/ABS(Assumptions!$B$21)),MAX(0.1,1-Assumptions!$B$31*(S12/50)))))*$E12</f>
        <v>3.6000000000000005</v>
      </c>
      <c r="W12" s="19">
        <f>Archetypes!$C$30</f>
        <v>3.7999999999999999E-2</v>
      </c>
      <c r="X12" s="18">
        <f t="shared" si="4"/>
        <v>0.1368</v>
      </c>
      <c r="Y12" s="18">
        <f>((V12-X12)*Archetypes!$C$15)+(X12*Archetypes!$C$15*Archetypes!$C$22)</f>
        <v>1.8205200000000004</v>
      </c>
      <c r="Z12" s="18">
        <f>V12*Archetypes!$C$16</f>
        <v>1.6200000000000003</v>
      </c>
      <c r="AA12" s="18">
        <f>(IF(S12&lt;0,Assumptions!$B$8,IF(S12&lt;10,Assumptions!$B$34,IF(S12&lt;25,Assumptions!$B$35,Assumptions!$B$36))))*((((Archetypes!$C$5*Assumptions!$B$4+Archetypes!$C$6*Assumptions!$B$5)*60))+(Assumptions!$B$6*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$20)+((Archetypes!$C$11*(IF(S12&lt;0,1+Assumptions!$B$32*MIN(1,ABS(S12)/ABS(Assumptions!$B$21)),MAX(0.1,1-Assumptions!$B$31*(S12/50)))))*W12*Archetypes!$C$20*Archetypes!$C$21)*Assumptions!$B$18)*(IF($D12=1,1,Assumptions!$B$7)))+((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$15)*(Archetypes!$C$13*IF(S12&lt;0,1-Assumptions!$B$33*MIN(1,ABS(S12)/ABS(Assumptions!$B$21)),1))*5)+(((Archetypes!$C$11*(IF(S12&lt;0,1+Assumptions!$B$32*MIN(1,ABS(S12)/ABS(Assumptions!$B$21)),MAX(0.1,1-Assumptions!$B$31*(S12/50)))))*W12*Archetypes!$C$15*Archetypes!$C$22)*(Archetypes!$C$13*IF(S12&lt;0,1-Assumptions!$B$33*MIN(1,ABS(S12)/ABS(Assumptions!$B$21)),1))*5*Assumptions!$B$18))*IF(S12&lt;0,Assumptions!$B$9,1)))*$E12</f>
        <v>4462.9335000000001</v>
      </c>
      <c r="AB12" s="18">
        <f>(AB11)+(AA12)-(MAX(0,((AB11)+(AA12)-(AC12)))*(IF(Archetypes!$C$27="",Assumptions!$B$11,Archetypes!$C$27)))</f>
        <v>12865.271954884713</v>
      </c>
      <c r="AC12" s="18">
        <f>Archetypes!$C$33</f>
        <v>90.34</v>
      </c>
      <c r="AD12" s="18">
        <f t="shared" si="5"/>
        <v>12774.931954884712</v>
      </c>
      <c r="AF12" s="18">
        <f t="shared" si="10"/>
        <v>77.532266766788339</v>
      </c>
      <c r="AG12" s="18">
        <f>MAX(Assumptions!$B$21,(AF12)+(AH12))</f>
        <v>79.25268276678834</v>
      </c>
      <c r="AH12" s="18">
        <f>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$15)*Assumptions!$B$22+((Archetypes!$D$11*(IF(AF12&lt;0,1+Assumptions!$B$32*MIN(1,ABS(AF12)/ABS(Assumptions!$B$21)),MAX(0.1,1-Assumptions!$B$31*(AF12/50)))))*AJ12*Archetypes!$D$15*Archetypes!$D$22)*Assumptions!$B$23+(Archetypes!$D$11*(IF(AF12&lt;0,1+Assumptions!$B$32*MIN(1,ABS(AF12)/ABS(Assumptions!$B$21)),MAX(0.1,1-Assumptions!$B$31*(AF12/50)))))*Assumptions!$B$24+-((Archetypes!$D$11*(IF(AF12&lt;0,1+Assumptions!$B$32*MIN(1,ABS(AF12)/ABS(Assumptions!$B$21)),MAX(0.1,1-Assumptions!$B$31*(AF12/50)))))*Archetypes!$D$16)*(Assumptions!$B$27*(1+Assumptions!$B$28*Archetypes!$D$14)/(1+Assumptions!$B$29*Archetypes!$D$12))+-(Archetypes!$D$11*(IF(AF12&lt;0,1+Assumptions!$B$32*MIN(1,ABS(AF12)/ABS(Assumptions!$B$21)),MAX(0.1,1-Assumptions!$B$31*(AF12/50)))))*Archetypes!$D$17*((Archetypes!$D$31)/100)*Assumptions!$B$30+-Assumptions!$B$25*Assumptions!$B$26)*$E12</f>
        <v>1.7204160000000006</v>
      </c>
      <c r="AI12" s="18">
        <f>(Archetypes!$D$11*(IF(AF12&lt;0,1+Assumptions!$B$32*MIN(1,ABS(AF12)/ABS(Assumptions!$B$21)),MAX(0.1,1-Assumptions!$B$31*(AF12/50)))))*$E12</f>
        <v>1.8000000000000003</v>
      </c>
      <c r="AJ12" s="19">
        <f>Archetypes!$D$30</f>
        <v>0.10400000000000001</v>
      </c>
      <c r="AK12" s="18">
        <f t="shared" si="6"/>
        <v>0.18720000000000003</v>
      </c>
      <c r="AL12" s="18">
        <f>((AI12-AK12)*Archetypes!$D$15)+(AK12*Archetypes!$D$15*Archetypes!$D$22)</f>
        <v>2.8123200000000006</v>
      </c>
      <c r="AM12" s="18">
        <f>AI12*Archetypes!$D$16</f>
        <v>0.3600000000000001</v>
      </c>
      <c r="AN12" s="18">
        <f>(IF(AF12&lt;0,Assumptions!$B$8,IF(AF12&lt;10,Assumptions!$B$34,IF(AF12&lt;25,Assumptions!$B$35,Assumptions!$B$36))))*((((Archetypes!$D$5*Assumptions!$B$4+Archetypes!$D$6*Assumptions!$B$5)*60))+(Assumptions!$B$6*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$20)+((Archetypes!$D$11*(IF(AF12&lt;0,1+Assumptions!$B$32*MIN(1,ABS(AF12)/ABS(Assumptions!$B$21)),MAX(0.1,1-Assumptions!$B$31*(AF12/50)))))*AJ12*Archetypes!$D$20*Archetypes!$D$21)*Assumptions!$B$18)*(IF($D12=1,1,Assumptions!$B$7)))+((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$15)*(Archetypes!$D$13*IF(AF12&lt;0,1-Assumptions!$B$33*MIN(1,ABS(AF12)/ABS(Assumptions!$B$21)),1))*5)+(((Archetypes!$D$11*(IF(AF12&lt;0,1+Assumptions!$B$32*MIN(1,ABS(AF12)/ABS(Assumptions!$B$21)),MAX(0.1,1-Assumptions!$B$31*(AF12/50)))))*AJ12*Archetypes!$D$15*Archetypes!$D$22)*(Archetypes!$D$13*IF(AF12&lt;0,1-Assumptions!$B$33*MIN(1,ABS(AF12)/ABS(Assumptions!$B$21)),1))*5*Assumptions!$B$18))*IF(AF12&lt;0,Assumptions!$B$9,1)))*$E12</f>
        <v>7432.1279999999988</v>
      </c>
      <c r="AO12" s="18">
        <f>(AO11)+(AN12)-(MAX(0,((AO11)+(AN12)-(AP12)))*(IF(Archetypes!$D$27="",Assumptions!$B$11,Archetypes!$D$27)))</f>
        <v>17024.006508292379</v>
      </c>
      <c r="AP12" s="18">
        <f>Archetypes!$D$33</f>
        <v>201.32916645159378</v>
      </c>
      <c r="AQ12" s="18">
        <f t="shared" si="7"/>
        <v>16822.677341840787</v>
      </c>
    </row>
    <row r="13" spans="1:52" x14ac:dyDescent="0.25">
      <c r="A13" s="14">
        <v>54</v>
      </c>
      <c r="B13" s="14">
        <f t="shared" si="0"/>
        <v>3</v>
      </c>
      <c r="C13" s="14">
        <f t="shared" si="1"/>
        <v>6</v>
      </c>
      <c r="D13" s="15">
        <f>IF(C13&lt;Assumptions!$B$10,1,0)</f>
        <v>0</v>
      </c>
      <c r="E13" s="15">
        <v>6</v>
      </c>
      <c r="F13" s="18">
        <f t="shared" si="8"/>
        <v>96.988937671285768</v>
      </c>
      <c r="G13" s="18">
        <f>MAX(Assumptions!$B$21,(F13)+(H13))</f>
        <v>100.69765767128577</v>
      </c>
      <c r="H13" s="18">
        <f>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$15)*Assumptions!$B$22+((Archetypes!$B$11*(IF(F13&lt;0,1+Assumptions!$B$32*MIN(1,ABS(F13)/ABS(Assumptions!$B$21)),MAX(0.1,1-Assumptions!$B$31*(F13/50)))))*J13*Archetypes!$B$15*Archetypes!$B$22)*Assumptions!$B$23+(Archetypes!$B$11*(IF(F13&lt;0,1+Assumptions!$B$32*MIN(1,ABS(F13)/ABS(Assumptions!$B$21)),MAX(0.1,1-Assumptions!$B$31*(F13/50)))))*Assumptions!$B$24+-((Archetypes!$B$11*(IF(F13&lt;0,1+Assumptions!$B$32*MIN(1,ABS(F13)/ABS(Assumptions!$B$21)),MAX(0.1,1-Assumptions!$B$31*(F13/50)))))*Archetypes!$B$16)*(Assumptions!$B$27*(1+Assumptions!$B$28*Archetypes!$B$14)/(1+Assumptions!$B$29*Archetypes!$B$12))+-(Archetypes!$B$11*(IF(F13&lt;0,1+Assumptions!$B$32*MIN(1,ABS(F13)/ABS(Assumptions!$B$21)),MAX(0.1,1-Assumptions!$B$31*(F13/50)))))*Archetypes!$B$17*((Archetypes!$B$31)/100)*Assumptions!$B$30+-Assumptions!$B$25*Assumptions!$B$26)*$E13</f>
        <v>3.70872</v>
      </c>
      <c r="I13" s="18">
        <f>(Archetypes!$B$11*(IF(F13&lt;0,1+Assumptions!$B$32*MIN(1,ABS(F13)/ABS(Assumptions!$B$21)),MAX(0.1,1-Assumptions!$B$31*(F13/50)))))*$E13</f>
        <v>6</v>
      </c>
      <c r="J13" s="19">
        <f>Archetypes!$B$30</f>
        <v>2.1999999999999999E-2</v>
      </c>
      <c r="K13" s="18">
        <f t="shared" si="2"/>
        <v>0.13200000000000001</v>
      </c>
      <c r="L13" s="18">
        <f>((I13-K13)*Archetypes!$B$15)+(K13*Archetypes!$B$15*Archetypes!$B$22)</f>
        <v>0.60264000000000006</v>
      </c>
      <c r="M13" s="18">
        <f>I13*Archetypes!$B$16</f>
        <v>4.5</v>
      </c>
      <c r="N13" s="18">
        <f>(IF(F13&lt;0,Assumptions!$B$8,IF(F13&lt;10,Assumptions!$B$34,IF(F13&lt;25,Assumptions!$B$35,Assumptions!$B$36))))*((((Archetypes!$B$5*Assumptions!$B$4+Archetypes!$B$6*Assumptions!$B$5)*60))+(Assumptions!$B$6*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$20)+((Archetypes!$B$11*(IF(F13&lt;0,1+Assumptions!$B$32*MIN(1,ABS(F13)/ABS(Assumptions!$B$21)),MAX(0.1,1-Assumptions!$B$31*(F13/50)))))*J13*Archetypes!$B$20*Archetypes!$B$21)*Assumptions!$B$18)*(IF($D13=1,1,Assumptions!$B$7)))+((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$15)*(Archetypes!$B$13*IF(F13&lt;0,1-Assumptions!$B$33*MIN(1,ABS(F13)/ABS(Assumptions!$B$21)),1))*5)+(((Archetypes!$B$11*(IF(F13&lt;0,1+Assumptions!$B$32*MIN(1,ABS(F13)/ABS(Assumptions!$B$21)),MAX(0.1,1-Assumptions!$B$31*(F13/50)))))*J13*Archetypes!$B$15*Archetypes!$B$22)*(Archetypes!$B$13*IF(F13&lt;0,1-Assumptions!$B$33*MIN(1,ABS(F13)/ABS(Assumptions!$B$21)),1))*5*Assumptions!$B$18))*IF(F13&lt;0,Assumptions!$B$9,1)))*$E13</f>
        <v>1103.7113999999999</v>
      </c>
      <c r="O13" s="18">
        <f>(O12)+(N13)-(MAX(0,((O12)+(N13)-(P13)))*(IF(Archetypes!$B$27="",Assumptions!$B$11,Archetypes!$B$27)))</f>
        <v>4485.3025370829264</v>
      </c>
      <c r="P13" s="18">
        <f>Archetypes!$B$33</f>
        <v>25.423199999999998</v>
      </c>
      <c r="Q13" s="18">
        <f t="shared" si="3"/>
        <v>4459.8793370829262</v>
      </c>
      <c r="S13" s="18">
        <f t="shared" si="9"/>
        <v>85.349047430014664</v>
      </c>
      <c r="T13" s="18">
        <f>MAX(Assumptions!$B$21,(S13)+(U13))</f>
        <v>87.825384572871812</v>
      </c>
      <c r="U13" s="18">
        <f>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$15)*Assumptions!$B$22+((Archetypes!$C$11*(IF(S13&lt;0,1+Assumptions!$B$32*MIN(1,ABS(S13)/ABS(Assumptions!$B$21)),MAX(0.1,1-Assumptions!$B$31*(S13/50)))))*W13*Archetypes!$C$15*Archetypes!$C$22)*Assumptions!$B$23+(Archetypes!$C$11*(IF(S13&lt;0,1+Assumptions!$B$32*MIN(1,ABS(S13)/ABS(Assumptions!$B$21)),MAX(0.1,1-Assumptions!$B$31*(S13/50)))))*Assumptions!$B$24+-((Archetypes!$C$11*(IF(S13&lt;0,1+Assumptions!$B$32*MIN(1,ABS(S13)/ABS(Assumptions!$B$21)),MAX(0.1,1-Assumptions!$B$31*(S13/50)))))*Archetypes!$C$16)*(Assumptions!$B$27*(1+Assumptions!$B$28*Archetypes!$C$14)/(1+Assumptions!$B$29*Archetypes!$C$12))+-(Archetypes!$C$11*(IF(S13&lt;0,1+Assumptions!$B$32*MIN(1,ABS(S13)/ABS(Assumptions!$B$21)),MAX(0.1,1-Assumptions!$B$31*(S13/50)))))*Archetypes!$C$17*((Archetypes!$C$31)/100)*Assumptions!$B$30+-Assumptions!$B$25*Assumptions!$B$26)*$E13</f>
        <v>2.4763371428571439</v>
      </c>
      <c r="V13" s="18">
        <f>(Archetypes!$C$11*(IF(S13&lt;0,1+Assumptions!$B$32*MIN(1,ABS(S13)/ABS(Assumptions!$B$21)),MAX(0.1,1-Assumptions!$B$31*(S13/50)))))*$E13</f>
        <v>3.6000000000000005</v>
      </c>
      <c r="W13" s="19">
        <f>Archetypes!$C$30</f>
        <v>3.7999999999999999E-2</v>
      </c>
      <c r="X13" s="18">
        <f t="shared" si="4"/>
        <v>0.1368</v>
      </c>
      <c r="Y13" s="18">
        <f>((V13-X13)*Archetypes!$C$15)+(X13*Archetypes!$C$15*Archetypes!$C$22)</f>
        <v>1.8205200000000004</v>
      </c>
      <c r="Z13" s="18">
        <f>V13*Archetypes!$C$16</f>
        <v>1.6200000000000003</v>
      </c>
      <c r="AA13" s="18">
        <f>(IF(S13&lt;0,Assumptions!$B$8,IF(S13&lt;10,Assumptions!$B$34,IF(S13&lt;25,Assumptions!$B$35,Assumptions!$B$36))))*((((Archetypes!$C$5*Assumptions!$B$4+Archetypes!$C$6*Assumptions!$B$5)*60))+(Assumptions!$B$6*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$20)+((Archetypes!$C$11*(IF(S13&lt;0,1+Assumptions!$B$32*MIN(1,ABS(S13)/ABS(Assumptions!$B$21)),MAX(0.1,1-Assumptions!$B$31*(S13/50)))))*W13*Archetypes!$C$20*Archetypes!$C$21)*Assumptions!$B$18)*(IF($D13=1,1,Assumptions!$B$7)))+((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$15)*(Archetypes!$C$13*IF(S13&lt;0,1-Assumptions!$B$33*MIN(1,ABS(S13)/ABS(Assumptions!$B$21)),1))*5)+(((Archetypes!$C$11*(IF(S13&lt;0,1+Assumptions!$B$32*MIN(1,ABS(S13)/ABS(Assumptions!$B$21)),MAX(0.1,1-Assumptions!$B$31*(S13/50)))))*W13*Archetypes!$C$15*Archetypes!$C$22)*(Archetypes!$C$13*IF(S13&lt;0,1-Assumptions!$B$33*MIN(1,ABS(S13)/ABS(Assumptions!$B$21)),1))*5*Assumptions!$B$18))*IF(S13&lt;0,Assumptions!$B$9,1)))*$E13</f>
        <v>4257.4942799999999</v>
      </c>
      <c r="AB13" s="18">
        <f>(AB12)+(AA13)-(MAX(0,((AB12)+(AA13)-(AC13)))*(IF(Archetypes!$C$27="",Assumptions!$B$11,Archetypes!$C$27)))</f>
        <v>12864.659676163534</v>
      </c>
      <c r="AC13" s="18">
        <f>Archetypes!$C$33</f>
        <v>90.34</v>
      </c>
      <c r="AD13" s="18">
        <f t="shared" si="5"/>
        <v>12774.319676163534</v>
      </c>
      <c r="AF13" s="18">
        <f t="shared" si="10"/>
        <v>79.25268276678834</v>
      </c>
      <c r="AG13" s="18">
        <f>MAX(Assumptions!$B$21,(AF13)+(AH13))</f>
        <v>80.97309876678834</v>
      </c>
      <c r="AH13" s="18">
        <f>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$15)*Assumptions!$B$22+((Archetypes!$D$11*(IF(AF13&lt;0,1+Assumptions!$B$32*MIN(1,ABS(AF13)/ABS(Assumptions!$B$21)),MAX(0.1,1-Assumptions!$B$31*(AF13/50)))))*AJ13*Archetypes!$D$15*Archetypes!$D$22)*Assumptions!$B$23+(Archetypes!$D$11*(IF(AF13&lt;0,1+Assumptions!$B$32*MIN(1,ABS(AF13)/ABS(Assumptions!$B$21)),MAX(0.1,1-Assumptions!$B$31*(AF13/50)))))*Assumptions!$B$24+-((Archetypes!$D$11*(IF(AF13&lt;0,1+Assumptions!$B$32*MIN(1,ABS(AF13)/ABS(Assumptions!$B$21)),MAX(0.1,1-Assumptions!$B$31*(AF13/50)))))*Archetypes!$D$16)*(Assumptions!$B$27*(1+Assumptions!$B$28*Archetypes!$D$14)/(1+Assumptions!$B$29*Archetypes!$D$12))+-(Archetypes!$D$11*(IF(AF13&lt;0,1+Assumptions!$B$32*MIN(1,ABS(AF13)/ABS(Assumptions!$B$21)),MAX(0.1,1-Assumptions!$B$31*(AF13/50)))))*Archetypes!$D$17*((Archetypes!$D$31)/100)*Assumptions!$B$30+-Assumptions!$B$25*Assumptions!$B$26)*$E13</f>
        <v>1.7204160000000006</v>
      </c>
      <c r="AI13" s="18">
        <f>(Archetypes!$D$11*(IF(AF13&lt;0,1+Assumptions!$B$32*MIN(1,ABS(AF13)/ABS(Assumptions!$B$21)),MAX(0.1,1-Assumptions!$B$31*(AF13/50)))))*$E13</f>
        <v>1.8000000000000003</v>
      </c>
      <c r="AJ13" s="19">
        <f>Archetypes!$D$30</f>
        <v>0.10400000000000001</v>
      </c>
      <c r="AK13" s="18">
        <f t="shared" si="6"/>
        <v>0.18720000000000003</v>
      </c>
      <c r="AL13" s="18">
        <f>((AI13-AK13)*Archetypes!$D$15)+(AK13*Archetypes!$D$15*Archetypes!$D$22)</f>
        <v>2.8123200000000006</v>
      </c>
      <c r="AM13" s="18">
        <f>AI13*Archetypes!$D$16</f>
        <v>0.3600000000000001</v>
      </c>
      <c r="AN13" s="18">
        <f>(IF(AF13&lt;0,Assumptions!$B$8,IF(AF13&lt;10,Assumptions!$B$34,IF(AF13&lt;25,Assumptions!$B$35,Assumptions!$B$36))))*((((Archetypes!$D$5*Assumptions!$B$4+Archetypes!$D$6*Assumptions!$B$5)*60))+(Assumptions!$B$6*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$20)+((Archetypes!$D$11*(IF(AF13&lt;0,1+Assumptions!$B$32*MIN(1,ABS(AF13)/ABS(Assumptions!$B$21)),MAX(0.1,1-Assumptions!$B$31*(AF13/50)))))*AJ13*Archetypes!$D$20*Archetypes!$D$21)*Assumptions!$B$18)*(IF($D13=1,1,Assumptions!$B$7)))+((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$15)*(Archetypes!$D$13*IF(AF13&lt;0,1-Assumptions!$B$33*MIN(1,ABS(AF13)/ABS(Assumptions!$B$21)),1))*5)+(((Archetypes!$D$11*(IF(AF13&lt;0,1+Assumptions!$B$32*MIN(1,ABS(AF13)/ABS(Assumptions!$B$21)),MAX(0.1,1-Assumptions!$B$31*(AF13/50)))))*AJ13*Archetypes!$D$15*Archetypes!$D$22)*(Archetypes!$D$13*IF(AF13&lt;0,1-Assumptions!$B$33*MIN(1,ABS(AF13)/ABS(Assumptions!$B$21)),1))*5*Assumptions!$B$18))*IF(AF13&lt;0,Assumptions!$B$9,1)))*$E13</f>
        <v>6861.8204999999998</v>
      </c>
      <c r="AO13" s="18">
        <f>(AO12)+(AN13)-(MAX(0,((AO12)+(AN13)-(AP13)))*(IF(Archetypes!$D$27="",Assumptions!$B$11,Archetypes!$D$27)))</f>
        <v>16780.477655740142</v>
      </c>
      <c r="AP13" s="18">
        <f>Archetypes!$D$33</f>
        <v>201.32916645159378</v>
      </c>
      <c r="AQ13" s="18">
        <f t="shared" si="7"/>
        <v>16579.148489288549</v>
      </c>
    </row>
    <row r="14" spans="1:52" x14ac:dyDescent="0.25">
      <c r="A14" s="14">
        <v>60</v>
      </c>
      <c r="B14" s="14">
        <f t="shared" si="0"/>
        <v>3</v>
      </c>
      <c r="C14" s="14">
        <f t="shared" si="1"/>
        <v>12</v>
      </c>
      <c r="D14" s="15">
        <f>IF(C14&lt;Assumptions!$B$10,1,0)</f>
        <v>0</v>
      </c>
      <c r="E14" s="15">
        <v>6</v>
      </c>
      <c r="F14" s="18">
        <f t="shared" si="8"/>
        <v>100.69765767128577</v>
      </c>
      <c r="G14" s="18">
        <f>MAX(Assumptions!$B$21,(F14)+(H14))</f>
        <v>104.40637767128577</v>
      </c>
      <c r="H14" s="18">
        <f>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$15)*Assumptions!$B$22+((Archetypes!$B$11*(IF(F14&lt;0,1+Assumptions!$B$32*MIN(1,ABS(F14)/ABS(Assumptions!$B$21)),MAX(0.1,1-Assumptions!$B$31*(F14/50)))))*J14*Archetypes!$B$15*Archetypes!$B$22)*Assumptions!$B$23+(Archetypes!$B$11*(IF(F14&lt;0,1+Assumptions!$B$32*MIN(1,ABS(F14)/ABS(Assumptions!$B$21)),MAX(0.1,1-Assumptions!$B$31*(F14/50)))))*Assumptions!$B$24+-((Archetypes!$B$11*(IF(F14&lt;0,1+Assumptions!$B$32*MIN(1,ABS(F14)/ABS(Assumptions!$B$21)),MAX(0.1,1-Assumptions!$B$31*(F14/50)))))*Archetypes!$B$16)*(Assumptions!$B$27*(1+Assumptions!$B$28*Archetypes!$B$14)/(1+Assumptions!$B$29*Archetypes!$B$12))+-(Archetypes!$B$11*(IF(F14&lt;0,1+Assumptions!$B$32*MIN(1,ABS(F14)/ABS(Assumptions!$B$21)),MAX(0.1,1-Assumptions!$B$31*(F14/50)))))*Archetypes!$B$17*((Archetypes!$B$31)/100)*Assumptions!$B$30+-Assumptions!$B$25*Assumptions!$B$26)*$E14</f>
        <v>3.70872</v>
      </c>
      <c r="I14" s="18">
        <f>(Archetypes!$B$11*(IF(F14&lt;0,1+Assumptions!$B$32*MIN(1,ABS(F14)/ABS(Assumptions!$B$21)),MAX(0.1,1-Assumptions!$B$31*(F14/50)))))*$E14</f>
        <v>6</v>
      </c>
      <c r="J14" s="19">
        <f>Archetypes!$B$30</f>
        <v>2.1999999999999999E-2</v>
      </c>
      <c r="K14" s="18">
        <f t="shared" si="2"/>
        <v>0.13200000000000001</v>
      </c>
      <c r="L14" s="18">
        <f>((I14-K14)*Archetypes!$B$15)+(K14*Archetypes!$B$15*Archetypes!$B$22)</f>
        <v>0.60264000000000006</v>
      </c>
      <c r="M14" s="18">
        <f>I14*Archetypes!$B$16</f>
        <v>4.5</v>
      </c>
      <c r="N14" s="18">
        <f>(IF(F14&lt;0,Assumptions!$B$8,IF(F14&lt;10,Assumptions!$B$34,IF(F14&lt;25,Assumptions!$B$35,Assumptions!$B$36))))*((((Archetypes!$B$5*Assumptions!$B$4+Archetypes!$B$6*Assumptions!$B$5)*60))+(Assumptions!$B$6*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$20)+((Archetypes!$B$11*(IF(F14&lt;0,1+Assumptions!$B$32*MIN(1,ABS(F14)/ABS(Assumptions!$B$21)),MAX(0.1,1-Assumptions!$B$31*(F14/50)))))*J14*Archetypes!$B$20*Archetypes!$B$21)*Assumptions!$B$18)*(IF($D14=1,1,Assumptions!$B$7)))+((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$15)*(Archetypes!$B$13*IF(F14&lt;0,1-Assumptions!$B$33*MIN(1,ABS(F14)/ABS(Assumptions!$B$21)),1))*5)+(((Archetypes!$B$11*(IF(F14&lt;0,1+Assumptions!$B$32*MIN(1,ABS(F14)/ABS(Assumptions!$B$21)),MAX(0.1,1-Assumptions!$B$31*(F14/50)))))*J14*Archetypes!$B$15*Archetypes!$B$22)*(Archetypes!$B$13*IF(F14&lt;0,1-Assumptions!$B$33*MIN(1,ABS(F14)/ABS(Assumptions!$B$21)),1))*5*Assumptions!$B$18))*IF(F14&lt;0,Assumptions!$B$9,1)))*$E14</f>
        <v>1103.7113999999999</v>
      </c>
      <c r="O14" s="18">
        <f>(O13)+(N14)-(MAX(0,((O13)+(N14)-(P14)))*(IF(Archetypes!$B$27="",Assumptions!$B$11,Archetypes!$B$27)))</f>
        <v>4476.2957896663411</v>
      </c>
      <c r="P14" s="18">
        <f>Archetypes!$B$33</f>
        <v>25.423199999999998</v>
      </c>
      <c r="Q14" s="18">
        <f t="shared" si="3"/>
        <v>4450.8725896663409</v>
      </c>
      <c r="S14" s="18">
        <f t="shared" si="9"/>
        <v>87.825384572871812</v>
      </c>
      <c r="T14" s="18">
        <f>MAX(Assumptions!$B$21,(S14)+(U14))</f>
        <v>90.301721715728959</v>
      </c>
      <c r="U14" s="18">
        <f>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$15)*Assumptions!$B$22+((Archetypes!$C$11*(IF(S14&lt;0,1+Assumptions!$B$32*MIN(1,ABS(S14)/ABS(Assumptions!$B$21)),MAX(0.1,1-Assumptions!$B$31*(S14/50)))))*W14*Archetypes!$C$15*Archetypes!$C$22)*Assumptions!$B$23+(Archetypes!$C$11*(IF(S14&lt;0,1+Assumptions!$B$32*MIN(1,ABS(S14)/ABS(Assumptions!$B$21)),MAX(0.1,1-Assumptions!$B$31*(S14/50)))))*Assumptions!$B$24+-((Archetypes!$C$11*(IF(S14&lt;0,1+Assumptions!$B$32*MIN(1,ABS(S14)/ABS(Assumptions!$B$21)),MAX(0.1,1-Assumptions!$B$31*(S14/50)))))*Archetypes!$C$16)*(Assumptions!$B$27*(1+Assumptions!$B$28*Archetypes!$C$14)/(1+Assumptions!$B$29*Archetypes!$C$12))+-(Archetypes!$C$11*(IF(S14&lt;0,1+Assumptions!$B$32*MIN(1,ABS(S14)/ABS(Assumptions!$B$21)),MAX(0.1,1-Assumptions!$B$31*(S14/50)))))*Archetypes!$C$17*((Archetypes!$C$31)/100)*Assumptions!$B$30+-Assumptions!$B$25*Assumptions!$B$26)*$E14</f>
        <v>2.4763371428571439</v>
      </c>
      <c r="V14" s="18">
        <f>(Archetypes!$C$11*(IF(S14&lt;0,1+Assumptions!$B$32*MIN(1,ABS(S14)/ABS(Assumptions!$B$21)),MAX(0.1,1-Assumptions!$B$31*(S14/50)))))*$E14</f>
        <v>3.6000000000000005</v>
      </c>
      <c r="W14" s="19">
        <f>Archetypes!$C$30</f>
        <v>3.7999999999999999E-2</v>
      </c>
      <c r="X14" s="18">
        <f t="shared" si="4"/>
        <v>0.1368</v>
      </c>
      <c r="Y14" s="18">
        <f>((V14-X14)*Archetypes!$C$15)+(X14*Archetypes!$C$15*Archetypes!$C$22)</f>
        <v>1.8205200000000004</v>
      </c>
      <c r="Z14" s="18">
        <f>V14*Archetypes!$C$16</f>
        <v>1.6200000000000003</v>
      </c>
      <c r="AA14" s="18">
        <f>(IF(S14&lt;0,Assumptions!$B$8,IF(S14&lt;10,Assumptions!$B$34,IF(S14&lt;25,Assumptions!$B$35,Assumptions!$B$36))))*((((Archetypes!$C$5*Assumptions!$B$4+Archetypes!$C$6*Assumptions!$B$5)*60))+(Assumptions!$B$6*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$20)+((Archetypes!$C$11*(IF(S14&lt;0,1+Assumptions!$B$32*MIN(1,ABS(S14)/ABS(Assumptions!$B$21)),MAX(0.1,1-Assumptions!$B$31*(S14/50)))))*W14*Archetypes!$C$20*Archetypes!$C$21)*Assumptions!$B$18)*(IF($D14=1,1,Assumptions!$B$7)))+((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$15)*(Archetypes!$C$13*IF(S14&lt;0,1-Assumptions!$B$33*MIN(1,ABS(S14)/ABS(Assumptions!$B$21)),1))*5)+(((Archetypes!$C$11*(IF(S14&lt;0,1+Assumptions!$B$32*MIN(1,ABS(S14)/ABS(Assumptions!$B$21)),MAX(0.1,1-Assumptions!$B$31*(S14/50)))))*W14*Archetypes!$C$15*Archetypes!$C$22)*(Archetypes!$C$13*IF(S14&lt;0,1-Assumptions!$B$33*MIN(1,ABS(S14)/ABS(Assumptions!$B$21)),1))*5*Assumptions!$B$18))*IF(S14&lt;0,Assumptions!$B$9,1)))*$E14</f>
        <v>4257.4942799999999</v>
      </c>
      <c r="AB14" s="18">
        <f>(AB13)+(AA14)-(MAX(0,((AB13)+(AA14)-(AC14)))*(IF(Archetypes!$C$27="",Assumptions!$B$11,Archetypes!$C$27)))</f>
        <v>12864.20046712265</v>
      </c>
      <c r="AC14" s="18">
        <f>Archetypes!$C$33</f>
        <v>90.34</v>
      </c>
      <c r="AD14" s="18">
        <f t="shared" si="5"/>
        <v>12773.860467122649</v>
      </c>
      <c r="AF14" s="18">
        <f t="shared" si="10"/>
        <v>80.97309876678834</v>
      </c>
      <c r="AG14" s="18">
        <f>MAX(Assumptions!$B$21,(AF14)+(AH14))</f>
        <v>82.69351476678834</v>
      </c>
      <c r="AH14" s="18">
        <f>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$15)*Assumptions!$B$22+((Archetypes!$D$11*(IF(AF14&lt;0,1+Assumptions!$B$32*MIN(1,ABS(AF14)/ABS(Assumptions!$B$21)),MAX(0.1,1-Assumptions!$B$31*(AF14/50)))))*AJ14*Archetypes!$D$15*Archetypes!$D$22)*Assumptions!$B$23+(Archetypes!$D$11*(IF(AF14&lt;0,1+Assumptions!$B$32*MIN(1,ABS(AF14)/ABS(Assumptions!$B$21)),MAX(0.1,1-Assumptions!$B$31*(AF14/50)))))*Assumptions!$B$24+-((Archetypes!$D$11*(IF(AF14&lt;0,1+Assumptions!$B$32*MIN(1,ABS(AF14)/ABS(Assumptions!$B$21)),MAX(0.1,1-Assumptions!$B$31*(AF14/50)))))*Archetypes!$D$16)*(Assumptions!$B$27*(1+Assumptions!$B$28*Archetypes!$D$14)/(1+Assumptions!$B$29*Archetypes!$D$12))+-(Archetypes!$D$11*(IF(AF14&lt;0,1+Assumptions!$B$32*MIN(1,ABS(AF14)/ABS(Assumptions!$B$21)),MAX(0.1,1-Assumptions!$B$31*(AF14/50)))))*Archetypes!$D$17*((Archetypes!$D$31)/100)*Assumptions!$B$30+-Assumptions!$B$25*Assumptions!$B$26)*$E14</f>
        <v>1.7204160000000006</v>
      </c>
      <c r="AI14" s="18">
        <f>(Archetypes!$D$11*(IF(AF14&lt;0,1+Assumptions!$B$32*MIN(1,ABS(AF14)/ABS(Assumptions!$B$21)),MAX(0.1,1-Assumptions!$B$31*(AF14/50)))))*$E14</f>
        <v>1.8000000000000003</v>
      </c>
      <c r="AJ14" s="19">
        <f>Archetypes!$D$30</f>
        <v>0.10400000000000001</v>
      </c>
      <c r="AK14" s="18">
        <f t="shared" si="6"/>
        <v>0.18720000000000003</v>
      </c>
      <c r="AL14" s="18">
        <f>((AI14-AK14)*Archetypes!$D$15)+(AK14*Archetypes!$D$15*Archetypes!$D$22)</f>
        <v>2.8123200000000006</v>
      </c>
      <c r="AM14" s="18">
        <f>AI14*Archetypes!$D$16</f>
        <v>0.3600000000000001</v>
      </c>
      <c r="AN14" s="18">
        <f>(IF(AF14&lt;0,Assumptions!$B$8,IF(AF14&lt;10,Assumptions!$B$34,IF(AF14&lt;25,Assumptions!$B$35,Assumptions!$B$36))))*((((Archetypes!$D$5*Assumptions!$B$4+Archetypes!$D$6*Assumptions!$B$5)*60))+(Assumptions!$B$6*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$20)+((Archetypes!$D$11*(IF(AF14&lt;0,1+Assumptions!$B$32*MIN(1,ABS(AF14)/ABS(Assumptions!$B$21)),MAX(0.1,1-Assumptions!$B$31*(AF14/50)))))*AJ14*Archetypes!$D$20*Archetypes!$D$21)*Assumptions!$B$18)*(IF($D14=1,1,Assumptions!$B$7)))+((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$15)*(Archetypes!$D$13*IF(AF14&lt;0,1-Assumptions!$B$33*MIN(1,ABS(AF14)/ABS(Assumptions!$B$21)),1))*5)+(((Archetypes!$D$11*(IF(AF14&lt;0,1+Assumptions!$B$32*MIN(1,ABS(AF14)/ABS(Assumptions!$B$21)),MAX(0.1,1-Assumptions!$B$31*(AF14/50)))))*AJ14*Archetypes!$D$15*Archetypes!$D$22)*(Archetypes!$D$13*IF(AF14&lt;0,1-Assumptions!$B$33*MIN(1,ABS(AF14)/ABS(Assumptions!$B$21)),1))*5*Assumptions!$B$18))*IF(AF14&lt;0,Assumptions!$B$9,1)))*$E14</f>
        <v>6861.8204999999998</v>
      </c>
      <c r="AO14" s="18">
        <f>(AO13)+(AN14)-(MAX(0,((AO13)+(AN14)-(AP14)))*(IF(Archetypes!$D$27="",Assumptions!$B$11,Archetypes!$D$27)))</f>
        <v>16610.00745895358</v>
      </c>
      <c r="AP14" s="18">
        <f>Archetypes!$D$33</f>
        <v>201.32916645159378</v>
      </c>
      <c r="AQ14" s="18">
        <f t="shared" si="7"/>
        <v>16408.678292501987</v>
      </c>
    </row>
    <row r="15" spans="1:52" x14ac:dyDescent="0.25">
      <c r="A15" s="14">
        <v>66</v>
      </c>
      <c r="B15" s="14">
        <f t="shared" si="0"/>
        <v>3</v>
      </c>
      <c r="C15" s="14">
        <f t="shared" si="1"/>
        <v>18</v>
      </c>
      <c r="D15" s="15">
        <f>IF(C15&lt;Assumptions!$B$10,1,0)</f>
        <v>0</v>
      </c>
      <c r="E15" s="15">
        <v>6</v>
      </c>
      <c r="F15" s="18">
        <f t="shared" si="8"/>
        <v>104.40637767128577</v>
      </c>
      <c r="G15" s="18">
        <f>MAX(Assumptions!$B$21,(F15)+(H15))</f>
        <v>108.11509767128577</v>
      </c>
      <c r="H15" s="18">
        <f>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$15)*Assumptions!$B$22+((Archetypes!$B$11*(IF(F15&lt;0,1+Assumptions!$B$32*MIN(1,ABS(F15)/ABS(Assumptions!$B$21)),MAX(0.1,1-Assumptions!$B$31*(F15/50)))))*J15*Archetypes!$B$15*Archetypes!$B$22)*Assumptions!$B$23+(Archetypes!$B$11*(IF(F15&lt;0,1+Assumptions!$B$32*MIN(1,ABS(F15)/ABS(Assumptions!$B$21)),MAX(0.1,1-Assumptions!$B$31*(F15/50)))))*Assumptions!$B$24+-((Archetypes!$B$11*(IF(F15&lt;0,1+Assumptions!$B$32*MIN(1,ABS(F15)/ABS(Assumptions!$B$21)),MAX(0.1,1-Assumptions!$B$31*(F15/50)))))*Archetypes!$B$16)*(Assumptions!$B$27*(1+Assumptions!$B$28*Archetypes!$B$14)/(1+Assumptions!$B$29*Archetypes!$B$12))+-(Archetypes!$B$11*(IF(F15&lt;0,1+Assumptions!$B$32*MIN(1,ABS(F15)/ABS(Assumptions!$B$21)),MAX(0.1,1-Assumptions!$B$31*(F15/50)))))*Archetypes!$B$17*((Archetypes!$B$31)/100)*Assumptions!$B$30+-Assumptions!$B$25*Assumptions!$B$26)*$E15</f>
        <v>3.70872</v>
      </c>
      <c r="I15" s="18">
        <f>(Archetypes!$B$11*(IF(F15&lt;0,1+Assumptions!$B$32*MIN(1,ABS(F15)/ABS(Assumptions!$B$21)),MAX(0.1,1-Assumptions!$B$31*(F15/50)))))*$E15</f>
        <v>6</v>
      </c>
      <c r="J15" s="19">
        <f>Archetypes!$B$30</f>
        <v>2.1999999999999999E-2</v>
      </c>
      <c r="K15" s="18">
        <f t="shared" si="2"/>
        <v>0.13200000000000001</v>
      </c>
      <c r="L15" s="18">
        <f>((I15-K15)*Archetypes!$B$15)+(K15*Archetypes!$B$15*Archetypes!$B$22)</f>
        <v>0.60264000000000006</v>
      </c>
      <c r="M15" s="18">
        <f>I15*Archetypes!$B$16</f>
        <v>4.5</v>
      </c>
      <c r="N15" s="18">
        <f>(IF(F15&lt;0,Assumptions!$B$8,IF(F15&lt;10,Assumptions!$B$34,IF(F15&lt;25,Assumptions!$B$35,Assumptions!$B$36))))*((((Archetypes!$B$5*Assumptions!$B$4+Archetypes!$B$6*Assumptions!$B$5)*60))+(Assumptions!$B$6*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$20)+((Archetypes!$B$11*(IF(F15&lt;0,1+Assumptions!$B$32*MIN(1,ABS(F15)/ABS(Assumptions!$B$21)),MAX(0.1,1-Assumptions!$B$31*(F15/50)))))*J15*Archetypes!$B$20*Archetypes!$B$21)*Assumptions!$B$18)*(IF($D15=1,1,Assumptions!$B$7)))+((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$15)*(Archetypes!$B$13*IF(F15&lt;0,1-Assumptions!$B$33*MIN(1,ABS(F15)/ABS(Assumptions!$B$21)),1))*5)+(((Archetypes!$B$11*(IF(F15&lt;0,1+Assumptions!$B$32*MIN(1,ABS(F15)/ABS(Assumptions!$B$21)),MAX(0.1,1-Assumptions!$B$31*(F15/50)))))*J15*Archetypes!$B$15*Archetypes!$B$22)*(Archetypes!$B$13*IF(F15&lt;0,1-Assumptions!$B$33*MIN(1,ABS(F15)/ABS(Assumptions!$B$21)),1))*5*Assumptions!$B$18))*IF(F15&lt;0,Assumptions!$B$9,1)))*$E15</f>
        <v>1103.7113999999999</v>
      </c>
      <c r="O15" s="18">
        <f>(O14)+(N15)-(MAX(0,((O14)+(N15)-(P15)))*(IF(Archetypes!$B$27="",Assumptions!$B$11,Archetypes!$B$27)))</f>
        <v>4469.0903917330725</v>
      </c>
      <c r="P15" s="18">
        <f>Archetypes!$B$33</f>
        <v>25.423199999999998</v>
      </c>
      <c r="Q15" s="18">
        <f t="shared" si="3"/>
        <v>4443.6671917330723</v>
      </c>
      <c r="S15" s="18">
        <f t="shared" si="9"/>
        <v>90.301721715728959</v>
      </c>
      <c r="T15" s="18">
        <f>MAX(Assumptions!$B$21,(S15)+(U15))</f>
        <v>92.778058858586107</v>
      </c>
      <c r="U15" s="18">
        <f>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$15)*Assumptions!$B$22+((Archetypes!$C$11*(IF(S15&lt;0,1+Assumptions!$B$32*MIN(1,ABS(S15)/ABS(Assumptions!$B$21)),MAX(0.1,1-Assumptions!$B$31*(S15/50)))))*W15*Archetypes!$C$15*Archetypes!$C$22)*Assumptions!$B$23+(Archetypes!$C$11*(IF(S15&lt;0,1+Assumptions!$B$32*MIN(1,ABS(S15)/ABS(Assumptions!$B$21)),MAX(0.1,1-Assumptions!$B$31*(S15/50)))))*Assumptions!$B$24+-((Archetypes!$C$11*(IF(S15&lt;0,1+Assumptions!$B$32*MIN(1,ABS(S15)/ABS(Assumptions!$B$21)),MAX(0.1,1-Assumptions!$B$31*(S15/50)))))*Archetypes!$C$16)*(Assumptions!$B$27*(1+Assumptions!$B$28*Archetypes!$C$14)/(1+Assumptions!$B$29*Archetypes!$C$12))+-(Archetypes!$C$11*(IF(S15&lt;0,1+Assumptions!$B$32*MIN(1,ABS(S15)/ABS(Assumptions!$B$21)),MAX(0.1,1-Assumptions!$B$31*(S15/50)))))*Archetypes!$C$17*((Archetypes!$C$31)/100)*Assumptions!$B$30+-Assumptions!$B$25*Assumptions!$B$26)*$E15</f>
        <v>2.4763371428571439</v>
      </c>
      <c r="V15" s="18">
        <f>(Archetypes!$C$11*(IF(S15&lt;0,1+Assumptions!$B$32*MIN(1,ABS(S15)/ABS(Assumptions!$B$21)),MAX(0.1,1-Assumptions!$B$31*(S15/50)))))*$E15</f>
        <v>3.6000000000000005</v>
      </c>
      <c r="W15" s="19">
        <f>Archetypes!$C$30</f>
        <v>3.7999999999999999E-2</v>
      </c>
      <c r="X15" s="18">
        <f t="shared" si="4"/>
        <v>0.1368</v>
      </c>
      <c r="Y15" s="18">
        <f>((V15-X15)*Archetypes!$C$15)+(X15*Archetypes!$C$15*Archetypes!$C$22)</f>
        <v>1.8205200000000004</v>
      </c>
      <c r="Z15" s="18">
        <f>V15*Archetypes!$C$16</f>
        <v>1.6200000000000003</v>
      </c>
      <c r="AA15" s="18">
        <f>(IF(S15&lt;0,Assumptions!$B$8,IF(S15&lt;10,Assumptions!$B$34,IF(S15&lt;25,Assumptions!$B$35,Assumptions!$B$36))))*((((Archetypes!$C$5*Assumptions!$B$4+Archetypes!$C$6*Assumptions!$B$5)*60))+(Assumptions!$B$6*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$20)+((Archetypes!$C$11*(IF(S15&lt;0,1+Assumptions!$B$32*MIN(1,ABS(S15)/ABS(Assumptions!$B$21)),MAX(0.1,1-Assumptions!$B$31*(S15/50)))))*W15*Archetypes!$C$20*Archetypes!$C$21)*Assumptions!$B$18)*(IF($D15=1,1,Assumptions!$B$7)))+((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$15)*(Archetypes!$C$13*IF(S15&lt;0,1-Assumptions!$B$33*MIN(1,ABS(S15)/ABS(Assumptions!$B$21)),1))*5)+(((Archetypes!$C$11*(IF(S15&lt;0,1+Assumptions!$B$32*MIN(1,ABS(S15)/ABS(Assumptions!$B$21)),MAX(0.1,1-Assumptions!$B$31*(S15/50)))))*W15*Archetypes!$C$15*Archetypes!$C$22)*(Archetypes!$C$13*IF(S15&lt;0,1-Assumptions!$B$33*MIN(1,ABS(S15)/ABS(Assumptions!$B$21)),1))*5*Assumptions!$B$18))*IF(S15&lt;0,Assumptions!$B$9,1)))*$E15</f>
        <v>4257.4942799999999</v>
      </c>
      <c r="AB15" s="18">
        <f>(AB14)+(AA15)-(MAX(0,((AB14)+(AA15)-(AC15)))*(IF(Archetypes!$C$27="",Assumptions!$B$11,Archetypes!$C$27)))</f>
        <v>12863.856060341986</v>
      </c>
      <c r="AC15" s="18">
        <f>Archetypes!$C$33</f>
        <v>90.34</v>
      </c>
      <c r="AD15" s="18">
        <f t="shared" si="5"/>
        <v>12773.516060341986</v>
      </c>
      <c r="AF15" s="18">
        <f t="shared" si="10"/>
        <v>82.69351476678834</v>
      </c>
      <c r="AG15" s="18">
        <f>MAX(Assumptions!$B$21,(AF15)+(AH15))</f>
        <v>84.41393076678834</v>
      </c>
      <c r="AH15" s="18">
        <f>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$15)*Assumptions!$B$22+((Archetypes!$D$11*(IF(AF15&lt;0,1+Assumptions!$B$32*MIN(1,ABS(AF15)/ABS(Assumptions!$B$21)),MAX(0.1,1-Assumptions!$B$31*(AF15/50)))))*AJ15*Archetypes!$D$15*Archetypes!$D$22)*Assumptions!$B$23+(Archetypes!$D$11*(IF(AF15&lt;0,1+Assumptions!$B$32*MIN(1,ABS(AF15)/ABS(Assumptions!$B$21)),MAX(0.1,1-Assumptions!$B$31*(AF15/50)))))*Assumptions!$B$24+-((Archetypes!$D$11*(IF(AF15&lt;0,1+Assumptions!$B$32*MIN(1,ABS(AF15)/ABS(Assumptions!$B$21)),MAX(0.1,1-Assumptions!$B$31*(AF15/50)))))*Archetypes!$D$16)*(Assumptions!$B$27*(1+Assumptions!$B$28*Archetypes!$D$14)/(1+Assumptions!$B$29*Archetypes!$D$12))+-(Archetypes!$D$11*(IF(AF15&lt;0,1+Assumptions!$B$32*MIN(1,ABS(AF15)/ABS(Assumptions!$B$21)),MAX(0.1,1-Assumptions!$B$31*(AF15/50)))))*Archetypes!$D$17*((Archetypes!$D$31)/100)*Assumptions!$B$30+-Assumptions!$B$25*Assumptions!$B$26)*$E15</f>
        <v>1.7204160000000006</v>
      </c>
      <c r="AI15" s="18">
        <f>(Archetypes!$D$11*(IF(AF15&lt;0,1+Assumptions!$B$32*MIN(1,ABS(AF15)/ABS(Assumptions!$B$21)),MAX(0.1,1-Assumptions!$B$31*(AF15/50)))))*$E15</f>
        <v>1.8000000000000003</v>
      </c>
      <c r="AJ15" s="19">
        <f>Archetypes!$D$30</f>
        <v>0.10400000000000001</v>
      </c>
      <c r="AK15" s="18">
        <f t="shared" si="6"/>
        <v>0.18720000000000003</v>
      </c>
      <c r="AL15" s="18">
        <f>((AI15-AK15)*Archetypes!$D$15)+(AK15*Archetypes!$D$15*Archetypes!$D$22)</f>
        <v>2.8123200000000006</v>
      </c>
      <c r="AM15" s="18">
        <f>AI15*Archetypes!$D$16</f>
        <v>0.3600000000000001</v>
      </c>
      <c r="AN15" s="18">
        <f>(IF(AF15&lt;0,Assumptions!$B$8,IF(AF15&lt;10,Assumptions!$B$34,IF(AF15&lt;25,Assumptions!$B$35,Assumptions!$B$36))))*((((Archetypes!$D$5*Assumptions!$B$4+Archetypes!$D$6*Assumptions!$B$5)*60))+(Assumptions!$B$6*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$20)+((Archetypes!$D$11*(IF(AF15&lt;0,1+Assumptions!$B$32*MIN(1,ABS(AF15)/ABS(Assumptions!$B$21)),MAX(0.1,1-Assumptions!$B$31*(AF15/50)))))*AJ15*Archetypes!$D$20*Archetypes!$D$21)*Assumptions!$B$18)*(IF($D15=1,1,Assumptions!$B$7)))+((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$15)*(Archetypes!$D$13*IF(AF15&lt;0,1-Assumptions!$B$33*MIN(1,ABS(AF15)/ABS(Assumptions!$B$21)),1))*5)+(((Archetypes!$D$11*(IF(AF15&lt;0,1+Assumptions!$B$32*MIN(1,ABS(AF15)/ABS(Assumptions!$B$21)),MAX(0.1,1-Assumptions!$B$31*(AF15/50)))))*AJ15*Archetypes!$D$15*Archetypes!$D$22)*(Archetypes!$D$13*IF(AF15&lt;0,1-Assumptions!$B$33*MIN(1,ABS(AF15)/ABS(Assumptions!$B$21)),1))*5*Assumptions!$B$18))*IF(AF15&lt;0,Assumptions!$B$9,1)))*$E15</f>
        <v>6861.8204999999998</v>
      </c>
      <c r="AO15" s="18">
        <f>(AO14)+(AN15)-(MAX(0,((AO14)+(AN15)-(AP15)))*(IF(Archetypes!$D$27="",Assumptions!$B$11,Archetypes!$D$27)))</f>
        <v>16490.678321202984</v>
      </c>
      <c r="AP15" s="18">
        <f>Archetypes!$D$33</f>
        <v>201.32916645159378</v>
      </c>
      <c r="AQ15" s="18">
        <f t="shared" si="7"/>
        <v>16289.34915475139</v>
      </c>
    </row>
    <row r="16" spans="1:52" x14ac:dyDescent="0.25">
      <c r="A16" s="14">
        <v>72</v>
      </c>
      <c r="B16" s="14">
        <f t="shared" si="0"/>
        <v>4</v>
      </c>
      <c r="C16" s="14">
        <f t="shared" si="1"/>
        <v>0</v>
      </c>
      <c r="D16" s="15">
        <f>IF(C16&lt;Assumptions!$B$10,1,0)</f>
        <v>1</v>
      </c>
      <c r="E16" s="15">
        <v>6</v>
      </c>
      <c r="F16" s="18">
        <f t="shared" si="8"/>
        <v>108.11509767128577</v>
      </c>
      <c r="G16" s="18">
        <f>MAX(Assumptions!$B$21,(F16)+(H16))</f>
        <v>111.82381767128577</v>
      </c>
      <c r="H16" s="18">
        <f>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$15)*Assumptions!$B$22+((Archetypes!$B$11*(IF(F16&lt;0,1+Assumptions!$B$32*MIN(1,ABS(F16)/ABS(Assumptions!$B$21)),MAX(0.1,1-Assumptions!$B$31*(F16/50)))))*J16*Archetypes!$B$15*Archetypes!$B$22)*Assumptions!$B$23+(Archetypes!$B$11*(IF(F16&lt;0,1+Assumptions!$B$32*MIN(1,ABS(F16)/ABS(Assumptions!$B$21)),MAX(0.1,1-Assumptions!$B$31*(F16/50)))))*Assumptions!$B$24+-((Archetypes!$B$11*(IF(F16&lt;0,1+Assumptions!$B$32*MIN(1,ABS(F16)/ABS(Assumptions!$B$21)),MAX(0.1,1-Assumptions!$B$31*(F16/50)))))*Archetypes!$B$16)*(Assumptions!$B$27*(1+Assumptions!$B$28*Archetypes!$B$14)/(1+Assumptions!$B$29*Archetypes!$B$12))+-(Archetypes!$B$11*(IF(F16&lt;0,1+Assumptions!$B$32*MIN(1,ABS(F16)/ABS(Assumptions!$B$21)),MAX(0.1,1-Assumptions!$B$31*(F16/50)))))*Archetypes!$B$17*((Archetypes!$B$31)/100)*Assumptions!$B$30+-Assumptions!$B$25*Assumptions!$B$26)*$E16</f>
        <v>3.70872</v>
      </c>
      <c r="I16" s="18">
        <f>(Archetypes!$B$11*(IF(F16&lt;0,1+Assumptions!$B$32*MIN(1,ABS(F16)/ABS(Assumptions!$B$21)),MAX(0.1,1-Assumptions!$B$31*(F16/50)))))*$E16</f>
        <v>6</v>
      </c>
      <c r="J16" s="19">
        <f>Archetypes!$B$30</f>
        <v>2.1999999999999999E-2</v>
      </c>
      <c r="K16" s="18">
        <f t="shared" si="2"/>
        <v>0.13200000000000001</v>
      </c>
      <c r="L16" s="18">
        <f>((I16-K16)*Archetypes!$B$15)+(K16*Archetypes!$B$15*Archetypes!$B$22)</f>
        <v>0.60264000000000006</v>
      </c>
      <c r="M16" s="18">
        <f>I16*Archetypes!$B$16</f>
        <v>4.5</v>
      </c>
      <c r="N16" s="18">
        <f>(IF(F16&lt;0,Assumptions!$B$8,IF(F16&lt;10,Assumptions!$B$34,IF(F16&lt;25,Assumptions!$B$35,Assumptions!$B$36))))*((((Archetypes!$B$5*Assumptions!$B$4+Archetypes!$B$6*Assumptions!$B$5)*60))+(Assumptions!$B$6*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$20)+((Archetypes!$B$11*(IF(F16&lt;0,1+Assumptions!$B$32*MIN(1,ABS(F16)/ABS(Assumptions!$B$21)),MAX(0.1,1-Assumptions!$B$31*(F16/50)))))*J16*Archetypes!$B$20*Archetypes!$B$21)*Assumptions!$B$18)*(IF($D16=1,1,Assumptions!$B$7)))+((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$15)*(Archetypes!$B$13*IF(F16&lt;0,1-Assumptions!$B$33*MIN(1,ABS(F16)/ABS(Assumptions!$B$21)),1))*5)+(((Archetypes!$B$11*(IF(F16&lt;0,1+Assumptions!$B$32*MIN(1,ABS(F16)/ABS(Assumptions!$B$21)),MAX(0.1,1-Assumptions!$B$31*(F16/50)))))*J16*Archetypes!$B$15*Archetypes!$B$22)*(Archetypes!$B$13*IF(F16&lt;0,1-Assumptions!$B$33*MIN(1,ABS(F16)/ABS(Assumptions!$B$21)),1))*5*Assumptions!$B$18))*IF(F16&lt;0,Assumptions!$B$9,1)))*$E16</f>
        <v>1178.4672</v>
      </c>
      <c r="O16" s="18">
        <f>(O15)+(N16)-(MAX(0,((O15)+(N16)-(P16)))*(IF(Archetypes!$B$27="",Assumptions!$B$11,Archetypes!$B$27)))</f>
        <v>4523.1307133864575</v>
      </c>
      <c r="P16" s="18">
        <f>Archetypes!$B$33</f>
        <v>25.423199999999998</v>
      </c>
      <c r="Q16" s="18">
        <f t="shared" si="3"/>
        <v>4497.7075133864573</v>
      </c>
      <c r="S16" s="18">
        <f t="shared" si="9"/>
        <v>92.778058858586107</v>
      </c>
      <c r="T16" s="18">
        <f>MAX(Assumptions!$B$21,(S16)+(U16))</f>
        <v>95.254396001443254</v>
      </c>
      <c r="U16" s="18">
        <f>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$15)*Assumptions!$B$22+((Archetypes!$C$11*(IF(S16&lt;0,1+Assumptions!$B$32*MIN(1,ABS(S16)/ABS(Assumptions!$B$21)),MAX(0.1,1-Assumptions!$B$31*(S16/50)))))*W16*Archetypes!$C$15*Archetypes!$C$22)*Assumptions!$B$23+(Archetypes!$C$11*(IF(S16&lt;0,1+Assumptions!$B$32*MIN(1,ABS(S16)/ABS(Assumptions!$B$21)),MAX(0.1,1-Assumptions!$B$31*(S16/50)))))*Assumptions!$B$24+-((Archetypes!$C$11*(IF(S16&lt;0,1+Assumptions!$B$32*MIN(1,ABS(S16)/ABS(Assumptions!$B$21)),MAX(0.1,1-Assumptions!$B$31*(S16/50)))))*Archetypes!$C$16)*(Assumptions!$B$27*(1+Assumptions!$B$28*Archetypes!$C$14)/(1+Assumptions!$B$29*Archetypes!$C$12))+-(Archetypes!$C$11*(IF(S16&lt;0,1+Assumptions!$B$32*MIN(1,ABS(S16)/ABS(Assumptions!$B$21)),MAX(0.1,1-Assumptions!$B$31*(S16/50)))))*Archetypes!$C$17*((Archetypes!$C$31)/100)*Assumptions!$B$30+-Assumptions!$B$25*Assumptions!$B$26)*$E16</f>
        <v>2.4763371428571439</v>
      </c>
      <c r="V16" s="18">
        <f>(Archetypes!$C$11*(IF(S16&lt;0,1+Assumptions!$B$32*MIN(1,ABS(S16)/ABS(Assumptions!$B$21)),MAX(0.1,1-Assumptions!$B$31*(S16/50)))))*$E16</f>
        <v>3.6000000000000005</v>
      </c>
      <c r="W16" s="19">
        <f>Archetypes!$C$30</f>
        <v>3.7999999999999999E-2</v>
      </c>
      <c r="X16" s="18">
        <f t="shared" si="4"/>
        <v>0.1368</v>
      </c>
      <c r="Y16" s="18">
        <f>((V16-X16)*Archetypes!$C$15)+(X16*Archetypes!$C$15*Archetypes!$C$22)</f>
        <v>1.8205200000000004</v>
      </c>
      <c r="Z16" s="18">
        <f>V16*Archetypes!$C$16</f>
        <v>1.6200000000000003</v>
      </c>
      <c r="AA16" s="18">
        <f>(IF(S16&lt;0,Assumptions!$B$8,IF(S16&lt;10,Assumptions!$B$34,IF(S16&lt;25,Assumptions!$B$35,Assumptions!$B$36))))*((((Archetypes!$C$5*Assumptions!$B$4+Archetypes!$C$6*Assumptions!$B$5)*60))+(Assumptions!$B$6*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$20)+((Archetypes!$C$11*(IF(S16&lt;0,1+Assumptions!$B$32*MIN(1,ABS(S16)/ABS(Assumptions!$B$21)),MAX(0.1,1-Assumptions!$B$31*(S16/50)))))*W16*Archetypes!$C$20*Archetypes!$C$21)*Assumptions!$B$18)*(IF($D16=1,1,Assumptions!$B$7)))+((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$15)*(Archetypes!$C$13*IF(S16&lt;0,1-Assumptions!$B$33*MIN(1,ABS(S16)/ABS(Assumptions!$B$21)),1))*5)+(((Archetypes!$C$11*(IF(S16&lt;0,1+Assumptions!$B$32*MIN(1,ABS(S16)/ABS(Assumptions!$B$21)),MAX(0.1,1-Assumptions!$B$31*(S16/50)))))*W16*Archetypes!$C$15*Archetypes!$C$22)*(Archetypes!$C$13*IF(S16&lt;0,1-Assumptions!$B$33*MIN(1,ABS(S16)/ABS(Assumptions!$B$21)),1))*5*Assumptions!$B$18))*IF(S16&lt;0,Assumptions!$B$9,1)))*$E16</f>
        <v>4462.9335000000001</v>
      </c>
      <c r="AB16" s="18">
        <f>(AB15)+(AA16)-(MAX(0,((AB15)+(AA16)-(AC16)))*(IF(Archetypes!$C$27="",Assumptions!$B$11,Archetypes!$C$27)))</f>
        <v>13017.677170256489</v>
      </c>
      <c r="AC16" s="18">
        <f>Archetypes!$C$33</f>
        <v>90.34</v>
      </c>
      <c r="AD16" s="18">
        <f t="shared" si="5"/>
        <v>12927.337170256489</v>
      </c>
      <c r="AF16" s="18">
        <f t="shared" si="10"/>
        <v>84.41393076678834</v>
      </c>
      <c r="AG16" s="18">
        <f>MAX(Assumptions!$B$21,(AF16)+(AH16))</f>
        <v>86.13434676678834</v>
      </c>
      <c r="AH16" s="18">
        <f>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$15)*Assumptions!$B$22+((Archetypes!$D$11*(IF(AF16&lt;0,1+Assumptions!$B$32*MIN(1,ABS(AF16)/ABS(Assumptions!$B$21)),MAX(0.1,1-Assumptions!$B$31*(AF16/50)))))*AJ16*Archetypes!$D$15*Archetypes!$D$22)*Assumptions!$B$23+(Archetypes!$D$11*(IF(AF16&lt;0,1+Assumptions!$B$32*MIN(1,ABS(AF16)/ABS(Assumptions!$B$21)),MAX(0.1,1-Assumptions!$B$31*(AF16/50)))))*Assumptions!$B$24+-((Archetypes!$D$11*(IF(AF16&lt;0,1+Assumptions!$B$32*MIN(1,ABS(AF16)/ABS(Assumptions!$B$21)),MAX(0.1,1-Assumptions!$B$31*(AF16/50)))))*Archetypes!$D$16)*(Assumptions!$B$27*(1+Assumptions!$B$28*Archetypes!$D$14)/(1+Assumptions!$B$29*Archetypes!$D$12))+-(Archetypes!$D$11*(IF(AF16&lt;0,1+Assumptions!$B$32*MIN(1,ABS(AF16)/ABS(Assumptions!$B$21)),MAX(0.1,1-Assumptions!$B$31*(AF16/50)))))*Archetypes!$D$17*((Archetypes!$D$31)/100)*Assumptions!$B$30+-Assumptions!$B$25*Assumptions!$B$26)*$E16</f>
        <v>1.7204160000000006</v>
      </c>
      <c r="AI16" s="18">
        <f>(Archetypes!$D$11*(IF(AF16&lt;0,1+Assumptions!$B$32*MIN(1,ABS(AF16)/ABS(Assumptions!$B$21)),MAX(0.1,1-Assumptions!$B$31*(AF16/50)))))*$E16</f>
        <v>1.8000000000000003</v>
      </c>
      <c r="AJ16" s="19">
        <f>Archetypes!$D$30</f>
        <v>0.10400000000000001</v>
      </c>
      <c r="AK16" s="18">
        <f t="shared" si="6"/>
        <v>0.18720000000000003</v>
      </c>
      <c r="AL16" s="18">
        <f>((AI16-AK16)*Archetypes!$D$15)+(AK16*Archetypes!$D$15*Archetypes!$D$22)</f>
        <v>2.8123200000000006</v>
      </c>
      <c r="AM16" s="18">
        <f>AI16*Archetypes!$D$16</f>
        <v>0.3600000000000001</v>
      </c>
      <c r="AN16" s="18">
        <f>(IF(AF16&lt;0,Assumptions!$B$8,IF(AF16&lt;10,Assumptions!$B$34,IF(AF16&lt;25,Assumptions!$B$35,Assumptions!$B$36))))*((((Archetypes!$D$5*Assumptions!$B$4+Archetypes!$D$6*Assumptions!$B$5)*60))+(Assumptions!$B$6*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$20)+((Archetypes!$D$11*(IF(AF16&lt;0,1+Assumptions!$B$32*MIN(1,ABS(AF16)/ABS(Assumptions!$B$21)),MAX(0.1,1-Assumptions!$B$31*(AF16/50)))))*AJ16*Archetypes!$D$20*Archetypes!$D$21)*Assumptions!$B$18)*(IF($D16=1,1,Assumptions!$B$7)))+((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$15)*(Archetypes!$D$13*IF(AF16&lt;0,1-Assumptions!$B$33*MIN(1,ABS(AF16)/ABS(Assumptions!$B$21)),1))*5)+(((Archetypes!$D$11*(IF(AF16&lt;0,1+Assumptions!$B$32*MIN(1,ABS(AF16)/ABS(Assumptions!$B$21)),MAX(0.1,1-Assumptions!$B$31*(AF16/50)))))*AJ16*Archetypes!$D$15*Archetypes!$D$22)*(Archetypes!$D$13*IF(AF16&lt;0,1-Assumptions!$B$33*MIN(1,ABS(AF16)/ABS(Assumptions!$B$21)),1))*5*Assumptions!$B$18))*IF(AF16&lt;0,Assumptions!$B$9,1)))*$E16</f>
        <v>7432.1279999999988</v>
      </c>
      <c r="AO16" s="18">
        <f>(AO15)+(AN16)-(MAX(0,((AO15)+(AN16)-(AP16)))*(IF(Archetypes!$D$27="",Assumptions!$B$11,Archetypes!$D$27)))</f>
        <v>16806.363174777565</v>
      </c>
      <c r="AP16" s="18">
        <f>Archetypes!$D$33</f>
        <v>201.32916645159378</v>
      </c>
      <c r="AQ16" s="18">
        <f t="shared" si="7"/>
        <v>16605.034008325973</v>
      </c>
    </row>
    <row r="17" spans="1:43" x14ac:dyDescent="0.25">
      <c r="A17" s="14">
        <v>78</v>
      </c>
      <c r="B17" s="14">
        <f t="shared" si="0"/>
        <v>4</v>
      </c>
      <c r="C17" s="14">
        <f t="shared" si="1"/>
        <v>6</v>
      </c>
      <c r="D17" s="15">
        <f>IF(C17&lt;Assumptions!$B$10,1,0)</f>
        <v>0</v>
      </c>
      <c r="E17" s="15">
        <v>6</v>
      </c>
      <c r="F17" s="18">
        <f t="shared" si="8"/>
        <v>111.82381767128577</v>
      </c>
      <c r="G17" s="18">
        <f>MAX(Assumptions!$B$21,(F17)+(H17))</f>
        <v>115.53253767128577</v>
      </c>
      <c r="H17" s="18">
        <f>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$15)*Assumptions!$B$22+((Archetypes!$B$11*(IF(F17&lt;0,1+Assumptions!$B$32*MIN(1,ABS(F17)/ABS(Assumptions!$B$21)),MAX(0.1,1-Assumptions!$B$31*(F17/50)))))*J17*Archetypes!$B$15*Archetypes!$B$22)*Assumptions!$B$23+(Archetypes!$B$11*(IF(F17&lt;0,1+Assumptions!$B$32*MIN(1,ABS(F17)/ABS(Assumptions!$B$21)),MAX(0.1,1-Assumptions!$B$31*(F17/50)))))*Assumptions!$B$24+-((Archetypes!$B$11*(IF(F17&lt;0,1+Assumptions!$B$32*MIN(1,ABS(F17)/ABS(Assumptions!$B$21)),MAX(0.1,1-Assumptions!$B$31*(F17/50)))))*Archetypes!$B$16)*(Assumptions!$B$27*(1+Assumptions!$B$28*Archetypes!$B$14)/(1+Assumptions!$B$29*Archetypes!$B$12))+-(Archetypes!$B$11*(IF(F17&lt;0,1+Assumptions!$B$32*MIN(1,ABS(F17)/ABS(Assumptions!$B$21)),MAX(0.1,1-Assumptions!$B$31*(F17/50)))))*Archetypes!$B$17*((Archetypes!$B$31)/100)*Assumptions!$B$30+-Assumptions!$B$25*Assumptions!$B$26)*$E17</f>
        <v>3.70872</v>
      </c>
      <c r="I17" s="18">
        <f>(Archetypes!$B$11*(IF(F17&lt;0,1+Assumptions!$B$32*MIN(1,ABS(F17)/ABS(Assumptions!$B$21)),MAX(0.1,1-Assumptions!$B$31*(F17/50)))))*$E17</f>
        <v>6</v>
      </c>
      <c r="J17" s="19">
        <f>Archetypes!$B$30</f>
        <v>2.1999999999999999E-2</v>
      </c>
      <c r="K17" s="18">
        <f t="shared" si="2"/>
        <v>0.13200000000000001</v>
      </c>
      <c r="L17" s="18">
        <f>((I17-K17)*Archetypes!$B$15)+(K17*Archetypes!$B$15*Archetypes!$B$22)</f>
        <v>0.60264000000000006</v>
      </c>
      <c r="M17" s="18">
        <f>I17*Archetypes!$B$16</f>
        <v>4.5</v>
      </c>
      <c r="N17" s="18">
        <f>(IF(F17&lt;0,Assumptions!$B$8,IF(F17&lt;10,Assumptions!$B$34,IF(F17&lt;25,Assumptions!$B$35,Assumptions!$B$36))))*((((Archetypes!$B$5*Assumptions!$B$4+Archetypes!$B$6*Assumptions!$B$5)*60))+(Assumptions!$B$6*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$20)+((Archetypes!$B$11*(IF(F17&lt;0,1+Assumptions!$B$32*MIN(1,ABS(F17)/ABS(Assumptions!$B$21)),MAX(0.1,1-Assumptions!$B$31*(F17/50)))))*J17*Archetypes!$B$20*Archetypes!$B$21)*Assumptions!$B$18)*(IF($D17=1,1,Assumptions!$B$7)))+((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$15)*(Archetypes!$B$13*IF(F17&lt;0,1-Assumptions!$B$33*MIN(1,ABS(F17)/ABS(Assumptions!$B$21)),1))*5)+(((Archetypes!$B$11*(IF(F17&lt;0,1+Assumptions!$B$32*MIN(1,ABS(F17)/ABS(Assumptions!$B$21)),MAX(0.1,1-Assumptions!$B$31*(F17/50)))))*J17*Archetypes!$B$15*Archetypes!$B$22)*(Archetypes!$B$13*IF(F17&lt;0,1-Assumptions!$B$33*MIN(1,ABS(F17)/ABS(Assumptions!$B$21)),1))*5*Assumptions!$B$18))*IF(F17&lt;0,Assumptions!$B$9,1)))*$E17</f>
        <v>1103.7113999999999</v>
      </c>
      <c r="O17" s="18">
        <f>(O16)+(N17)-(MAX(0,((O16)+(N17)-(P17)))*(IF(Archetypes!$B$27="",Assumptions!$B$11,Archetypes!$B$27)))</f>
        <v>4506.5583307091656</v>
      </c>
      <c r="P17" s="18">
        <f>Archetypes!$B$33</f>
        <v>25.423199999999998</v>
      </c>
      <c r="Q17" s="18">
        <f t="shared" si="3"/>
        <v>4481.1351307091654</v>
      </c>
      <c r="S17" s="18">
        <f t="shared" si="9"/>
        <v>95.254396001443254</v>
      </c>
      <c r="T17" s="18">
        <f>MAX(Assumptions!$B$21,(S17)+(U17))</f>
        <v>97.730733144300402</v>
      </c>
      <c r="U17" s="18">
        <f>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$15)*Assumptions!$B$22+((Archetypes!$C$11*(IF(S17&lt;0,1+Assumptions!$B$32*MIN(1,ABS(S17)/ABS(Assumptions!$B$21)),MAX(0.1,1-Assumptions!$B$31*(S17/50)))))*W17*Archetypes!$C$15*Archetypes!$C$22)*Assumptions!$B$23+(Archetypes!$C$11*(IF(S17&lt;0,1+Assumptions!$B$32*MIN(1,ABS(S17)/ABS(Assumptions!$B$21)),MAX(0.1,1-Assumptions!$B$31*(S17/50)))))*Assumptions!$B$24+-((Archetypes!$C$11*(IF(S17&lt;0,1+Assumptions!$B$32*MIN(1,ABS(S17)/ABS(Assumptions!$B$21)),MAX(0.1,1-Assumptions!$B$31*(S17/50)))))*Archetypes!$C$16)*(Assumptions!$B$27*(1+Assumptions!$B$28*Archetypes!$C$14)/(1+Assumptions!$B$29*Archetypes!$C$12))+-(Archetypes!$C$11*(IF(S17&lt;0,1+Assumptions!$B$32*MIN(1,ABS(S17)/ABS(Assumptions!$B$21)),MAX(0.1,1-Assumptions!$B$31*(S17/50)))))*Archetypes!$C$17*((Archetypes!$C$31)/100)*Assumptions!$B$30+-Assumptions!$B$25*Assumptions!$B$26)*$E17</f>
        <v>2.4763371428571439</v>
      </c>
      <c r="V17" s="18">
        <f>(Archetypes!$C$11*(IF(S17&lt;0,1+Assumptions!$B$32*MIN(1,ABS(S17)/ABS(Assumptions!$B$21)),MAX(0.1,1-Assumptions!$B$31*(S17/50)))))*$E17</f>
        <v>3.6000000000000005</v>
      </c>
      <c r="W17" s="19">
        <f>Archetypes!$C$30</f>
        <v>3.7999999999999999E-2</v>
      </c>
      <c r="X17" s="18">
        <f t="shared" si="4"/>
        <v>0.1368</v>
      </c>
      <c r="Y17" s="18">
        <f>((V17-X17)*Archetypes!$C$15)+(X17*Archetypes!$C$15*Archetypes!$C$22)</f>
        <v>1.8205200000000004</v>
      </c>
      <c r="Z17" s="18">
        <f>V17*Archetypes!$C$16</f>
        <v>1.6200000000000003</v>
      </c>
      <c r="AA17" s="18">
        <f>(IF(S17&lt;0,Assumptions!$B$8,IF(S17&lt;10,Assumptions!$B$34,IF(S17&lt;25,Assumptions!$B$35,Assumptions!$B$36))))*((((Archetypes!$C$5*Assumptions!$B$4+Archetypes!$C$6*Assumptions!$B$5)*60))+(Assumptions!$B$6*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$20)+((Archetypes!$C$11*(IF(S17&lt;0,1+Assumptions!$B$32*MIN(1,ABS(S17)/ABS(Assumptions!$B$21)),MAX(0.1,1-Assumptions!$B$31*(S17/50)))))*W17*Archetypes!$C$20*Archetypes!$C$21)*Assumptions!$B$18)*(IF($D17=1,1,Assumptions!$B$7)))+((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$15)*(Archetypes!$C$13*IF(S17&lt;0,1-Assumptions!$B$33*MIN(1,ABS(S17)/ABS(Assumptions!$B$21)),1))*5)+(((Archetypes!$C$11*(IF(S17&lt;0,1+Assumptions!$B$32*MIN(1,ABS(S17)/ABS(Assumptions!$B$21)),MAX(0.1,1-Assumptions!$B$31*(S17/50)))))*W17*Archetypes!$C$15*Archetypes!$C$22)*(Archetypes!$C$13*IF(S17&lt;0,1-Assumptions!$B$33*MIN(1,ABS(S17)/ABS(Assumptions!$B$21)),1))*5*Assumptions!$B$18))*IF(S17&lt;0,Assumptions!$B$9,1)))*$E17</f>
        <v>4257.4942799999999</v>
      </c>
      <c r="AB17" s="18">
        <f>(AB16)+(AA17)-(MAX(0,((AB16)+(AA17)-(AC17)))*(IF(Archetypes!$C$27="",Assumptions!$B$11,Archetypes!$C$27)))</f>
        <v>12978.963587692368</v>
      </c>
      <c r="AC17" s="18">
        <f>Archetypes!$C$33</f>
        <v>90.34</v>
      </c>
      <c r="AD17" s="18">
        <f t="shared" si="5"/>
        <v>12888.623587692367</v>
      </c>
      <c r="AF17" s="18">
        <f t="shared" si="10"/>
        <v>86.13434676678834</v>
      </c>
      <c r="AG17" s="18">
        <f>MAX(Assumptions!$B$21,(AF17)+(AH17))</f>
        <v>87.85476276678834</v>
      </c>
      <c r="AH17" s="18">
        <f>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$15)*Assumptions!$B$22+((Archetypes!$D$11*(IF(AF17&lt;0,1+Assumptions!$B$32*MIN(1,ABS(AF17)/ABS(Assumptions!$B$21)),MAX(0.1,1-Assumptions!$B$31*(AF17/50)))))*AJ17*Archetypes!$D$15*Archetypes!$D$22)*Assumptions!$B$23+(Archetypes!$D$11*(IF(AF17&lt;0,1+Assumptions!$B$32*MIN(1,ABS(AF17)/ABS(Assumptions!$B$21)),MAX(0.1,1-Assumptions!$B$31*(AF17/50)))))*Assumptions!$B$24+-((Archetypes!$D$11*(IF(AF17&lt;0,1+Assumptions!$B$32*MIN(1,ABS(AF17)/ABS(Assumptions!$B$21)),MAX(0.1,1-Assumptions!$B$31*(AF17/50)))))*Archetypes!$D$16)*(Assumptions!$B$27*(1+Assumptions!$B$28*Archetypes!$D$14)/(1+Assumptions!$B$29*Archetypes!$D$12))+-(Archetypes!$D$11*(IF(AF17&lt;0,1+Assumptions!$B$32*MIN(1,ABS(AF17)/ABS(Assumptions!$B$21)),MAX(0.1,1-Assumptions!$B$31*(AF17/50)))))*Archetypes!$D$17*((Archetypes!$D$31)/100)*Assumptions!$B$30+-Assumptions!$B$25*Assumptions!$B$26)*$E17</f>
        <v>1.7204160000000006</v>
      </c>
      <c r="AI17" s="18">
        <f>(Archetypes!$D$11*(IF(AF17&lt;0,1+Assumptions!$B$32*MIN(1,ABS(AF17)/ABS(Assumptions!$B$21)),MAX(0.1,1-Assumptions!$B$31*(AF17/50)))))*$E17</f>
        <v>1.8000000000000003</v>
      </c>
      <c r="AJ17" s="19">
        <f>Archetypes!$D$30</f>
        <v>0.10400000000000001</v>
      </c>
      <c r="AK17" s="18">
        <f t="shared" si="6"/>
        <v>0.18720000000000003</v>
      </c>
      <c r="AL17" s="18">
        <f>((AI17-AK17)*Archetypes!$D$15)+(AK17*Archetypes!$D$15*Archetypes!$D$22)</f>
        <v>2.8123200000000006</v>
      </c>
      <c r="AM17" s="18">
        <f>AI17*Archetypes!$D$16</f>
        <v>0.3600000000000001</v>
      </c>
      <c r="AN17" s="18">
        <f>(IF(AF17&lt;0,Assumptions!$B$8,IF(AF17&lt;10,Assumptions!$B$34,IF(AF17&lt;25,Assumptions!$B$35,Assumptions!$B$36))))*((((Archetypes!$D$5*Assumptions!$B$4+Archetypes!$D$6*Assumptions!$B$5)*60))+(Assumptions!$B$6*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$20)+((Archetypes!$D$11*(IF(AF17&lt;0,1+Assumptions!$B$32*MIN(1,ABS(AF17)/ABS(Assumptions!$B$21)),MAX(0.1,1-Assumptions!$B$31*(AF17/50)))))*AJ17*Archetypes!$D$20*Archetypes!$D$21)*Assumptions!$B$18)*(IF($D17=1,1,Assumptions!$B$7)))+((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$15)*(Archetypes!$D$13*IF(AF17&lt;0,1-Assumptions!$B$33*MIN(1,ABS(AF17)/ABS(Assumptions!$B$21)),1))*5)+(((Archetypes!$D$11*(IF(AF17&lt;0,1+Assumptions!$B$32*MIN(1,ABS(AF17)/ABS(Assumptions!$B$21)),MAX(0.1,1-Assumptions!$B$31*(AF17/50)))))*AJ17*Archetypes!$D$15*Archetypes!$D$22)*(Archetypes!$D$13*IF(AF17&lt;0,1-Assumptions!$B$33*MIN(1,ABS(AF17)/ABS(Assumptions!$B$21)),1))*5*Assumptions!$B$18))*IF(AF17&lt;0,Assumptions!$B$9,1)))*$E17</f>
        <v>6861.8204999999998</v>
      </c>
      <c r="AO17" s="18">
        <f>(AO16)+(AN17)-(MAX(0,((AO16)+(AN17)-(AP17)))*(IF(Archetypes!$D$27="",Assumptions!$B$11,Archetypes!$D$27)))</f>
        <v>16628.127322279775</v>
      </c>
      <c r="AP17" s="18">
        <f>Archetypes!$D$33</f>
        <v>201.32916645159378</v>
      </c>
      <c r="AQ17" s="18">
        <f t="shared" si="7"/>
        <v>16426.798155828183</v>
      </c>
    </row>
    <row r="18" spans="1:43" x14ac:dyDescent="0.25">
      <c r="A18" s="14">
        <v>84</v>
      </c>
      <c r="B18" s="14">
        <f t="shared" si="0"/>
        <v>4</v>
      </c>
      <c r="C18" s="14">
        <f t="shared" si="1"/>
        <v>12</v>
      </c>
      <c r="D18" s="15">
        <f>IF(C18&lt;Assumptions!$B$10,1,0)</f>
        <v>0</v>
      </c>
      <c r="E18" s="15">
        <v>6</v>
      </c>
      <c r="F18" s="18">
        <f t="shared" si="8"/>
        <v>115.53253767128577</v>
      </c>
      <c r="G18" s="18">
        <f>MAX(Assumptions!$B$21,(F18)+(H18))</f>
        <v>119.24125767128577</v>
      </c>
      <c r="H18" s="18">
        <f>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$15)*Assumptions!$B$22+((Archetypes!$B$11*(IF(F18&lt;0,1+Assumptions!$B$32*MIN(1,ABS(F18)/ABS(Assumptions!$B$21)),MAX(0.1,1-Assumptions!$B$31*(F18/50)))))*J18*Archetypes!$B$15*Archetypes!$B$22)*Assumptions!$B$23+(Archetypes!$B$11*(IF(F18&lt;0,1+Assumptions!$B$32*MIN(1,ABS(F18)/ABS(Assumptions!$B$21)),MAX(0.1,1-Assumptions!$B$31*(F18/50)))))*Assumptions!$B$24+-((Archetypes!$B$11*(IF(F18&lt;0,1+Assumptions!$B$32*MIN(1,ABS(F18)/ABS(Assumptions!$B$21)),MAX(0.1,1-Assumptions!$B$31*(F18/50)))))*Archetypes!$B$16)*(Assumptions!$B$27*(1+Assumptions!$B$28*Archetypes!$B$14)/(1+Assumptions!$B$29*Archetypes!$B$12))+-(Archetypes!$B$11*(IF(F18&lt;0,1+Assumptions!$B$32*MIN(1,ABS(F18)/ABS(Assumptions!$B$21)),MAX(0.1,1-Assumptions!$B$31*(F18/50)))))*Archetypes!$B$17*((Archetypes!$B$31)/100)*Assumptions!$B$30+-Assumptions!$B$25*Assumptions!$B$26)*$E18</f>
        <v>3.70872</v>
      </c>
      <c r="I18" s="18">
        <f>(Archetypes!$B$11*(IF(F18&lt;0,1+Assumptions!$B$32*MIN(1,ABS(F18)/ABS(Assumptions!$B$21)),MAX(0.1,1-Assumptions!$B$31*(F18/50)))))*$E18</f>
        <v>6</v>
      </c>
      <c r="J18" s="19">
        <f>Archetypes!$B$30</f>
        <v>2.1999999999999999E-2</v>
      </c>
      <c r="K18" s="18">
        <f t="shared" si="2"/>
        <v>0.13200000000000001</v>
      </c>
      <c r="L18" s="18">
        <f>((I18-K18)*Archetypes!$B$15)+(K18*Archetypes!$B$15*Archetypes!$B$22)</f>
        <v>0.60264000000000006</v>
      </c>
      <c r="M18" s="18">
        <f>I18*Archetypes!$B$16</f>
        <v>4.5</v>
      </c>
      <c r="N18" s="18">
        <f>(IF(F18&lt;0,Assumptions!$B$8,IF(F18&lt;10,Assumptions!$B$34,IF(F18&lt;25,Assumptions!$B$35,Assumptions!$B$36))))*((((Archetypes!$B$5*Assumptions!$B$4+Archetypes!$B$6*Assumptions!$B$5)*60))+(Assumptions!$B$6*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$20)+((Archetypes!$B$11*(IF(F18&lt;0,1+Assumptions!$B$32*MIN(1,ABS(F18)/ABS(Assumptions!$B$21)),MAX(0.1,1-Assumptions!$B$31*(F18/50)))))*J18*Archetypes!$B$20*Archetypes!$B$21)*Assumptions!$B$18)*(IF($D18=1,1,Assumptions!$B$7)))+((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$15)*(Archetypes!$B$13*IF(F18&lt;0,1-Assumptions!$B$33*MIN(1,ABS(F18)/ABS(Assumptions!$B$21)),1))*5)+(((Archetypes!$B$11*(IF(F18&lt;0,1+Assumptions!$B$32*MIN(1,ABS(F18)/ABS(Assumptions!$B$21)),MAX(0.1,1-Assumptions!$B$31*(F18/50)))))*J18*Archetypes!$B$15*Archetypes!$B$22)*(Archetypes!$B$13*IF(F18&lt;0,1-Assumptions!$B$33*MIN(1,ABS(F18)/ABS(Assumptions!$B$21)),1))*5*Assumptions!$B$18))*IF(F18&lt;0,Assumptions!$B$9,1)))*$E18</f>
        <v>1103.7113999999999</v>
      </c>
      <c r="O18" s="18">
        <f>(O17)+(N18)-(MAX(0,((O17)+(N18)-(P18)))*(IF(Archetypes!$B$27="",Assumptions!$B$11,Archetypes!$B$27)))</f>
        <v>4493.3004245673328</v>
      </c>
      <c r="P18" s="18">
        <f>Archetypes!$B$33</f>
        <v>25.423199999999998</v>
      </c>
      <c r="Q18" s="18">
        <f t="shared" si="3"/>
        <v>4467.8772245673326</v>
      </c>
      <c r="S18" s="18">
        <f t="shared" si="9"/>
        <v>97.730733144300402</v>
      </c>
      <c r="T18" s="18">
        <f>MAX(Assumptions!$B$21,(S18)+(U18))</f>
        <v>100.20707028715755</v>
      </c>
      <c r="U18" s="18">
        <f>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$15)*Assumptions!$B$22+((Archetypes!$C$11*(IF(S18&lt;0,1+Assumptions!$B$32*MIN(1,ABS(S18)/ABS(Assumptions!$B$21)),MAX(0.1,1-Assumptions!$B$31*(S18/50)))))*W18*Archetypes!$C$15*Archetypes!$C$22)*Assumptions!$B$23+(Archetypes!$C$11*(IF(S18&lt;0,1+Assumptions!$B$32*MIN(1,ABS(S18)/ABS(Assumptions!$B$21)),MAX(0.1,1-Assumptions!$B$31*(S18/50)))))*Assumptions!$B$24+-((Archetypes!$C$11*(IF(S18&lt;0,1+Assumptions!$B$32*MIN(1,ABS(S18)/ABS(Assumptions!$B$21)),MAX(0.1,1-Assumptions!$B$31*(S18/50)))))*Archetypes!$C$16)*(Assumptions!$B$27*(1+Assumptions!$B$28*Archetypes!$C$14)/(1+Assumptions!$B$29*Archetypes!$C$12))+-(Archetypes!$C$11*(IF(S18&lt;0,1+Assumptions!$B$32*MIN(1,ABS(S18)/ABS(Assumptions!$B$21)),MAX(0.1,1-Assumptions!$B$31*(S18/50)))))*Archetypes!$C$17*((Archetypes!$C$31)/100)*Assumptions!$B$30+-Assumptions!$B$25*Assumptions!$B$26)*$E18</f>
        <v>2.4763371428571439</v>
      </c>
      <c r="V18" s="18">
        <f>(Archetypes!$C$11*(IF(S18&lt;0,1+Assumptions!$B$32*MIN(1,ABS(S18)/ABS(Assumptions!$B$21)),MAX(0.1,1-Assumptions!$B$31*(S18/50)))))*$E18</f>
        <v>3.6000000000000005</v>
      </c>
      <c r="W18" s="19">
        <f>Archetypes!$C$30</f>
        <v>3.7999999999999999E-2</v>
      </c>
      <c r="X18" s="18">
        <f t="shared" si="4"/>
        <v>0.1368</v>
      </c>
      <c r="Y18" s="18">
        <f>((V18-X18)*Archetypes!$C$15)+(X18*Archetypes!$C$15*Archetypes!$C$22)</f>
        <v>1.8205200000000004</v>
      </c>
      <c r="Z18" s="18">
        <f>V18*Archetypes!$C$16</f>
        <v>1.6200000000000003</v>
      </c>
      <c r="AA18" s="18">
        <f>(IF(S18&lt;0,Assumptions!$B$8,IF(S18&lt;10,Assumptions!$B$34,IF(S18&lt;25,Assumptions!$B$35,Assumptions!$B$36))))*((((Archetypes!$C$5*Assumptions!$B$4+Archetypes!$C$6*Assumptions!$B$5)*60))+(Assumptions!$B$6*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$20)+((Archetypes!$C$11*(IF(S18&lt;0,1+Assumptions!$B$32*MIN(1,ABS(S18)/ABS(Assumptions!$B$21)),MAX(0.1,1-Assumptions!$B$31*(S18/50)))))*W18*Archetypes!$C$20*Archetypes!$C$21)*Assumptions!$B$18)*(IF($D18=1,1,Assumptions!$B$7)))+((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$15)*(Archetypes!$C$13*IF(S18&lt;0,1-Assumptions!$B$33*MIN(1,ABS(S18)/ABS(Assumptions!$B$21)),1))*5)+(((Archetypes!$C$11*(IF(S18&lt;0,1+Assumptions!$B$32*MIN(1,ABS(S18)/ABS(Assumptions!$B$21)),MAX(0.1,1-Assumptions!$B$31*(S18/50)))))*W18*Archetypes!$C$15*Archetypes!$C$22)*(Archetypes!$C$13*IF(S18&lt;0,1-Assumptions!$B$33*MIN(1,ABS(S18)/ABS(Assumptions!$B$21)),1))*5*Assumptions!$B$18))*IF(S18&lt;0,Assumptions!$B$9,1)))*$E18</f>
        <v>4257.4942799999999</v>
      </c>
      <c r="AB18" s="18">
        <f>(AB17)+(AA18)-(MAX(0,((AB17)+(AA18)-(AC18)))*(IF(Archetypes!$C$27="",Assumptions!$B$11,Archetypes!$C$27)))</f>
        <v>12949.928400769275</v>
      </c>
      <c r="AC18" s="18">
        <f>Archetypes!$C$33</f>
        <v>90.34</v>
      </c>
      <c r="AD18" s="18">
        <f t="shared" si="5"/>
        <v>12859.588400769275</v>
      </c>
      <c r="AF18" s="18">
        <f t="shared" si="10"/>
        <v>87.85476276678834</v>
      </c>
      <c r="AG18" s="18">
        <f>MAX(Assumptions!$B$21,(AF18)+(AH18))</f>
        <v>89.575178766788341</v>
      </c>
      <c r="AH18" s="18">
        <f>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$15)*Assumptions!$B$22+((Archetypes!$D$11*(IF(AF18&lt;0,1+Assumptions!$B$32*MIN(1,ABS(AF18)/ABS(Assumptions!$B$21)),MAX(0.1,1-Assumptions!$B$31*(AF18/50)))))*AJ18*Archetypes!$D$15*Archetypes!$D$22)*Assumptions!$B$23+(Archetypes!$D$11*(IF(AF18&lt;0,1+Assumptions!$B$32*MIN(1,ABS(AF18)/ABS(Assumptions!$B$21)),MAX(0.1,1-Assumptions!$B$31*(AF18/50)))))*Assumptions!$B$24+-((Archetypes!$D$11*(IF(AF18&lt;0,1+Assumptions!$B$32*MIN(1,ABS(AF18)/ABS(Assumptions!$B$21)),MAX(0.1,1-Assumptions!$B$31*(AF18/50)))))*Archetypes!$D$16)*(Assumptions!$B$27*(1+Assumptions!$B$28*Archetypes!$D$14)/(1+Assumptions!$B$29*Archetypes!$D$12))+-(Archetypes!$D$11*(IF(AF18&lt;0,1+Assumptions!$B$32*MIN(1,ABS(AF18)/ABS(Assumptions!$B$21)),MAX(0.1,1-Assumptions!$B$31*(AF18/50)))))*Archetypes!$D$17*((Archetypes!$D$31)/100)*Assumptions!$B$30+-Assumptions!$B$25*Assumptions!$B$26)*$E18</f>
        <v>1.7204160000000006</v>
      </c>
      <c r="AI18" s="18">
        <f>(Archetypes!$D$11*(IF(AF18&lt;0,1+Assumptions!$B$32*MIN(1,ABS(AF18)/ABS(Assumptions!$B$21)),MAX(0.1,1-Assumptions!$B$31*(AF18/50)))))*$E18</f>
        <v>1.8000000000000003</v>
      </c>
      <c r="AJ18" s="19">
        <f>Archetypes!$D$30</f>
        <v>0.10400000000000001</v>
      </c>
      <c r="AK18" s="18">
        <f t="shared" si="6"/>
        <v>0.18720000000000003</v>
      </c>
      <c r="AL18" s="18">
        <f>((AI18-AK18)*Archetypes!$D$15)+(AK18*Archetypes!$D$15*Archetypes!$D$22)</f>
        <v>2.8123200000000006</v>
      </c>
      <c r="AM18" s="18">
        <f>AI18*Archetypes!$D$16</f>
        <v>0.3600000000000001</v>
      </c>
      <c r="AN18" s="18">
        <f>(IF(AF18&lt;0,Assumptions!$B$8,IF(AF18&lt;10,Assumptions!$B$34,IF(AF18&lt;25,Assumptions!$B$35,Assumptions!$B$36))))*((((Archetypes!$D$5*Assumptions!$B$4+Archetypes!$D$6*Assumptions!$B$5)*60))+(Assumptions!$B$6*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$20)+((Archetypes!$D$11*(IF(AF18&lt;0,1+Assumptions!$B$32*MIN(1,ABS(AF18)/ABS(Assumptions!$B$21)),MAX(0.1,1-Assumptions!$B$31*(AF18/50)))))*AJ18*Archetypes!$D$20*Archetypes!$D$21)*Assumptions!$B$18)*(IF($D18=1,1,Assumptions!$B$7)))+((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$15)*(Archetypes!$D$13*IF(AF18&lt;0,1-Assumptions!$B$33*MIN(1,ABS(AF18)/ABS(Assumptions!$B$21)),1))*5)+(((Archetypes!$D$11*(IF(AF18&lt;0,1+Assumptions!$B$32*MIN(1,ABS(AF18)/ABS(Assumptions!$B$21)),MAX(0.1,1-Assumptions!$B$31*(AF18/50)))))*AJ18*Archetypes!$D$15*Archetypes!$D$22)*(Archetypes!$D$13*IF(AF18&lt;0,1-Assumptions!$B$33*MIN(1,ABS(AF18)/ABS(Assumptions!$B$21)),1))*5*Assumptions!$B$18))*IF(AF18&lt;0,Assumptions!$B$9,1)))*$E18</f>
        <v>6861.8204999999998</v>
      </c>
      <c r="AO18" s="18">
        <f>(AO17)+(AN18)-(MAX(0,((AO17)+(AN18)-(AP18)))*(IF(Archetypes!$D$27="",Assumptions!$B$11,Archetypes!$D$27)))</f>
        <v>16503.362225531324</v>
      </c>
      <c r="AP18" s="18">
        <f>Archetypes!$D$33</f>
        <v>201.32916645159378</v>
      </c>
      <c r="AQ18" s="18">
        <f t="shared" si="7"/>
        <v>16302.033059079729</v>
      </c>
    </row>
    <row r="19" spans="1:43" x14ac:dyDescent="0.25">
      <c r="A19" s="14">
        <v>90</v>
      </c>
      <c r="B19" s="14">
        <f t="shared" si="0"/>
        <v>4</v>
      </c>
      <c r="C19" s="14">
        <f t="shared" si="1"/>
        <v>18</v>
      </c>
      <c r="D19" s="15">
        <f>IF(C19&lt;Assumptions!$B$10,1,0)</f>
        <v>0</v>
      </c>
      <c r="E19" s="15">
        <v>6</v>
      </c>
      <c r="F19" s="18">
        <f t="shared" si="8"/>
        <v>119.24125767128577</v>
      </c>
      <c r="G19" s="18">
        <f>MAX(Assumptions!$B$21,(F19)+(H19))</f>
        <v>122.94997767128577</v>
      </c>
      <c r="H19" s="18">
        <f>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$15)*Assumptions!$B$22+((Archetypes!$B$11*(IF(F19&lt;0,1+Assumptions!$B$32*MIN(1,ABS(F19)/ABS(Assumptions!$B$21)),MAX(0.1,1-Assumptions!$B$31*(F19/50)))))*J19*Archetypes!$B$15*Archetypes!$B$22)*Assumptions!$B$23+(Archetypes!$B$11*(IF(F19&lt;0,1+Assumptions!$B$32*MIN(1,ABS(F19)/ABS(Assumptions!$B$21)),MAX(0.1,1-Assumptions!$B$31*(F19/50)))))*Assumptions!$B$24+-((Archetypes!$B$11*(IF(F19&lt;0,1+Assumptions!$B$32*MIN(1,ABS(F19)/ABS(Assumptions!$B$21)),MAX(0.1,1-Assumptions!$B$31*(F19/50)))))*Archetypes!$B$16)*(Assumptions!$B$27*(1+Assumptions!$B$28*Archetypes!$B$14)/(1+Assumptions!$B$29*Archetypes!$B$12))+-(Archetypes!$B$11*(IF(F19&lt;0,1+Assumptions!$B$32*MIN(1,ABS(F19)/ABS(Assumptions!$B$21)),MAX(0.1,1-Assumptions!$B$31*(F19/50)))))*Archetypes!$B$17*((Archetypes!$B$31)/100)*Assumptions!$B$30+-Assumptions!$B$25*Assumptions!$B$26)*$E19</f>
        <v>3.70872</v>
      </c>
      <c r="I19" s="18">
        <f>(Archetypes!$B$11*(IF(F19&lt;0,1+Assumptions!$B$32*MIN(1,ABS(F19)/ABS(Assumptions!$B$21)),MAX(0.1,1-Assumptions!$B$31*(F19/50)))))*$E19</f>
        <v>6</v>
      </c>
      <c r="J19" s="19">
        <f>Archetypes!$B$30</f>
        <v>2.1999999999999999E-2</v>
      </c>
      <c r="K19" s="18">
        <f t="shared" si="2"/>
        <v>0.13200000000000001</v>
      </c>
      <c r="L19" s="18">
        <f>((I19-K19)*Archetypes!$B$15)+(K19*Archetypes!$B$15*Archetypes!$B$22)</f>
        <v>0.60264000000000006</v>
      </c>
      <c r="M19" s="18">
        <f>I19*Archetypes!$B$16</f>
        <v>4.5</v>
      </c>
      <c r="N19" s="18">
        <f>(IF(F19&lt;0,Assumptions!$B$8,IF(F19&lt;10,Assumptions!$B$34,IF(F19&lt;25,Assumptions!$B$35,Assumptions!$B$36))))*((((Archetypes!$B$5*Assumptions!$B$4+Archetypes!$B$6*Assumptions!$B$5)*60))+(Assumptions!$B$6*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$20)+((Archetypes!$B$11*(IF(F19&lt;0,1+Assumptions!$B$32*MIN(1,ABS(F19)/ABS(Assumptions!$B$21)),MAX(0.1,1-Assumptions!$B$31*(F19/50)))))*J19*Archetypes!$B$20*Archetypes!$B$21)*Assumptions!$B$18)*(IF($D19=1,1,Assumptions!$B$7)))+((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$15)*(Archetypes!$B$13*IF(F19&lt;0,1-Assumptions!$B$33*MIN(1,ABS(F19)/ABS(Assumptions!$B$21)),1))*5)+(((Archetypes!$B$11*(IF(F19&lt;0,1+Assumptions!$B$32*MIN(1,ABS(F19)/ABS(Assumptions!$B$21)),MAX(0.1,1-Assumptions!$B$31*(F19/50)))))*J19*Archetypes!$B$15*Archetypes!$B$22)*(Archetypes!$B$13*IF(F19&lt;0,1-Assumptions!$B$33*MIN(1,ABS(F19)/ABS(Assumptions!$B$21)),1))*5*Assumptions!$B$18))*IF(F19&lt;0,Assumptions!$B$9,1)))*$E19</f>
        <v>1103.7113999999999</v>
      </c>
      <c r="O19" s="18">
        <f>(O18)+(N19)-(MAX(0,((O18)+(N19)-(P19)))*(IF(Archetypes!$B$27="",Assumptions!$B$11,Archetypes!$B$27)))</f>
        <v>4482.694099653866</v>
      </c>
      <c r="P19" s="18">
        <f>Archetypes!$B$33</f>
        <v>25.423199999999998</v>
      </c>
      <c r="Q19" s="18">
        <f t="shared" si="3"/>
        <v>4457.2708996538659</v>
      </c>
      <c r="S19" s="18">
        <f t="shared" si="9"/>
        <v>100.20707028715755</v>
      </c>
      <c r="T19" s="18">
        <f>MAX(Assumptions!$B$21,(S19)+(U19))</f>
        <v>102.6834074300147</v>
      </c>
      <c r="U19" s="18">
        <f>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$15)*Assumptions!$B$22+((Archetypes!$C$11*(IF(S19&lt;0,1+Assumptions!$B$32*MIN(1,ABS(S19)/ABS(Assumptions!$B$21)),MAX(0.1,1-Assumptions!$B$31*(S19/50)))))*W19*Archetypes!$C$15*Archetypes!$C$22)*Assumptions!$B$23+(Archetypes!$C$11*(IF(S19&lt;0,1+Assumptions!$B$32*MIN(1,ABS(S19)/ABS(Assumptions!$B$21)),MAX(0.1,1-Assumptions!$B$31*(S19/50)))))*Assumptions!$B$24+-((Archetypes!$C$11*(IF(S19&lt;0,1+Assumptions!$B$32*MIN(1,ABS(S19)/ABS(Assumptions!$B$21)),MAX(0.1,1-Assumptions!$B$31*(S19/50)))))*Archetypes!$C$16)*(Assumptions!$B$27*(1+Assumptions!$B$28*Archetypes!$C$14)/(1+Assumptions!$B$29*Archetypes!$C$12))+-(Archetypes!$C$11*(IF(S19&lt;0,1+Assumptions!$B$32*MIN(1,ABS(S19)/ABS(Assumptions!$B$21)),MAX(0.1,1-Assumptions!$B$31*(S19/50)))))*Archetypes!$C$17*((Archetypes!$C$31)/100)*Assumptions!$B$30+-Assumptions!$B$25*Assumptions!$B$26)*$E19</f>
        <v>2.4763371428571439</v>
      </c>
      <c r="V19" s="18">
        <f>(Archetypes!$C$11*(IF(S19&lt;0,1+Assumptions!$B$32*MIN(1,ABS(S19)/ABS(Assumptions!$B$21)),MAX(0.1,1-Assumptions!$B$31*(S19/50)))))*$E19</f>
        <v>3.6000000000000005</v>
      </c>
      <c r="W19" s="19">
        <f>Archetypes!$C$30</f>
        <v>3.7999999999999999E-2</v>
      </c>
      <c r="X19" s="18">
        <f t="shared" si="4"/>
        <v>0.1368</v>
      </c>
      <c r="Y19" s="18">
        <f>((V19-X19)*Archetypes!$C$15)+(X19*Archetypes!$C$15*Archetypes!$C$22)</f>
        <v>1.8205200000000004</v>
      </c>
      <c r="Z19" s="18">
        <f>V19*Archetypes!$C$16</f>
        <v>1.6200000000000003</v>
      </c>
      <c r="AA19" s="18">
        <f>(IF(S19&lt;0,Assumptions!$B$8,IF(S19&lt;10,Assumptions!$B$34,IF(S19&lt;25,Assumptions!$B$35,Assumptions!$B$36))))*((((Archetypes!$C$5*Assumptions!$B$4+Archetypes!$C$6*Assumptions!$B$5)*60))+(Assumptions!$B$6*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$20)+((Archetypes!$C$11*(IF(S19&lt;0,1+Assumptions!$B$32*MIN(1,ABS(S19)/ABS(Assumptions!$B$21)),MAX(0.1,1-Assumptions!$B$31*(S19/50)))))*W19*Archetypes!$C$20*Archetypes!$C$21)*Assumptions!$B$18)*(IF($D19=1,1,Assumptions!$B$7)))+((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$15)*(Archetypes!$C$13*IF(S19&lt;0,1-Assumptions!$B$33*MIN(1,ABS(S19)/ABS(Assumptions!$B$21)),1))*5)+(((Archetypes!$C$11*(IF(S19&lt;0,1+Assumptions!$B$32*MIN(1,ABS(S19)/ABS(Assumptions!$B$21)),MAX(0.1,1-Assumptions!$B$31*(S19/50)))))*W19*Archetypes!$C$15*Archetypes!$C$22)*(Archetypes!$C$13*IF(S19&lt;0,1-Assumptions!$B$33*MIN(1,ABS(S19)/ABS(Assumptions!$B$21)),1))*5*Assumptions!$B$18))*IF(S19&lt;0,Assumptions!$B$9,1)))*$E19</f>
        <v>4257.4942799999999</v>
      </c>
      <c r="AB19" s="18">
        <f>(AB18)+(AA19)-(MAX(0,((AB18)+(AA19)-(AC19)))*(IF(Archetypes!$C$27="",Assumptions!$B$11,Archetypes!$C$27)))</f>
        <v>12928.152010576956</v>
      </c>
      <c r="AC19" s="18">
        <f>Archetypes!$C$33</f>
        <v>90.34</v>
      </c>
      <c r="AD19" s="18">
        <f t="shared" si="5"/>
        <v>12837.812010576956</v>
      </c>
      <c r="AF19" s="18">
        <f t="shared" si="10"/>
        <v>89.575178766788341</v>
      </c>
      <c r="AG19" s="18">
        <f>MAX(Assumptions!$B$21,(AF19)+(AH19))</f>
        <v>91.295594766788341</v>
      </c>
      <c r="AH19" s="18">
        <f>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$15)*Assumptions!$B$22+((Archetypes!$D$11*(IF(AF19&lt;0,1+Assumptions!$B$32*MIN(1,ABS(AF19)/ABS(Assumptions!$B$21)),MAX(0.1,1-Assumptions!$B$31*(AF19/50)))))*AJ19*Archetypes!$D$15*Archetypes!$D$22)*Assumptions!$B$23+(Archetypes!$D$11*(IF(AF19&lt;0,1+Assumptions!$B$32*MIN(1,ABS(AF19)/ABS(Assumptions!$B$21)),MAX(0.1,1-Assumptions!$B$31*(AF19/50)))))*Assumptions!$B$24+-((Archetypes!$D$11*(IF(AF19&lt;0,1+Assumptions!$B$32*MIN(1,ABS(AF19)/ABS(Assumptions!$B$21)),MAX(0.1,1-Assumptions!$B$31*(AF19/50)))))*Archetypes!$D$16)*(Assumptions!$B$27*(1+Assumptions!$B$28*Archetypes!$D$14)/(1+Assumptions!$B$29*Archetypes!$D$12))+-(Archetypes!$D$11*(IF(AF19&lt;0,1+Assumptions!$B$32*MIN(1,ABS(AF19)/ABS(Assumptions!$B$21)),MAX(0.1,1-Assumptions!$B$31*(AF19/50)))))*Archetypes!$D$17*((Archetypes!$D$31)/100)*Assumptions!$B$30+-Assumptions!$B$25*Assumptions!$B$26)*$E19</f>
        <v>1.7204160000000006</v>
      </c>
      <c r="AI19" s="18">
        <f>(Archetypes!$D$11*(IF(AF19&lt;0,1+Assumptions!$B$32*MIN(1,ABS(AF19)/ABS(Assumptions!$B$21)),MAX(0.1,1-Assumptions!$B$31*(AF19/50)))))*$E19</f>
        <v>1.8000000000000003</v>
      </c>
      <c r="AJ19" s="19">
        <f>Archetypes!$D$30</f>
        <v>0.10400000000000001</v>
      </c>
      <c r="AK19" s="18">
        <f t="shared" si="6"/>
        <v>0.18720000000000003</v>
      </c>
      <c r="AL19" s="18">
        <f>((AI19-AK19)*Archetypes!$D$15)+(AK19*Archetypes!$D$15*Archetypes!$D$22)</f>
        <v>2.8123200000000006</v>
      </c>
      <c r="AM19" s="18">
        <f>AI19*Archetypes!$D$16</f>
        <v>0.3600000000000001</v>
      </c>
      <c r="AN19" s="18">
        <f>(IF(AF19&lt;0,Assumptions!$B$8,IF(AF19&lt;10,Assumptions!$B$34,IF(AF19&lt;25,Assumptions!$B$35,Assumptions!$B$36))))*((((Archetypes!$D$5*Assumptions!$B$4+Archetypes!$D$6*Assumptions!$B$5)*60))+(Assumptions!$B$6*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$20)+((Archetypes!$D$11*(IF(AF19&lt;0,1+Assumptions!$B$32*MIN(1,ABS(AF19)/ABS(Assumptions!$B$21)),MAX(0.1,1-Assumptions!$B$31*(AF19/50)))))*AJ19*Archetypes!$D$20*Archetypes!$D$21)*Assumptions!$B$18)*(IF($D19=1,1,Assumptions!$B$7)))+((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$15)*(Archetypes!$D$13*IF(AF19&lt;0,1-Assumptions!$B$33*MIN(1,ABS(AF19)/ABS(Assumptions!$B$21)),1))*5)+(((Archetypes!$D$11*(IF(AF19&lt;0,1+Assumptions!$B$32*MIN(1,ABS(AF19)/ABS(Assumptions!$B$21)),MAX(0.1,1-Assumptions!$B$31*(AF19/50)))))*AJ19*Archetypes!$D$15*Archetypes!$D$22)*(Archetypes!$D$13*IF(AF19&lt;0,1-Assumptions!$B$33*MIN(1,ABS(AF19)/ABS(Assumptions!$B$21)),1))*5*Assumptions!$B$18))*IF(AF19&lt;0,Assumptions!$B$9,1)))*$E19</f>
        <v>6861.8204999999998</v>
      </c>
      <c r="AO19" s="18">
        <f>(AO18)+(AN19)-(MAX(0,((AO18)+(AN19)-(AP19)))*(IF(Archetypes!$D$27="",Assumptions!$B$11,Archetypes!$D$27)))</f>
        <v>16416.026657807408</v>
      </c>
      <c r="AP19" s="18">
        <f>Archetypes!$D$33</f>
        <v>201.32916645159378</v>
      </c>
      <c r="AQ19" s="18">
        <f t="shared" si="7"/>
        <v>16214.697491355813</v>
      </c>
    </row>
    <row r="20" spans="1:43" x14ac:dyDescent="0.25">
      <c r="A20" s="14">
        <v>96</v>
      </c>
      <c r="B20" s="14">
        <f t="shared" si="0"/>
        <v>5</v>
      </c>
      <c r="C20" s="14">
        <f t="shared" si="1"/>
        <v>0</v>
      </c>
      <c r="D20" s="15">
        <f>IF(C20&lt;Assumptions!$B$10,1,0)</f>
        <v>1</v>
      </c>
      <c r="E20" s="15">
        <v>6</v>
      </c>
      <c r="F20" s="18">
        <f t="shared" si="8"/>
        <v>122.94997767128577</v>
      </c>
      <c r="G20" s="18">
        <f>MAX(Assumptions!$B$21,(F20)+(H20))</f>
        <v>126.65869767128576</v>
      </c>
      <c r="H20" s="18">
        <f>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$15)*Assumptions!$B$22+((Archetypes!$B$11*(IF(F20&lt;0,1+Assumptions!$B$32*MIN(1,ABS(F20)/ABS(Assumptions!$B$21)),MAX(0.1,1-Assumptions!$B$31*(F20/50)))))*J20*Archetypes!$B$15*Archetypes!$B$22)*Assumptions!$B$23+(Archetypes!$B$11*(IF(F20&lt;0,1+Assumptions!$B$32*MIN(1,ABS(F20)/ABS(Assumptions!$B$21)),MAX(0.1,1-Assumptions!$B$31*(F20/50)))))*Assumptions!$B$24+-((Archetypes!$B$11*(IF(F20&lt;0,1+Assumptions!$B$32*MIN(1,ABS(F20)/ABS(Assumptions!$B$21)),MAX(0.1,1-Assumptions!$B$31*(F20/50)))))*Archetypes!$B$16)*(Assumptions!$B$27*(1+Assumptions!$B$28*Archetypes!$B$14)/(1+Assumptions!$B$29*Archetypes!$B$12))+-(Archetypes!$B$11*(IF(F20&lt;0,1+Assumptions!$B$32*MIN(1,ABS(F20)/ABS(Assumptions!$B$21)),MAX(0.1,1-Assumptions!$B$31*(F20/50)))))*Archetypes!$B$17*((Archetypes!$B$31)/100)*Assumptions!$B$30+-Assumptions!$B$25*Assumptions!$B$26)*$E20</f>
        <v>3.70872</v>
      </c>
      <c r="I20" s="18">
        <f>(Archetypes!$B$11*(IF(F20&lt;0,1+Assumptions!$B$32*MIN(1,ABS(F20)/ABS(Assumptions!$B$21)),MAX(0.1,1-Assumptions!$B$31*(F20/50)))))*$E20</f>
        <v>6</v>
      </c>
      <c r="J20" s="19">
        <f>Archetypes!$B$30</f>
        <v>2.1999999999999999E-2</v>
      </c>
      <c r="K20" s="18">
        <f t="shared" si="2"/>
        <v>0.13200000000000001</v>
      </c>
      <c r="L20" s="18">
        <f>((I20-K20)*Archetypes!$B$15)+(K20*Archetypes!$B$15*Archetypes!$B$22)</f>
        <v>0.60264000000000006</v>
      </c>
      <c r="M20" s="18">
        <f>I20*Archetypes!$B$16</f>
        <v>4.5</v>
      </c>
      <c r="N20" s="18">
        <f>(IF(F20&lt;0,Assumptions!$B$8,IF(F20&lt;10,Assumptions!$B$34,IF(F20&lt;25,Assumptions!$B$35,Assumptions!$B$36))))*((((Archetypes!$B$5*Assumptions!$B$4+Archetypes!$B$6*Assumptions!$B$5)*60))+(Assumptions!$B$6*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$20)+((Archetypes!$B$11*(IF(F20&lt;0,1+Assumptions!$B$32*MIN(1,ABS(F20)/ABS(Assumptions!$B$21)),MAX(0.1,1-Assumptions!$B$31*(F20/50)))))*J20*Archetypes!$B$20*Archetypes!$B$21)*Assumptions!$B$18)*(IF($D20=1,1,Assumptions!$B$7)))+((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$15)*(Archetypes!$B$13*IF(F20&lt;0,1-Assumptions!$B$33*MIN(1,ABS(F20)/ABS(Assumptions!$B$21)),1))*5)+(((Archetypes!$B$11*(IF(F20&lt;0,1+Assumptions!$B$32*MIN(1,ABS(F20)/ABS(Assumptions!$B$21)),MAX(0.1,1-Assumptions!$B$31*(F20/50)))))*J20*Archetypes!$B$15*Archetypes!$B$22)*(Archetypes!$B$13*IF(F20&lt;0,1-Assumptions!$B$33*MIN(1,ABS(F20)/ABS(Assumptions!$B$21)),1))*5*Assumptions!$B$18))*IF(F20&lt;0,Assumptions!$B$9,1)))*$E20</f>
        <v>1178.4672</v>
      </c>
      <c r="O20" s="18">
        <f>(O19)+(N20)-(MAX(0,((O19)+(N20)-(P20)))*(IF(Archetypes!$B$27="",Assumptions!$B$11,Archetypes!$B$27)))</f>
        <v>4534.0136797230925</v>
      </c>
      <c r="P20" s="18">
        <f>Archetypes!$B$33</f>
        <v>25.423199999999998</v>
      </c>
      <c r="Q20" s="18">
        <f t="shared" si="3"/>
        <v>4508.5904797230924</v>
      </c>
      <c r="S20" s="18">
        <f t="shared" si="9"/>
        <v>102.6834074300147</v>
      </c>
      <c r="T20" s="18">
        <f>MAX(Assumptions!$B$21,(S20)+(U20))</f>
        <v>105.15974457287184</v>
      </c>
      <c r="U20" s="18">
        <f>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$15)*Assumptions!$B$22+((Archetypes!$C$11*(IF(S20&lt;0,1+Assumptions!$B$32*MIN(1,ABS(S20)/ABS(Assumptions!$B$21)),MAX(0.1,1-Assumptions!$B$31*(S20/50)))))*W20*Archetypes!$C$15*Archetypes!$C$22)*Assumptions!$B$23+(Archetypes!$C$11*(IF(S20&lt;0,1+Assumptions!$B$32*MIN(1,ABS(S20)/ABS(Assumptions!$B$21)),MAX(0.1,1-Assumptions!$B$31*(S20/50)))))*Assumptions!$B$24+-((Archetypes!$C$11*(IF(S20&lt;0,1+Assumptions!$B$32*MIN(1,ABS(S20)/ABS(Assumptions!$B$21)),MAX(0.1,1-Assumptions!$B$31*(S20/50)))))*Archetypes!$C$16)*(Assumptions!$B$27*(1+Assumptions!$B$28*Archetypes!$C$14)/(1+Assumptions!$B$29*Archetypes!$C$12))+-(Archetypes!$C$11*(IF(S20&lt;0,1+Assumptions!$B$32*MIN(1,ABS(S20)/ABS(Assumptions!$B$21)),MAX(0.1,1-Assumptions!$B$31*(S20/50)))))*Archetypes!$C$17*((Archetypes!$C$31)/100)*Assumptions!$B$30+-Assumptions!$B$25*Assumptions!$B$26)*$E20</f>
        <v>2.4763371428571439</v>
      </c>
      <c r="V20" s="18">
        <f>(Archetypes!$C$11*(IF(S20&lt;0,1+Assumptions!$B$32*MIN(1,ABS(S20)/ABS(Assumptions!$B$21)),MAX(0.1,1-Assumptions!$B$31*(S20/50)))))*$E20</f>
        <v>3.6000000000000005</v>
      </c>
      <c r="W20" s="19">
        <f>Archetypes!$C$30</f>
        <v>3.7999999999999999E-2</v>
      </c>
      <c r="X20" s="18">
        <f t="shared" si="4"/>
        <v>0.1368</v>
      </c>
      <c r="Y20" s="18">
        <f>((V20-X20)*Archetypes!$C$15)+(X20*Archetypes!$C$15*Archetypes!$C$22)</f>
        <v>1.8205200000000004</v>
      </c>
      <c r="Z20" s="18">
        <f>V20*Archetypes!$C$16</f>
        <v>1.6200000000000003</v>
      </c>
      <c r="AA20" s="18">
        <f>(IF(S20&lt;0,Assumptions!$B$8,IF(S20&lt;10,Assumptions!$B$34,IF(S20&lt;25,Assumptions!$B$35,Assumptions!$B$36))))*((((Archetypes!$C$5*Assumptions!$B$4+Archetypes!$C$6*Assumptions!$B$5)*60))+(Assumptions!$B$6*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$20)+((Archetypes!$C$11*(IF(S20&lt;0,1+Assumptions!$B$32*MIN(1,ABS(S20)/ABS(Assumptions!$B$21)),MAX(0.1,1-Assumptions!$B$31*(S20/50)))))*W20*Archetypes!$C$20*Archetypes!$C$21)*Assumptions!$B$18)*(IF($D20=1,1,Assumptions!$B$7)))+((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$15)*(Archetypes!$C$13*IF(S20&lt;0,1-Assumptions!$B$33*MIN(1,ABS(S20)/ABS(Assumptions!$B$21)),1))*5)+(((Archetypes!$C$11*(IF(S20&lt;0,1+Assumptions!$B$32*MIN(1,ABS(S20)/ABS(Assumptions!$B$21)),MAX(0.1,1-Assumptions!$B$31*(S20/50)))))*W20*Archetypes!$C$15*Archetypes!$C$22)*(Archetypes!$C$13*IF(S20&lt;0,1-Assumptions!$B$33*MIN(1,ABS(S20)/ABS(Assumptions!$B$21)),1))*5*Assumptions!$B$18))*IF(S20&lt;0,Assumptions!$B$9,1)))*$E20</f>
        <v>4462.9335000000001</v>
      </c>
      <c r="AB20" s="18">
        <f>(AB19)+(AA20)-(MAX(0,((AB19)+(AA20)-(AC20)))*(IF(Archetypes!$C$27="",Assumptions!$B$11,Archetypes!$C$27)))</f>
        <v>13065.899132932716</v>
      </c>
      <c r="AC20" s="18">
        <f>Archetypes!$C$33</f>
        <v>90.34</v>
      </c>
      <c r="AD20" s="18">
        <f t="shared" si="5"/>
        <v>12975.559132932716</v>
      </c>
      <c r="AF20" s="18">
        <f t="shared" si="10"/>
        <v>91.295594766788341</v>
      </c>
      <c r="AG20" s="18">
        <f>MAX(Assumptions!$B$21,(AF20)+(AH20))</f>
        <v>93.016010766788341</v>
      </c>
      <c r="AH20" s="18">
        <f>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$15)*Assumptions!$B$22+((Archetypes!$D$11*(IF(AF20&lt;0,1+Assumptions!$B$32*MIN(1,ABS(AF20)/ABS(Assumptions!$B$21)),MAX(0.1,1-Assumptions!$B$31*(AF20/50)))))*AJ20*Archetypes!$D$15*Archetypes!$D$22)*Assumptions!$B$23+(Archetypes!$D$11*(IF(AF20&lt;0,1+Assumptions!$B$32*MIN(1,ABS(AF20)/ABS(Assumptions!$B$21)),MAX(0.1,1-Assumptions!$B$31*(AF20/50)))))*Assumptions!$B$24+-((Archetypes!$D$11*(IF(AF20&lt;0,1+Assumptions!$B$32*MIN(1,ABS(AF20)/ABS(Assumptions!$B$21)),MAX(0.1,1-Assumptions!$B$31*(AF20/50)))))*Archetypes!$D$16)*(Assumptions!$B$27*(1+Assumptions!$B$28*Archetypes!$D$14)/(1+Assumptions!$B$29*Archetypes!$D$12))+-(Archetypes!$D$11*(IF(AF20&lt;0,1+Assumptions!$B$32*MIN(1,ABS(AF20)/ABS(Assumptions!$B$21)),MAX(0.1,1-Assumptions!$B$31*(AF20/50)))))*Archetypes!$D$17*((Archetypes!$D$31)/100)*Assumptions!$B$30+-Assumptions!$B$25*Assumptions!$B$26)*$E20</f>
        <v>1.7204160000000006</v>
      </c>
      <c r="AI20" s="18">
        <f>(Archetypes!$D$11*(IF(AF20&lt;0,1+Assumptions!$B$32*MIN(1,ABS(AF20)/ABS(Assumptions!$B$21)),MAX(0.1,1-Assumptions!$B$31*(AF20/50)))))*$E20</f>
        <v>1.8000000000000003</v>
      </c>
      <c r="AJ20" s="19">
        <f>Archetypes!$D$30</f>
        <v>0.10400000000000001</v>
      </c>
      <c r="AK20" s="18">
        <f t="shared" si="6"/>
        <v>0.18720000000000003</v>
      </c>
      <c r="AL20" s="18">
        <f>((AI20-AK20)*Archetypes!$D$15)+(AK20*Archetypes!$D$15*Archetypes!$D$22)</f>
        <v>2.8123200000000006</v>
      </c>
      <c r="AM20" s="18">
        <f>AI20*Archetypes!$D$16</f>
        <v>0.3600000000000001</v>
      </c>
      <c r="AN20" s="18">
        <f>(IF(AF20&lt;0,Assumptions!$B$8,IF(AF20&lt;10,Assumptions!$B$34,IF(AF20&lt;25,Assumptions!$B$35,Assumptions!$B$36))))*((((Archetypes!$D$5*Assumptions!$B$4+Archetypes!$D$6*Assumptions!$B$5)*60))+(Assumptions!$B$6*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$20)+((Archetypes!$D$11*(IF(AF20&lt;0,1+Assumptions!$B$32*MIN(1,ABS(AF20)/ABS(Assumptions!$B$21)),MAX(0.1,1-Assumptions!$B$31*(AF20/50)))))*AJ20*Archetypes!$D$20*Archetypes!$D$21)*Assumptions!$B$18)*(IF($D20=1,1,Assumptions!$B$7)))+((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$15)*(Archetypes!$D$13*IF(AF20&lt;0,1-Assumptions!$B$33*MIN(1,ABS(AF20)/ABS(Assumptions!$B$21)),1))*5)+(((Archetypes!$D$11*(IF(AF20&lt;0,1+Assumptions!$B$32*MIN(1,ABS(AF20)/ABS(Assumptions!$B$21)),MAX(0.1,1-Assumptions!$B$31*(AF20/50)))))*AJ20*Archetypes!$D$15*Archetypes!$D$22)*(Archetypes!$D$13*IF(AF20&lt;0,1-Assumptions!$B$33*MIN(1,ABS(AF20)/ABS(Assumptions!$B$21)),1))*5*Assumptions!$B$18))*IF(AF20&lt;0,Assumptions!$B$9,1)))*$E20</f>
        <v>7432.1279999999988</v>
      </c>
      <c r="AO20" s="18">
        <f>(AO19)+(AN20)-(MAX(0,((AO19)+(AN20)-(AP20)))*(IF(Archetypes!$D$27="",Assumptions!$B$11,Archetypes!$D$27)))</f>
        <v>16754.107010400661</v>
      </c>
      <c r="AP20" s="18">
        <f>Archetypes!$D$33</f>
        <v>201.32916645159378</v>
      </c>
      <c r="AQ20" s="18">
        <f t="shared" si="7"/>
        <v>16552.777843949068</v>
      </c>
    </row>
    <row r="21" spans="1:43" x14ac:dyDescent="0.25">
      <c r="A21" s="14">
        <v>102</v>
      </c>
      <c r="B21" s="14">
        <f t="shared" si="0"/>
        <v>5</v>
      </c>
      <c r="C21" s="14">
        <f t="shared" si="1"/>
        <v>6</v>
      </c>
      <c r="D21" s="15">
        <f>IF(C21&lt;Assumptions!$B$10,1,0)</f>
        <v>0</v>
      </c>
      <c r="E21" s="15">
        <v>6</v>
      </c>
      <c r="F21" s="18">
        <f t="shared" si="8"/>
        <v>126.65869767128576</v>
      </c>
      <c r="G21" s="18">
        <f>MAX(Assumptions!$B$21,(F21)+(H21))</f>
        <v>130.36741767128578</v>
      </c>
      <c r="H21" s="18">
        <f>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$15)*Assumptions!$B$22+((Archetypes!$B$11*(IF(F21&lt;0,1+Assumptions!$B$32*MIN(1,ABS(F21)/ABS(Assumptions!$B$21)),MAX(0.1,1-Assumptions!$B$31*(F21/50)))))*J21*Archetypes!$B$15*Archetypes!$B$22)*Assumptions!$B$23+(Archetypes!$B$11*(IF(F21&lt;0,1+Assumptions!$B$32*MIN(1,ABS(F21)/ABS(Assumptions!$B$21)),MAX(0.1,1-Assumptions!$B$31*(F21/50)))))*Assumptions!$B$24+-((Archetypes!$B$11*(IF(F21&lt;0,1+Assumptions!$B$32*MIN(1,ABS(F21)/ABS(Assumptions!$B$21)),MAX(0.1,1-Assumptions!$B$31*(F21/50)))))*Archetypes!$B$16)*(Assumptions!$B$27*(1+Assumptions!$B$28*Archetypes!$B$14)/(1+Assumptions!$B$29*Archetypes!$B$12))+-(Archetypes!$B$11*(IF(F21&lt;0,1+Assumptions!$B$32*MIN(1,ABS(F21)/ABS(Assumptions!$B$21)),MAX(0.1,1-Assumptions!$B$31*(F21/50)))))*Archetypes!$B$17*((Archetypes!$B$31)/100)*Assumptions!$B$30+-Assumptions!$B$25*Assumptions!$B$26)*$E21</f>
        <v>3.70872</v>
      </c>
      <c r="I21" s="18">
        <f>(Archetypes!$B$11*(IF(F21&lt;0,1+Assumptions!$B$32*MIN(1,ABS(F21)/ABS(Assumptions!$B$21)),MAX(0.1,1-Assumptions!$B$31*(F21/50)))))*$E21</f>
        <v>6</v>
      </c>
      <c r="J21" s="19">
        <f>Archetypes!$B$30</f>
        <v>2.1999999999999999E-2</v>
      </c>
      <c r="K21" s="18">
        <f t="shared" si="2"/>
        <v>0.13200000000000001</v>
      </c>
      <c r="L21" s="18">
        <f>((I21-K21)*Archetypes!$B$15)+(K21*Archetypes!$B$15*Archetypes!$B$22)</f>
        <v>0.60264000000000006</v>
      </c>
      <c r="M21" s="18">
        <f>I21*Archetypes!$B$16</f>
        <v>4.5</v>
      </c>
      <c r="N21" s="18">
        <f>(IF(F21&lt;0,Assumptions!$B$8,IF(F21&lt;10,Assumptions!$B$34,IF(F21&lt;25,Assumptions!$B$35,Assumptions!$B$36))))*((((Archetypes!$B$5*Assumptions!$B$4+Archetypes!$B$6*Assumptions!$B$5)*60))+(Assumptions!$B$6*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$20)+((Archetypes!$B$11*(IF(F21&lt;0,1+Assumptions!$B$32*MIN(1,ABS(F21)/ABS(Assumptions!$B$21)),MAX(0.1,1-Assumptions!$B$31*(F21/50)))))*J21*Archetypes!$B$20*Archetypes!$B$21)*Assumptions!$B$18)*(IF($D21=1,1,Assumptions!$B$7)))+((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$15)*(Archetypes!$B$13*IF(F21&lt;0,1-Assumptions!$B$33*MIN(1,ABS(F21)/ABS(Assumptions!$B$21)),1))*5)+(((Archetypes!$B$11*(IF(F21&lt;0,1+Assumptions!$B$32*MIN(1,ABS(F21)/ABS(Assumptions!$B$21)),MAX(0.1,1-Assumptions!$B$31*(F21/50)))))*J21*Archetypes!$B$15*Archetypes!$B$22)*(Archetypes!$B$13*IF(F21&lt;0,1-Assumptions!$B$33*MIN(1,ABS(F21)/ABS(Assumptions!$B$21)),1))*5*Assumptions!$B$18))*IF(F21&lt;0,Assumptions!$B$9,1)))*$E21</f>
        <v>1103.7113999999999</v>
      </c>
      <c r="O21" s="18">
        <f>(O20)+(N21)-(MAX(0,((O20)+(N21)-(P21)))*(IF(Archetypes!$B$27="",Assumptions!$B$11,Archetypes!$B$27)))</f>
        <v>4515.2647037784736</v>
      </c>
      <c r="P21" s="18">
        <f>Archetypes!$B$33</f>
        <v>25.423199999999998</v>
      </c>
      <c r="Q21" s="18">
        <f t="shared" si="3"/>
        <v>4489.8415037784735</v>
      </c>
      <c r="S21" s="18">
        <f t="shared" si="9"/>
        <v>105.15974457287184</v>
      </c>
      <c r="T21" s="18">
        <f>MAX(Assumptions!$B$21,(S21)+(U21))</f>
        <v>107.63608171572899</v>
      </c>
      <c r="U21" s="18">
        <f>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$15)*Assumptions!$B$22+((Archetypes!$C$11*(IF(S21&lt;0,1+Assumptions!$B$32*MIN(1,ABS(S21)/ABS(Assumptions!$B$21)),MAX(0.1,1-Assumptions!$B$31*(S21/50)))))*W21*Archetypes!$C$15*Archetypes!$C$22)*Assumptions!$B$23+(Archetypes!$C$11*(IF(S21&lt;0,1+Assumptions!$B$32*MIN(1,ABS(S21)/ABS(Assumptions!$B$21)),MAX(0.1,1-Assumptions!$B$31*(S21/50)))))*Assumptions!$B$24+-((Archetypes!$C$11*(IF(S21&lt;0,1+Assumptions!$B$32*MIN(1,ABS(S21)/ABS(Assumptions!$B$21)),MAX(0.1,1-Assumptions!$B$31*(S21/50)))))*Archetypes!$C$16)*(Assumptions!$B$27*(1+Assumptions!$B$28*Archetypes!$C$14)/(1+Assumptions!$B$29*Archetypes!$C$12))+-(Archetypes!$C$11*(IF(S21&lt;0,1+Assumptions!$B$32*MIN(1,ABS(S21)/ABS(Assumptions!$B$21)),MAX(0.1,1-Assumptions!$B$31*(S21/50)))))*Archetypes!$C$17*((Archetypes!$C$31)/100)*Assumptions!$B$30+-Assumptions!$B$25*Assumptions!$B$26)*$E21</f>
        <v>2.4763371428571439</v>
      </c>
      <c r="V21" s="18">
        <f>(Archetypes!$C$11*(IF(S21&lt;0,1+Assumptions!$B$32*MIN(1,ABS(S21)/ABS(Assumptions!$B$21)),MAX(0.1,1-Assumptions!$B$31*(S21/50)))))*$E21</f>
        <v>3.6000000000000005</v>
      </c>
      <c r="W21" s="19">
        <f>Archetypes!$C$30</f>
        <v>3.7999999999999999E-2</v>
      </c>
      <c r="X21" s="18">
        <f t="shared" si="4"/>
        <v>0.1368</v>
      </c>
      <c r="Y21" s="18">
        <f>((V21-X21)*Archetypes!$C$15)+(X21*Archetypes!$C$15*Archetypes!$C$22)</f>
        <v>1.8205200000000004</v>
      </c>
      <c r="Z21" s="18">
        <f>V21*Archetypes!$C$16</f>
        <v>1.6200000000000003</v>
      </c>
      <c r="AA21" s="18">
        <f>(IF(S21&lt;0,Assumptions!$B$8,IF(S21&lt;10,Assumptions!$B$34,IF(S21&lt;25,Assumptions!$B$35,Assumptions!$B$36))))*((((Archetypes!$C$5*Assumptions!$B$4+Archetypes!$C$6*Assumptions!$B$5)*60))+(Assumptions!$B$6*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$20)+((Archetypes!$C$11*(IF(S21&lt;0,1+Assumptions!$B$32*MIN(1,ABS(S21)/ABS(Assumptions!$B$21)),MAX(0.1,1-Assumptions!$B$31*(S21/50)))))*W21*Archetypes!$C$20*Archetypes!$C$21)*Assumptions!$B$18)*(IF($D21=1,1,Assumptions!$B$7)))+((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$15)*(Archetypes!$C$13*IF(S21&lt;0,1-Assumptions!$B$33*MIN(1,ABS(S21)/ABS(Assumptions!$B$21)),1))*5)+(((Archetypes!$C$11*(IF(S21&lt;0,1+Assumptions!$B$32*MIN(1,ABS(S21)/ABS(Assumptions!$B$21)),MAX(0.1,1-Assumptions!$B$31*(S21/50)))))*W21*Archetypes!$C$15*Archetypes!$C$22)*(Archetypes!$C$13*IF(S21&lt;0,1-Assumptions!$B$33*MIN(1,ABS(S21)/ABS(Assumptions!$B$21)),1))*5*Assumptions!$B$18))*IF(S21&lt;0,Assumptions!$B$9,1)))*$E21</f>
        <v>4257.4942799999999</v>
      </c>
      <c r="AB21" s="18">
        <f>(AB20)+(AA21)-(MAX(0,((AB20)+(AA21)-(AC21)))*(IF(Archetypes!$C$27="",Assumptions!$B$11,Archetypes!$C$27)))</f>
        <v>13015.130059699539</v>
      </c>
      <c r="AC21" s="18">
        <f>Archetypes!$C$33</f>
        <v>90.34</v>
      </c>
      <c r="AD21" s="18">
        <f t="shared" si="5"/>
        <v>12924.790059699539</v>
      </c>
      <c r="AF21" s="18">
        <f t="shared" si="10"/>
        <v>93.016010766788341</v>
      </c>
      <c r="AG21" s="18">
        <f>MAX(Assumptions!$B$21,(AF21)+(AH21))</f>
        <v>94.736426766788341</v>
      </c>
      <c r="AH21" s="18">
        <f>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$15)*Assumptions!$B$22+((Archetypes!$D$11*(IF(AF21&lt;0,1+Assumptions!$B$32*MIN(1,ABS(AF21)/ABS(Assumptions!$B$21)),MAX(0.1,1-Assumptions!$B$31*(AF21/50)))))*AJ21*Archetypes!$D$15*Archetypes!$D$22)*Assumptions!$B$23+(Archetypes!$D$11*(IF(AF21&lt;0,1+Assumptions!$B$32*MIN(1,ABS(AF21)/ABS(Assumptions!$B$21)),MAX(0.1,1-Assumptions!$B$31*(AF21/50)))))*Assumptions!$B$24+-((Archetypes!$D$11*(IF(AF21&lt;0,1+Assumptions!$B$32*MIN(1,ABS(AF21)/ABS(Assumptions!$B$21)),MAX(0.1,1-Assumptions!$B$31*(AF21/50)))))*Archetypes!$D$16)*(Assumptions!$B$27*(1+Assumptions!$B$28*Archetypes!$D$14)/(1+Assumptions!$B$29*Archetypes!$D$12))+-(Archetypes!$D$11*(IF(AF21&lt;0,1+Assumptions!$B$32*MIN(1,ABS(AF21)/ABS(Assumptions!$B$21)),MAX(0.1,1-Assumptions!$B$31*(AF21/50)))))*Archetypes!$D$17*((Archetypes!$D$31)/100)*Assumptions!$B$30+-Assumptions!$B$25*Assumptions!$B$26)*$E21</f>
        <v>1.7204160000000006</v>
      </c>
      <c r="AI21" s="18">
        <f>(Archetypes!$D$11*(IF(AF21&lt;0,1+Assumptions!$B$32*MIN(1,ABS(AF21)/ABS(Assumptions!$B$21)),MAX(0.1,1-Assumptions!$B$31*(AF21/50)))))*$E21</f>
        <v>1.8000000000000003</v>
      </c>
      <c r="AJ21" s="19">
        <f>Archetypes!$D$30</f>
        <v>0.10400000000000001</v>
      </c>
      <c r="AK21" s="18">
        <f t="shared" si="6"/>
        <v>0.18720000000000003</v>
      </c>
      <c r="AL21" s="18">
        <f>((AI21-AK21)*Archetypes!$D$15)+(AK21*Archetypes!$D$15*Archetypes!$D$22)</f>
        <v>2.8123200000000006</v>
      </c>
      <c r="AM21" s="18">
        <f>AI21*Archetypes!$D$16</f>
        <v>0.3600000000000001</v>
      </c>
      <c r="AN21" s="18">
        <f>(IF(AF21&lt;0,Assumptions!$B$8,IF(AF21&lt;10,Assumptions!$B$34,IF(AF21&lt;25,Assumptions!$B$35,Assumptions!$B$36))))*((((Archetypes!$D$5*Assumptions!$B$4+Archetypes!$D$6*Assumptions!$B$5)*60))+(Assumptions!$B$6*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$20)+((Archetypes!$D$11*(IF(AF21&lt;0,1+Assumptions!$B$32*MIN(1,ABS(AF21)/ABS(Assumptions!$B$21)),MAX(0.1,1-Assumptions!$B$31*(AF21/50)))))*AJ21*Archetypes!$D$20*Archetypes!$D$21)*Assumptions!$B$18)*(IF($D21=1,1,Assumptions!$B$7)))+((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$15)*(Archetypes!$D$13*IF(AF21&lt;0,1-Assumptions!$B$33*MIN(1,ABS(AF21)/ABS(Assumptions!$B$21)),1))*5)+(((Archetypes!$D$11*(IF(AF21&lt;0,1+Assumptions!$B$32*MIN(1,ABS(AF21)/ABS(Assumptions!$B$21)),MAX(0.1,1-Assumptions!$B$31*(AF21/50)))))*AJ21*Archetypes!$D$15*Archetypes!$D$22)*(Archetypes!$D$13*IF(AF21&lt;0,1-Assumptions!$B$33*MIN(1,ABS(AF21)/ABS(Assumptions!$B$21)),1))*5*Assumptions!$B$18))*IF(AF21&lt;0,Assumptions!$B$9,1)))*$E21</f>
        <v>6861.8204999999998</v>
      </c>
      <c r="AO21" s="18">
        <f>(AO20)+(AN21)-(MAX(0,((AO20)+(AN21)-(AP21)))*(IF(Archetypes!$D$27="",Assumptions!$B$11,Archetypes!$D$27)))</f>
        <v>16591.548007215941</v>
      </c>
      <c r="AP21" s="18">
        <f>Archetypes!$D$33</f>
        <v>201.32916645159378</v>
      </c>
      <c r="AQ21" s="18">
        <f t="shared" si="7"/>
        <v>16390.218840764348</v>
      </c>
    </row>
    <row r="22" spans="1:43" x14ac:dyDescent="0.25">
      <c r="A22" s="14">
        <v>108</v>
      </c>
      <c r="B22" s="14">
        <f t="shared" si="0"/>
        <v>5</v>
      </c>
      <c r="C22" s="14">
        <f t="shared" si="1"/>
        <v>12</v>
      </c>
      <c r="D22" s="15">
        <f>IF(C22&lt;Assumptions!$B$10,1,0)</f>
        <v>0</v>
      </c>
      <c r="E22" s="15">
        <v>6</v>
      </c>
      <c r="F22" s="18">
        <f t="shared" si="8"/>
        <v>130.36741767128578</v>
      </c>
      <c r="G22" s="18">
        <f>MAX(Assumptions!$B$21,(F22)+(H22))</f>
        <v>134.07613767128578</v>
      </c>
      <c r="H22" s="18">
        <f>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$15)*Assumptions!$B$22+((Archetypes!$B$11*(IF(F22&lt;0,1+Assumptions!$B$32*MIN(1,ABS(F22)/ABS(Assumptions!$B$21)),MAX(0.1,1-Assumptions!$B$31*(F22/50)))))*J22*Archetypes!$B$15*Archetypes!$B$22)*Assumptions!$B$23+(Archetypes!$B$11*(IF(F22&lt;0,1+Assumptions!$B$32*MIN(1,ABS(F22)/ABS(Assumptions!$B$21)),MAX(0.1,1-Assumptions!$B$31*(F22/50)))))*Assumptions!$B$24+-((Archetypes!$B$11*(IF(F22&lt;0,1+Assumptions!$B$32*MIN(1,ABS(F22)/ABS(Assumptions!$B$21)),MAX(0.1,1-Assumptions!$B$31*(F22/50)))))*Archetypes!$B$16)*(Assumptions!$B$27*(1+Assumptions!$B$28*Archetypes!$B$14)/(1+Assumptions!$B$29*Archetypes!$B$12))+-(Archetypes!$B$11*(IF(F22&lt;0,1+Assumptions!$B$32*MIN(1,ABS(F22)/ABS(Assumptions!$B$21)),MAX(0.1,1-Assumptions!$B$31*(F22/50)))))*Archetypes!$B$17*((Archetypes!$B$31)/100)*Assumptions!$B$30+-Assumptions!$B$25*Assumptions!$B$26)*$E22</f>
        <v>3.70872</v>
      </c>
      <c r="I22" s="18">
        <f>(Archetypes!$B$11*(IF(F22&lt;0,1+Assumptions!$B$32*MIN(1,ABS(F22)/ABS(Assumptions!$B$21)),MAX(0.1,1-Assumptions!$B$31*(F22/50)))))*$E22</f>
        <v>6</v>
      </c>
      <c r="J22" s="19">
        <f>Archetypes!$B$30</f>
        <v>2.1999999999999999E-2</v>
      </c>
      <c r="K22" s="18">
        <f t="shared" si="2"/>
        <v>0.13200000000000001</v>
      </c>
      <c r="L22" s="18">
        <f>((I22-K22)*Archetypes!$B$15)+(K22*Archetypes!$B$15*Archetypes!$B$22)</f>
        <v>0.60264000000000006</v>
      </c>
      <c r="M22" s="18">
        <f>I22*Archetypes!$B$16</f>
        <v>4.5</v>
      </c>
      <c r="N22" s="18">
        <f>(IF(F22&lt;0,Assumptions!$B$8,IF(F22&lt;10,Assumptions!$B$34,IF(F22&lt;25,Assumptions!$B$35,Assumptions!$B$36))))*((((Archetypes!$B$5*Assumptions!$B$4+Archetypes!$B$6*Assumptions!$B$5)*60))+(Assumptions!$B$6*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$20)+((Archetypes!$B$11*(IF(F22&lt;0,1+Assumptions!$B$32*MIN(1,ABS(F22)/ABS(Assumptions!$B$21)),MAX(0.1,1-Assumptions!$B$31*(F22/50)))))*J22*Archetypes!$B$20*Archetypes!$B$21)*Assumptions!$B$18)*(IF($D22=1,1,Assumptions!$B$7)))+((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$15)*(Archetypes!$B$13*IF(F22&lt;0,1-Assumptions!$B$33*MIN(1,ABS(F22)/ABS(Assumptions!$B$21)),1))*5)+(((Archetypes!$B$11*(IF(F22&lt;0,1+Assumptions!$B$32*MIN(1,ABS(F22)/ABS(Assumptions!$B$21)),MAX(0.1,1-Assumptions!$B$31*(F22/50)))))*J22*Archetypes!$B$15*Archetypes!$B$22)*(Archetypes!$B$13*IF(F22&lt;0,1-Assumptions!$B$33*MIN(1,ABS(F22)/ABS(Assumptions!$B$21)),1))*5*Assumptions!$B$18))*IF(F22&lt;0,Assumptions!$B$9,1)))*$E22</f>
        <v>1103.7113999999999</v>
      </c>
      <c r="O22" s="18">
        <f>(O21)+(N22)-(MAX(0,((O21)+(N22)-(P22)))*(IF(Archetypes!$B$27="",Assumptions!$B$11,Archetypes!$B$27)))</f>
        <v>4500.2655230227792</v>
      </c>
      <c r="P22" s="18">
        <f>Archetypes!$B$33</f>
        <v>25.423199999999998</v>
      </c>
      <c r="Q22" s="18">
        <f t="shared" si="3"/>
        <v>4474.8423230227791</v>
      </c>
      <c r="S22" s="18">
        <f t="shared" si="9"/>
        <v>107.63608171572899</v>
      </c>
      <c r="T22" s="18">
        <f>MAX(Assumptions!$B$21,(S22)+(U22))</f>
        <v>110.11241885858614</v>
      </c>
      <c r="U22" s="18">
        <f>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$15)*Assumptions!$B$22+((Archetypes!$C$11*(IF(S22&lt;0,1+Assumptions!$B$32*MIN(1,ABS(S22)/ABS(Assumptions!$B$21)),MAX(0.1,1-Assumptions!$B$31*(S22/50)))))*W22*Archetypes!$C$15*Archetypes!$C$22)*Assumptions!$B$23+(Archetypes!$C$11*(IF(S22&lt;0,1+Assumptions!$B$32*MIN(1,ABS(S22)/ABS(Assumptions!$B$21)),MAX(0.1,1-Assumptions!$B$31*(S22/50)))))*Assumptions!$B$24+-((Archetypes!$C$11*(IF(S22&lt;0,1+Assumptions!$B$32*MIN(1,ABS(S22)/ABS(Assumptions!$B$21)),MAX(0.1,1-Assumptions!$B$31*(S22/50)))))*Archetypes!$C$16)*(Assumptions!$B$27*(1+Assumptions!$B$28*Archetypes!$C$14)/(1+Assumptions!$B$29*Archetypes!$C$12))+-(Archetypes!$C$11*(IF(S22&lt;0,1+Assumptions!$B$32*MIN(1,ABS(S22)/ABS(Assumptions!$B$21)),MAX(0.1,1-Assumptions!$B$31*(S22/50)))))*Archetypes!$C$17*((Archetypes!$C$31)/100)*Assumptions!$B$30+-Assumptions!$B$25*Assumptions!$B$26)*$E22</f>
        <v>2.4763371428571439</v>
      </c>
      <c r="V22" s="18">
        <f>(Archetypes!$C$11*(IF(S22&lt;0,1+Assumptions!$B$32*MIN(1,ABS(S22)/ABS(Assumptions!$B$21)),MAX(0.1,1-Assumptions!$B$31*(S22/50)))))*$E22</f>
        <v>3.6000000000000005</v>
      </c>
      <c r="W22" s="19">
        <f>Archetypes!$C$30</f>
        <v>3.7999999999999999E-2</v>
      </c>
      <c r="X22" s="18">
        <f t="shared" si="4"/>
        <v>0.1368</v>
      </c>
      <c r="Y22" s="18">
        <f>((V22-X22)*Archetypes!$C$15)+(X22*Archetypes!$C$15*Archetypes!$C$22)</f>
        <v>1.8205200000000004</v>
      </c>
      <c r="Z22" s="18">
        <f>V22*Archetypes!$C$16</f>
        <v>1.6200000000000003</v>
      </c>
      <c r="AA22" s="18">
        <f>(IF(S22&lt;0,Assumptions!$B$8,IF(S22&lt;10,Assumptions!$B$34,IF(S22&lt;25,Assumptions!$B$35,Assumptions!$B$36))))*((((Archetypes!$C$5*Assumptions!$B$4+Archetypes!$C$6*Assumptions!$B$5)*60))+(Assumptions!$B$6*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$20)+((Archetypes!$C$11*(IF(S22&lt;0,1+Assumptions!$B$32*MIN(1,ABS(S22)/ABS(Assumptions!$B$21)),MAX(0.1,1-Assumptions!$B$31*(S22/50)))))*W22*Archetypes!$C$20*Archetypes!$C$21)*Assumptions!$B$18)*(IF($D22=1,1,Assumptions!$B$7)))+((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$15)*(Archetypes!$C$13*IF(S22&lt;0,1-Assumptions!$B$33*MIN(1,ABS(S22)/ABS(Assumptions!$B$21)),1))*5)+(((Archetypes!$C$11*(IF(S22&lt;0,1+Assumptions!$B$32*MIN(1,ABS(S22)/ABS(Assumptions!$B$21)),MAX(0.1,1-Assumptions!$B$31*(S22/50)))))*W22*Archetypes!$C$15*Archetypes!$C$22)*(Archetypes!$C$13*IF(S22&lt;0,1-Assumptions!$B$33*MIN(1,ABS(S22)/ABS(Assumptions!$B$21)),1))*5*Assumptions!$B$18))*IF(S22&lt;0,Assumptions!$B$9,1)))*$E22</f>
        <v>4257.4942799999999</v>
      </c>
      <c r="AB22" s="18">
        <f>(AB21)+(AA22)-(MAX(0,((AB21)+(AA22)-(AC22)))*(IF(Archetypes!$C$27="",Assumptions!$B$11,Archetypes!$C$27)))</f>
        <v>12977.053254774653</v>
      </c>
      <c r="AC22" s="18">
        <f>Archetypes!$C$33</f>
        <v>90.34</v>
      </c>
      <c r="AD22" s="18">
        <f t="shared" si="5"/>
        <v>12886.713254774653</v>
      </c>
      <c r="AF22" s="18">
        <f t="shared" si="10"/>
        <v>94.736426766788341</v>
      </c>
      <c r="AG22" s="18">
        <f>MAX(Assumptions!$B$21,(AF22)+(AH22))</f>
        <v>96.456842766788341</v>
      </c>
      <c r="AH22" s="18">
        <f>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$15)*Assumptions!$B$22+((Archetypes!$D$11*(IF(AF22&lt;0,1+Assumptions!$B$32*MIN(1,ABS(AF22)/ABS(Assumptions!$B$21)),MAX(0.1,1-Assumptions!$B$31*(AF22/50)))))*AJ22*Archetypes!$D$15*Archetypes!$D$22)*Assumptions!$B$23+(Archetypes!$D$11*(IF(AF22&lt;0,1+Assumptions!$B$32*MIN(1,ABS(AF22)/ABS(Assumptions!$B$21)),MAX(0.1,1-Assumptions!$B$31*(AF22/50)))))*Assumptions!$B$24+-((Archetypes!$D$11*(IF(AF22&lt;0,1+Assumptions!$B$32*MIN(1,ABS(AF22)/ABS(Assumptions!$B$21)),MAX(0.1,1-Assumptions!$B$31*(AF22/50)))))*Archetypes!$D$16)*(Assumptions!$B$27*(1+Assumptions!$B$28*Archetypes!$D$14)/(1+Assumptions!$B$29*Archetypes!$D$12))+-(Archetypes!$D$11*(IF(AF22&lt;0,1+Assumptions!$B$32*MIN(1,ABS(AF22)/ABS(Assumptions!$B$21)),MAX(0.1,1-Assumptions!$B$31*(AF22/50)))))*Archetypes!$D$17*((Archetypes!$D$31)/100)*Assumptions!$B$30+-Assumptions!$B$25*Assumptions!$B$26)*$E22</f>
        <v>1.7204160000000006</v>
      </c>
      <c r="AI22" s="18">
        <f>(Archetypes!$D$11*(IF(AF22&lt;0,1+Assumptions!$B$32*MIN(1,ABS(AF22)/ABS(Assumptions!$B$21)),MAX(0.1,1-Assumptions!$B$31*(AF22/50)))))*$E22</f>
        <v>1.8000000000000003</v>
      </c>
      <c r="AJ22" s="19">
        <f>Archetypes!$D$30</f>
        <v>0.10400000000000001</v>
      </c>
      <c r="AK22" s="18">
        <f t="shared" si="6"/>
        <v>0.18720000000000003</v>
      </c>
      <c r="AL22" s="18">
        <f>((AI22-AK22)*Archetypes!$D$15)+(AK22*Archetypes!$D$15*Archetypes!$D$22)</f>
        <v>2.8123200000000006</v>
      </c>
      <c r="AM22" s="18">
        <f>AI22*Archetypes!$D$16</f>
        <v>0.3600000000000001</v>
      </c>
      <c r="AN22" s="18">
        <f>(IF(AF22&lt;0,Assumptions!$B$8,IF(AF22&lt;10,Assumptions!$B$34,IF(AF22&lt;25,Assumptions!$B$35,Assumptions!$B$36))))*((((Archetypes!$D$5*Assumptions!$B$4+Archetypes!$D$6*Assumptions!$B$5)*60))+(Assumptions!$B$6*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$20)+((Archetypes!$D$11*(IF(AF22&lt;0,1+Assumptions!$B$32*MIN(1,ABS(AF22)/ABS(Assumptions!$B$21)),MAX(0.1,1-Assumptions!$B$31*(AF22/50)))))*AJ22*Archetypes!$D$20*Archetypes!$D$21)*Assumptions!$B$18)*(IF($D22=1,1,Assumptions!$B$7)))+((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$15)*(Archetypes!$D$13*IF(AF22&lt;0,1-Assumptions!$B$33*MIN(1,ABS(AF22)/ABS(Assumptions!$B$21)),1))*5)+(((Archetypes!$D$11*(IF(AF22&lt;0,1+Assumptions!$B$32*MIN(1,ABS(AF22)/ABS(Assumptions!$B$21)),MAX(0.1,1-Assumptions!$B$31*(AF22/50)))))*AJ22*Archetypes!$D$15*Archetypes!$D$22)*(Archetypes!$D$13*IF(AF22&lt;0,1-Assumptions!$B$33*MIN(1,ABS(AF22)/ABS(Assumptions!$B$21)),1))*5*Assumptions!$B$18))*IF(AF22&lt;0,Assumptions!$B$9,1)))*$E22</f>
        <v>6861.8204999999998</v>
      </c>
      <c r="AO22" s="18">
        <f>(AO21)+(AN22)-(MAX(0,((AO21)+(AN22)-(AP22)))*(IF(Archetypes!$D$27="",Assumptions!$B$11,Archetypes!$D$27)))</f>
        <v>16477.756704986637</v>
      </c>
      <c r="AP22" s="18">
        <f>Archetypes!$D$33</f>
        <v>201.32916645159378</v>
      </c>
      <c r="AQ22" s="18">
        <f t="shared" si="7"/>
        <v>16276.427538535043</v>
      </c>
    </row>
    <row r="23" spans="1:43" x14ac:dyDescent="0.25">
      <c r="A23" s="14">
        <v>114</v>
      </c>
      <c r="B23" s="14">
        <f t="shared" si="0"/>
        <v>5</v>
      </c>
      <c r="C23" s="14">
        <f t="shared" si="1"/>
        <v>18</v>
      </c>
      <c r="D23" s="15">
        <f>IF(C23&lt;Assumptions!$B$10,1,0)</f>
        <v>0</v>
      </c>
      <c r="E23" s="15">
        <v>6</v>
      </c>
      <c r="F23" s="18">
        <f t="shared" si="8"/>
        <v>134.07613767128578</v>
      </c>
      <c r="G23" s="18">
        <f>MAX(Assumptions!$B$21,(F23)+(H23))</f>
        <v>137.78485767128578</v>
      </c>
      <c r="H23" s="18">
        <f>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$15)*Assumptions!$B$22+((Archetypes!$B$11*(IF(F23&lt;0,1+Assumptions!$B$32*MIN(1,ABS(F23)/ABS(Assumptions!$B$21)),MAX(0.1,1-Assumptions!$B$31*(F23/50)))))*J23*Archetypes!$B$15*Archetypes!$B$22)*Assumptions!$B$23+(Archetypes!$B$11*(IF(F23&lt;0,1+Assumptions!$B$32*MIN(1,ABS(F23)/ABS(Assumptions!$B$21)),MAX(0.1,1-Assumptions!$B$31*(F23/50)))))*Assumptions!$B$24+-((Archetypes!$B$11*(IF(F23&lt;0,1+Assumptions!$B$32*MIN(1,ABS(F23)/ABS(Assumptions!$B$21)),MAX(0.1,1-Assumptions!$B$31*(F23/50)))))*Archetypes!$B$16)*(Assumptions!$B$27*(1+Assumptions!$B$28*Archetypes!$B$14)/(1+Assumptions!$B$29*Archetypes!$B$12))+-(Archetypes!$B$11*(IF(F23&lt;0,1+Assumptions!$B$32*MIN(1,ABS(F23)/ABS(Assumptions!$B$21)),MAX(0.1,1-Assumptions!$B$31*(F23/50)))))*Archetypes!$B$17*((Archetypes!$B$31)/100)*Assumptions!$B$30+-Assumptions!$B$25*Assumptions!$B$26)*$E23</f>
        <v>3.70872</v>
      </c>
      <c r="I23" s="18">
        <f>(Archetypes!$B$11*(IF(F23&lt;0,1+Assumptions!$B$32*MIN(1,ABS(F23)/ABS(Assumptions!$B$21)),MAX(0.1,1-Assumptions!$B$31*(F23/50)))))*$E23</f>
        <v>6</v>
      </c>
      <c r="J23" s="19">
        <f>Archetypes!$B$30</f>
        <v>2.1999999999999999E-2</v>
      </c>
      <c r="K23" s="18">
        <f t="shared" si="2"/>
        <v>0.13200000000000001</v>
      </c>
      <c r="L23" s="18">
        <f>((I23-K23)*Archetypes!$B$15)+(K23*Archetypes!$B$15*Archetypes!$B$22)</f>
        <v>0.60264000000000006</v>
      </c>
      <c r="M23" s="18">
        <f>I23*Archetypes!$B$16</f>
        <v>4.5</v>
      </c>
      <c r="N23" s="18">
        <f>(IF(F23&lt;0,Assumptions!$B$8,IF(F23&lt;10,Assumptions!$B$34,IF(F23&lt;25,Assumptions!$B$35,Assumptions!$B$36))))*((((Archetypes!$B$5*Assumptions!$B$4+Archetypes!$B$6*Assumptions!$B$5)*60))+(Assumptions!$B$6*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$20)+((Archetypes!$B$11*(IF(F23&lt;0,1+Assumptions!$B$32*MIN(1,ABS(F23)/ABS(Assumptions!$B$21)),MAX(0.1,1-Assumptions!$B$31*(F23/50)))))*J23*Archetypes!$B$20*Archetypes!$B$21)*Assumptions!$B$18)*(IF($D23=1,1,Assumptions!$B$7)))+((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$15)*(Archetypes!$B$13*IF(F23&lt;0,1-Assumptions!$B$33*MIN(1,ABS(F23)/ABS(Assumptions!$B$21)),1))*5)+(((Archetypes!$B$11*(IF(F23&lt;0,1+Assumptions!$B$32*MIN(1,ABS(F23)/ABS(Assumptions!$B$21)),MAX(0.1,1-Assumptions!$B$31*(F23/50)))))*J23*Archetypes!$B$15*Archetypes!$B$22)*(Archetypes!$B$13*IF(F23&lt;0,1-Assumptions!$B$33*MIN(1,ABS(F23)/ABS(Assumptions!$B$21)),1))*5*Assumptions!$B$18))*IF(F23&lt;0,Assumptions!$B$9,1)))*$E23</f>
        <v>1103.7113999999999</v>
      </c>
      <c r="O23" s="18">
        <f>(O22)+(N23)-(MAX(0,((O22)+(N23)-(P23)))*(IF(Archetypes!$B$27="",Assumptions!$B$11,Archetypes!$B$27)))</f>
        <v>4488.2661784182237</v>
      </c>
      <c r="P23" s="18">
        <f>Archetypes!$B$33</f>
        <v>25.423199999999998</v>
      </c>
      <c r="Q23" s="18">
        <f t="shared" si="3"/>
        <v>4462.8429784182235</v>
      </c>
      <c r="S23" s="18">
        <f t="shared" si="9"/>
        <v>110.11241885858614</v>
      </c>
      <c r="T23" s="18">
        <f>MAX(Assumptions!$B$21,(S23)+(U23))</f>
        <v>112.58875600144329</v>
      </c>
      <c r="U23" s="18">
        <f>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$15)*Assumptions!$B$22+((Archetypes!$C$11*(IF(S23&lt;0,1+Assumptions!$B$32*MIN(1,ABS(S23)/ABS(Assumptions!$B$21)),MAX(0.1,1-Assumptions!$B$31*(S23/50)))))*W23*Archetypes!$C$15*Archetypes!$C$22)*Assumptions!$B$23+(Archetypes!$C$11*(IF(S23&lt;0,1+Assumptions!$B$32*MIN(1,ABS(S23)/ABS(Assumptions!$B$21)),MAX(0.1,1-Assumptions!$B$31*(S23/50)))))*Assumptions!$B$24+-((Archetypes!$C$11*(IF(S23&lt;0,1+Assumptions!$B$32*MIN(1,ABS(S23)/ABS(Assumptions!$B$21)),MAX(0.1,1-Assumptions!$B$31*(S23/50)))))*Archetypes!$C$16)*(Assumptions!$B$27*(1+Assumptions!$B$28*Archetypes!$C$14)/(1+Assumptions!$B$29*Archetypes!$C$12))+-(Archetypes!$C$11*(IF(S23&lt;0,1+Assumptions!$B$32*MIN(1,ABS(S23)/ABS(Assumptions!$B$21)),MAX(0.1,1-Assumptions!$B$31*(S23/50)))))*Archetypes!$C$17*((Archetypes!$C$31)/100)*Assumptions!$B$30+-Assumptions!$B$25*Assumptions!$B$26)*$E23</f>
        <v>2.4763371428571439</v>
      </c>
      <c r="V23" s="18">
        <f>(Archetypes!$C$11*(IF(S23&lt;0,1+Assumptions!$B$32*MIN(1,ABS(S23)/ABS(Assumptions!$B$21)),MAX(0.1,1-Assumptions!$B$31*(S23/50)))))*$E23</f>
        <v>3.6000000000000005</v>
      </c>
      <c r="W23" s="19">
        <f>Archetypes!$C$30</f>
        <v>3.7999999999999999E-2</v>
      </c>
      <c r="X23" s="18">
        <f t="shared" si="4"/>
        <v>0.1368</v>
      </c>
      <c r="Y23" s="18">
        <f>((V23-X23)*Archetypes!$C$15)+(X23*Archetypes!$C$15*Archetypes!$C$22)</f>
        <v>1.8205200000000004</v>
      </c>
      <c r="Z23" s="18">
        <f>V23*Archetypes!$C$16</f>
        <v>1.6200000000000003</v>
      </c>
      <c r="AA23" s="18">
        <f>(IF(S23&lt;0,Assumptions!$B$8,IF(S23&lt;10,Assumptions!$B$34,IF(S23&lt;25,Assumptions!$B$35,Assumptions!$B$36))))*((((Archetypes!$C$5*Assumptions!$B$4+Archetypes!$C$6*Assumptions!$B$5)*60))+(Assumptions!$B$6*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$20)+((Archetypes!$C$11*(IF(S23&lt;0,1+Assumptions!$B$32*MIN(1,ABS(S23)/ABS(Assumptions!$B$21)),MAX(0.1,1-Assumptions!$B$31*(S23/50)))))*W23*Archetypes!$C$20*Archetypes!$C$21)*Assumptions!$B$18)*(IF($D23=1,1,Assumptions!$B$7)))+((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$15)*(Archetypes!$C$13*IF(S23&lt;0,1-Assumptions!$B$33*MIN(1,ABS(S23)/ABS(Assumptions!$B$21)),1))*5)+(((Archetypes!$C$11*(IF(S23&lt;0,1+Assumptions!$B$32*MIN(1,ABS(S23)/ABS(Assumptions!$B$21)),MAX(0.1,1-Assumptions!$B$31*(S23/50)))))*W23*Archetypes!$C$15*Archetypes!$C$22)*(Archetypes!$C$13*IF(S23&lt;0,1-Assumptions!$B$33*MIN(1,ABS(S23)/ABS(Assumptions!$B$21)),1))*5*Assumptions!$B$18))*IF(S23&lt;0,Assumptions!$B$9,1)))*$E23</f>
        <v>4257.4942799999999</v>
      </c>
      <c r="AB23" s="18">
        <f>(AB22)+(AA23)-(MAX(0,((AB22)+(AA23)-(AC23)))*(IF(Archetypes!$C$27="",Assumptions!$B$11,Archetypes!$C$27)))</f>
        <v>12948.49565108099</v>
      </c>
      <c r="AC23" s="18">
        <f>Archetypes!$C$33</f>
        <v>90.34</v>
      </c>
      <c r="AD23" s="18">
        <f t="shared" si="5"/>
        <v>12858.15565108099</v>
      </c>
      <c r="AF23" s="18">
        <f t="shared" si="10"/>
        <v>96.456842766788341</v>
      </c>
      <c r="AG23" s="18">
        <f>MAX(Assumptions!$B$21,(AF23)+(AH23))</f>
        <v>98.177258766788341</v>
      </c>
      <c r="AH23" s="18">
        <f>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$15)*Assumptions!$B$22+((Archetypes!$D$11*(IF(AF23&lt;0,1+Assumptions!$B$32*MIN(1,ABS(AF23)/ABS(Assumptions!$B$21)),MAX(0.1,1-Assumptions!$B$31*(AF23/50)))))*AJ23*Archetypes!$D$15*Archetypes!$D$22)*Assumptions!$B$23+(Archetypes!$D$11*(IF(AF23&lt;0,1+Assumptions!$B$32*MIN(1,ABS(AF23)/ABS(Assumptions!$B$21)),MAX(0.1,1-Assumptions!$B$31*(AF23/50)))))*Assumptions!$B$24+-((Archetypes!$D$11*(IF(AF23&lt;0,1+Assumptions!$B$32*MIN(1,ABS(AF23)/ABS(Assumptions!$B$21)),MAX(0.1,1-Assumptions!$B$31*(AF23/50)))))*Archetypes!$D$16)*(Assumptions!$B$27*(1+Assumptions!$B$28*Archetypes!$D$14)/(1+Assumptions!$B$29*Archetypes!$D$12))+-(Archetypes!$D$11*(IF(AF23&lt;0,1+Assumptions!$B$32*MIN(1,ABS(AF23)/ABS(Assumptions!$B$21)),MAX(0.1,1-Assumptions!$B$31*(AF23/50)))))*Archetypes!$D$17*((Archetypes!$D$31)/100)*Assumptions!$B$30+-Assumptions!$B$25*Assumptions!$B$26)*$E23</f>
        <v>1.7204160000000006</v>
      </c>
      <c r="AI23" s="18">
        <f>(Archetypes!$D$11*(IF(AF23&lt;0,1+Assumptions!$B$32*MIN(1,ABS(AF23)/ABS(Assumptions!$B$21)),MAX(0.1,1-Assumptions!$B$31*(AF23/50)))))*$E23</f>
        <v>1.8000000000000003</v>
      </c>
      <c r="AJ23" s="19">
        <f>Archetypes!$D$30</f>
        <v>0.10400000000000001</v>
      </c>
      <c r="AK23" s="18">
        <f t="shared" si="6"/>
        <v>0.18720000000000003</v>
      </c>
      <c r="AL23" s="18">
        <f>((AI23-AK23)*Archetypes!$D$15)+(AK23*Archetypes!$D$15*Archetypes!$D$22)</f>
        <v>2.8123200000000006</v>
      </c>
      <c r="AM23" s="18">
        <f>AI23*Archetypes!$D$16</f>
        <v>0.3600000000000001</v>
      </c>
      <c r="AN23" s="18">
        <f>(IF(AF23&lt;0,Assumptions!$B$8,IF(AF23&lt;10,Assumptions!$B$34,IF(AF23&lt;25,Assumptions!$B$35,Assumptions!$B$36))))*((((Archetypes!$D$5*Assumptions!$B$4+Archetypes!$D$6*Assumptions!$B$5)*60))+(Assumptions!$B$6*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$20)+((Archetypes!$D$11*(IF(AF23&lt;0,1+Assumptions!$B$32*MIN(1,ABS(AF23)/ABS(Assumptions!$B$21)),MAX(0.1,1-Assumptions!$B$31*(AF23/50)))))*AJ23*Archetypes!$D$20*Archetypes!$D$21)*Assumptions!$B$18)*(IF($D23=1,1,Assumptions!$B$7)))+((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$15)*(Archetypes!$D$13*IF(AF23&lt;0,1-Assumptions!$B$33*MIN(1,ABS(AF23)/ABS(Assumptions!$B$21)),1))*5)+(((Archetypes!$D$11*(IF(AF23&lt;0,1+Assumptions!$B$32*MIN(1,ABS(AF23)/ABS(Assumptions!$B$21)),MAX(0.1,1-Assumptions!$B$31*(AF23/50)))))*AJ23*Archetypes!$D$15*Archetypes!$D$22)*(Archetypes!$D$13*IF(AF23&lt;0,1-Assumptions!$B$33*MIN(1,ABS(AF23)/ABS(Assumptions!$B$21)),1))*5*Assumptions!$B$18))*IF(AF23&lt;0,Assumptions!$B$9,1)))*$E23</f>
        <v>6861.8204999999998</v>
      </c>
      <c r="AO23" s="18">
        <f>(AO22)+(AN23)-(MAX(0,((AO22)+(AN23)-(AP23)))*(IF(Archetypes!$D$27="",Assumptions!$B$11,Archetypes!$D$27)))</f>
        <v>16398.102793426122</v>
      </c>
      <c r="AP23" s="18">
        <f>Archetypes!$D$33</f>
        <v>201.32916645159378</v>
      </c>
      <c r="AQ23" s="18">
        <f t="shared" si="7"/>
        <v>16196.773626974527</v>
      </c>
    </row>
    <row r="24" spans="1:43" x14ac:dyDescent="0.25">
      <c r="A24" s="14">
        <v>120</v>
      </c>
      <c r="B24" s="14">
        <f t="shared" si="0"/>
        <v>6</v>
      </c>
      <c r="C24" s="14">
        <f t="shared" si="1"/>
        <v>0</v>
      </c>
      <c r="D24" s="15">
        <f>IF(C24&lt;Assumptions!$B$10,1,0)</f>
        <v>1</v>
      </c>
      <c r="E24" s="15">
        <v>6</v>
      </c>
      <c r="F24" s="18">
        <f t="shared" si="8"/>
        <v>137.78485767128578</v>
      </c>
      <c r="G24" s="18">
        <f>MAX(Assumptions!$B$21,(F24)+(H24))</f>
        <v>141.49357767128578</v>
      </c>
      <c r="H24" s="18">
        <f>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$15)*Assumptions!$B$22+((Archetypes!$B$11*(IF(F24&lt;0,1+Assumptions!$B$32*MIN(1,ABS(F24)/ABS(Assumptions!$B$21)),MAX(0.1,1-Assumptions!$B$31*(F24/50)))))*J24*Archetypes!$B$15*Archetypes!$B$22)*Assumptions!$B$23+(Archetypes!$B$11*(IF(F24&lt;0,1+Assumptions!$B$32*MIN(1,ABS(F24)/ABS(Assumptions!$B$21)),MAX(0.1,1-Assumptions!$B$31*(F24/50)))))*Assumptions!$B$24+-((Archetypes!$B$11*(IF(F24&lt;0,1+Assumptions!$B$32*MIN(1,ABS(F24)/ABS(Assumptions!$B$21)),MAX(0.1,1-Assumptions!$B$31*(F24/50)))))*Archetypes!$B$16)*(Assumptions!$B$27*(1+Assumptions!$B$28*Archetypes!$B$14)/(1+Assumptions!$B$29*Archetypes!$B$12))+-(Archetypes!$B$11*(IF(F24&lt;0,1+Assumptions!$B$32*MIN(1,ABS(F24)/ABS(Assumptions!$B$21)),MAX(0.1,1-Assumptions!$B$31*(F24/50)))))*Archetypes!$B$17*((Archetypes!$B$31)/100)*Assumptions!$B$30+-Assumptions!$B$25*Assumptions!$B$26)*$E24</f>
        <v>3.70872</v>
      </c>
      <c r="I24" s="18">
        <f>(Archetypes!$B$11*(IF(F24&lt;0,1+Assumptions!$B$32*MIN(1,ABS(F24)/ABS(Assumptions!$B$21)),MAX(0.1,1-Assumptions!$B$31*(F24/50)))))*$E24</f>
        <v>6</v>
      </c>
      <c r="J24" s="19">
        <f>Archetypes!$B$30</f>
        <v>2.1999999999999999E-2</v>
      </c>
      <c r="K24" s="18">
        <f t="shared" si="2"/>
        <v>0.13200000000000001</v>
      </c>
      <c r="L24" s="18">
        <f>((I24-K24)*Archetypes!$B$15)+(K24*Archetypes!$B$15*Archetypes!$B$22)</f>
        <v>0.60264000000000006</v>
      </c>
      <c r="M24" s="18">
        <f>I24*Archetypes!$B$16</f>
        <v>4.5</v>
      </c>
      <c r="N24" s="18">
        <f>(IF(F24&lt;0,Assumptions!$B$8,IF(F24&lt;10,Assumptions!$B$34,IF(F24&lt;25,Assumptions!$B$35,Assumptions!$B$36))))*((((Archetypes!$B$5*Assumptions!$B$4+Archetypes!$B$6*Assumptions!$B$5)*60))+(Assumptions!$B$6*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$20)+((Archetypes!$B$11*(IF(F24&lt;0,1+Assumptions!$B$32*MIN(1,ABS(F24)/ABS(Assumptions!$B$21)),MAX(0.1,1-Assumptions!$B$31*(F24/50)))))*J24*Archetypes!$B$20*Archetypes!$B$21)*Assumptions!$B$18)*(IF($D24=1,1,Assumptions!$B$7)))+((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$15)*(Archetypes!$B$13*IF(F24&lt;0,1-Assumptions!$B$33*MIN(1,ABS(F24)/ABS(Assumptions!$B$21)),1))*5)+(((Archetypes!$B$11*(IF(F24&lt;0,1+Assumptions!$B$32*MIN(1,ABS(F24)/ABS(Assumptions!$B$21)),MAX(0.1,1-Assumptions!$B$31*(F24/50)))))*J24*Archetypes!$B$15*Archetypes!$B$22)*(Archetypes!$B$13*IF(F24&lt;0,1-Assumptions!$B$33*MIN(1,ABS(F24)/ABS(Assumptions!$B$21)),1))*5*Assumptions!$B$18))*IF(F24&lt;0,Assumptions!$B$9,1)))*$E24</f>
        <v>1178.4672</v>
      </c>
      <c r="O24" s="18">
        <f>(O23)+(N24)-(MAX(0,((O23)+(N24)-(P24)))*(IF(Archetypes!$B$27="",Assumptions!$B$11,Archetypes!$B$27)))</f>
        <v>4538.4713427345787</v>
      </c>
      <c r="P24" s="18">
        <f>Archetypes!$B$33</f>
        <v>25.423199999999998</v>
      </c>
      <c r="Q24" s="18">
        <f t="shared" si="3"/>
        <v>4513.0481427345785</v>
      </c>
      <c r="S24" s="18">
        <f t="shared" si="9"/>
        <v>112.58875600144329</v>
      </c>
      <c r="T24" s="18">
        <f>MAX(Assumptions!$B$21,(S24)+(U24))</f>
        <v>115.06509314430043</v>
      </c>
      <c r="U24" s="18">
        <f>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$15)*Assumptions!$B$22+((Archetypes!$C$11*(IF(S24&lt;0,1+Assumptions!$B$32*MIN(1,ABS(S24)/ABS(Assumptions!$B$21)),MAX(0.1,1-Assumptions!$B$31*(S24/50)))))*W24*Archetypes!$C$15*Archetypes!$C$22)*Assumptions!$B$23+(Archetypes!$C$11*(IF(S24&lt;0,1+Assumptions!$B$32*MIN(1,ABS(S24)/ABS(Assumptions!$B$21)),MAX(0.1,1-Assumptions!$B$31*(S24/50)))))*Assumptions!$B$24+-((Archetypes!$C$11*(IF(S24&lt;0,1+Assumptions!$B$32*MIN(1,ABS(S24)/ABS(Assumptions!$B$21)),MAX(0.1,1-Assumptions!$B$31*(S24/50)))))*Archetypes!$C$16)*(Assumptions!$B$27*(1+Assumptions!$B$28*Archetypes!$C$14)/(1+Assumptions!$B$29*Archetypes!$C$12))+-(Archetypes!$C$11*(IF(S24&lt;0,1+Assumptions!$B$32*MIN(1,ABS(S24)/ABS(Assumptions!$B$21)),MAX(0.1,1-Assumptions!$B$31*(S24/50)))))*Archetypes!$C$17*((Archetypes!$C$31)/100)*Assumptions!$B$30+-Assumptions!$B$25*Assumptions!$B$26)*$E24</f>
        <v>2.4763371428571439</v>
      </c>
      <c r="V24" s="18">
        <f>(Archetypes!$C$11*(IF(S24&lt;0,1+Assumptions!$B$32*MIN(1,ABS(S24)/ABS(Assumptions!$B$21)),MAX(0.1,1-Assumptions!$B$31*(S24/50)))))*$E24</f>
        <v>3.6000000000000005</v>
      </c>
      <c r="W24" s="19">
        <f>Archetypes!$C$30</f>
        <v>3.7999999999999999E-2</v>
      </c>
      <c r="X24" s="18">
        <f t="shared" si="4"/>
        <v>0.1368</v>
      </c>
      <c r="Y24" s="18">
        <f>((V24-X24)*Archetypes!$C$15)+(X24*Archetypes!$C$15*Archetypes!$C$22)</f>
        <v>1.8205200000000004</v>
      </c>
      <c r="Z24" s="18">
        <f>V24*Archetypes!$C$16</f>
        <v>1.6200000000000003</v>
      </c>
      <c r="AA24" s="18">
        <f>(IF(S24&lt;0,Assumptions!$B$8,IF(S24&lt;10,Assumptions!$B$34,IF(S24&lt;25,Assumptions!$B$35,Assumptions!$B$36))))*((((Archetypes!$C$5*Assumptions!$B$4+Archetypes!$C$6*Assumptions!$B$5)*60))+(Assumptions!$B$6*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$20)+((Archetypes!$C$11*(IF(S24&lt;0,1+Assumptions!$B$32*MIN(1,ABS(S24)/ABS(Assumptions!$B$21)),MAX(0.1,1-Assumptions!$B$31*(S24/50)))))*W24*Archetypes!$C$20*Archetypes!$C$21)*Assumptions!$B$18)*(IF($D24=1,1,Assumptions!$B$7)))+((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$15)*(Archetypes!$C$13*IF(S24&lt;0,1-Assumptions!$B$33*MIN(1,ABS(S24)/ABS(Assumptions!$B$21)),1))*5)+(((Archetypes!$C$11*(IF(S24&lt;0,1+Assumptions!$B$32*MIN(1,ABS(S24)/ABS(Assumptions!$B$21)),MAX(0.1,1-Assumptions!$B$31*(S24/50)))))*W24*Archetypes!$C$15*Archetypes!$C$22)*(Archetypes!$C$13*IF(S24&lt;0,1-Assumptions!$B$33*MIN(1,ABS(S24)/ABS(Assumptions!$B$21)),1))*5*Assumptions!$B$18))*IF(S24&lt;0,Assumptions!$B$9,1)))*$E24</f>
        <v>4462.9335000000001</v>
      </c>
      <c r="AB24" s="18">
        <f>(AB23)+(AA24)-(MAX(0,((AB23)+(AA24)-(AC24)))*(IF(Archetypes!$C$27="",Assumptions!$B$11,Archetypes!$C$27)))</f>
        <v>13081.156863310742</v>
      </c>
      <c r="AC24" s="18">
        <f>Archetypes!$C$33</f>
        <v>90.34</v>
      </c>
      <c r="AD24" s="18">
        <f t="shared" si="5"/>
        <v>12990.816863310742</v>
      </c>
      <c r="AF24" s="18">
        <f t="shared" si="10"/>
        <v>98.177258766788341</v>
      </c>
      <c r="AG24" s="18">
        <f>MAX(Assumptions!$B$21,(AF24)+(AH24))</f>
        <v>99.897674766788342</v>
      </c>
      <c r="AH24" s="18">
        <f>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$15)*Assumptions!$B$22+((Archetypes!$D$11*(IF(AF24&lt;0,1+Assumptions!$B$32*MIN(1,ABS(AF24)/ABS(Assumptions!$B$21)),MAX(0.1,1-Assumptions!$B$31*(AF24/50)))))*AJ24*Archetypes!$D$15*Archetypes!$D$22)*Assumptions!$B$23+(Archetypes!$D$11*(IF(AF24&lt;0,1+Assumptions!$B$32*MIN(1,ABS(AF24)/ABS(Assumptions!$B$21)),MAX(0.1,1-Assumptions!$B$31*(AF24/50)))))*Assumptions!$B$24+-((Archetypes!$D$11*(IF(AF24&lt;0,1+Assumptions!$B$32*MIN(1,ABS(AF24)/ABS(Assumptions!$B$21)),MAX(0.1,1-Assumptions!$B$31*(AF24/50)))))*Archetypes!$D$16)*(Assumptions!$B$27*(1+Assumptions!$B$28*Archetypes!$D$14)/(1+Assumptions!$B$29*Archetypes!$D$12))+-(Archetypes!$D$11*(IF(AF24&lt;0,1+Assumptions!$B$32*MIN(1,ABS(AF24)/ABS(Assumptions!$B$21)),MAX(0.1,1-Assumptions!$B$31*(AF24/50)))))*Archetypes!$D$17*((Archetypes!$D$31)/100)*Assumptions!$B$30+-Assumptions!$B$25*Assumptions!$B$26)*$E24</f>
        <v>1.7204160000000006</v>
      </c>
      <c r="AI24" s="18">
        <f>(Archetypes!$D$11*(IF(AF24&lt;0,1+Assumptions!$B$32*MIN(1,ABS(AF24)/ABS(Assumptions!$B$21)),MAX(0.1,1-Assumptions!$B$31*(AF24/50)))))*$E24</f>
        <v>1.8000000000000003</v>
      </c>
      <c r="AJ24" s="19">
        <f>Archetypes!$D$30</f>
        <v>0.10400000000000001</v>
      </c>
      <c r="AK24" s="18">
        <f t="shared" si="6"/>
        <v>0.18720000000000003</v>
      </c>
      <c r="AL24" s="18">
        <f>((AI24-AK24)*Archetypes!$D$15)+(AK24*Archetypes!$D$15*Archetypes!$D$22)</f>
        <v>2.8123200000000006</v>
      </c>
      <c r="AM24" s="18">
        <f>AI24*Archetypes!$D$16</f>
        <v>0.3600000000000001</v>
      </c>
      <c r="AN24" s="18">
        <f>(IF(AF24&lt;0,Assumptions!$B$8,IF(AF24&lt;10,Assumptions!$B$34,IF(AF24&lt;25,Assumptions!$B$35,Assumptions!$B$36))))*((((Archetypes!$D$5*Assumptions!$B$4+Archetypes!$D$6*Assumptions!$B$5)*60))+(Assumptions!$B$6*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$20)+((Archetypes!$D$11*(IF(AF24&lt;0,1+Assumptions!$B$32*MIN(1,ABS(AF24)/ABS(Assumptions!$B$21)),MAX(0.1,1-Assumptions!$B$31*(AF24/50)))))*AJ24*Archetypes!$D$20*Archetypes!$D$21)*Assumptions!$B$18)*(IF($D24=1,1,Assumptions!$B$7)))+((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$15)*(Archetypes!$D$13*IF(AF24&lt;0,1-Assumptions!$B$33*MIN(1,ABS(AF24)/ABS(Assumptions!$B$21)),1))*5)+(((Archetypes!$D$11*(IF(AF24&lt;0,1+Assumptions!$B$32*MIN(1,ABS(AF24)/ABS(Assumptions!$B$21)),MAX(0.1,1-Assumptions!$B$31*(AF24/50)))))*AJ24*Archetypes!$D$15*Archetypes!$D$22)*(Archetypes!$D$13*IF(AF24&lt;0,1-Assumptions!$B$33*MIN(1,ABS(AF24)/ABS(Assumptions!$B$21)),1))*5*Assumptions!$B$18))*IF(AF24&lt;0,Assumptions!$B$9,1)))*$E24</f>
        <v>7432.1279999999988</v>
      </c>
      <c r="AO24" s="18">
        <f>(AO23)+(AN24)-(MAX(0,((AO23)+(AN24)-(AP24)))*(IF(Archetypes!$D$27="",Assumptions!$B$11,Archetypes!$D$27)))</f>
        <v>16741.560305333762</v>
      </c>
      <c r="AP24" s="18">
        <f>Archetypes!$D$33</f>
        <v>201.32916645159378</v>
      </c>
      <c r="AQ24" s="18">
        <f t="shared" si="7"/>
        <v>16540.231138882169</v>
      </c>
    </row>
    <row r="25" spans="1:43" x14ac:dyDescent="0.25">
      <c r="A25" s="14">
        <v>126</v>
      </c>
      <c r="B25" s="14">
        <f t="shared" si="0"/>
        <v>6</v>
      </c>
      <c r="C25" s="14">
        <f t="shared" si="1"/>
        <v>6</v>
      </c>
      <c r="D25" s="15">
        <f>IF(C25&lt;Assumptions!$B$10,1,0)</f>
        <v>0</v>
      </c>
      <c r="E25" s="15">
        <v>6</v>
      </c>
      <c r="F25" s="18">
        <f t="shared" si="8"/>
        <v>141.49357767128578</v>
      </c>
      <c r="G25" s="18">
        <f>MAX(Assumptions!$B$21,(F25)+(H25))</f>
        <v>145.20229767128578</v>
      </c>
      <c r="H25" s="18">
        <f>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$15)*Assumptions!$B$22+((Archetypes!$B$11*(IF(F25&lt;0,1+Assumptions!$B$32*MIN(1,ABS(F25)/ABS(Assumptions!$B$21)),MAX(0.1,1-Assumptions!$B$31*(F25/50)))))*J25*Archetypes!$B$15*Archetypes!$B$22)*Assumptions!$B$23+(Archetypes!$B$11*(IF(F25&lt;0,1+Assumptions!$B$32*MIN(1,ABS(F25)/ABS(Assumptions!$B$21)),MAX(0.1,1-Assumptions!$B$31*(F25/50)))))*Assumptions!$B$24+-((Archetypes!$B$11*(IF(F25&lt;0,1+Assumptions!$B$32*MIN(1,ABS(F25)/ABS(Assumptions!$B$21)),MAX(0.1,1-Assumptions!$B$31*(F25/50)))))*Archetypes!$B$16)*(Assumptions!$B$27*(1+Assumptions!$B$28*Archetypes!$B$14)/(1+Assumptions!$B$29*Archetypes!$B$12))+-(Archetypes!$B$11*(IF(F25&lt;0,1+Assumptions!$B$32*MIN(1,ABS(F25)/ABS(Assumptions!$B$21)),MAX(0.1,1-Assumptions!$B$31*(F25/50)))))*Archetypes!$B$17*((Archetypes!$B$31)/100)*Assumptions!$B$30+-Assumptions!$B$25*Assumptions!$B$26)*$E25</f>
        <v>3.70872</v>
      </c>
      <c r="I25" s="18">
        <f>(Archetypes!$B$11*(IF(F25&lt;0,1+Assumptions!$B$32*MIN(1,ABS(F25)/ABS(Assumptions!$B$21)),MAX(0.1,1-Assumptions!$B$31*(F25/50)))))*$E25</f>
        <v>6</v>
      </c>
      <c r="J25" s="19">
        <f>Archetypes!$B$30</f>
        <v>2.1999999999999999E-2</v>
      </c>
      <c r="K25" s="18">
        <f t="shared" si="2"/>
        <v>0.13200000000000001</v>
      </c>
      <c r="L25" s="18">
        <f>((I25-K25)*Archetypes!$B$15)+(K25*Archetypes!$B$15*Archetypes!$B$22)</f>
        <v>0.60264000000000006</v>
      </c>
      <c r="M25" s="18">
        <f>I25*Archetypes!$B$16</f>
        <v>4.5</v>
      </c>
      <c r="N25" s="18">
        <f>(IF(F25&lt;0,Assumptions!$B$8,IF(F25&lt;10,Assumptions!$B$34,IF(F25&lt;25,Assumptions!$B$35,Assumptions!$B$36))))*((((Archetypes!$B$5*Assumptions!$B$4+Archetypes!$B$6*Assumptions!$B$5)*60))+(Assumptions!$B$6*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$20)+((Archetypes!$B$11*(IF(F25&lt;0,1+Assumptions!$B$32*MIN(1,ABS(F25)/ABS(Assumptions!$B$21)),MAX(0.1,1-Assumptions!$B$31*(F25/50)))))*J25*Archetypes!$B$20*Archetypes!$B$21)*Assumptions!$B$18)*(IF($D25=1,1,Assumptions!$B$7)))+((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$15)*(Archetypes!$B$13*IF(F25&lt;0,1-Assumptions!$B$33*MIN(1,ABS(F25)/ABS(Assumptions!$B$21)),1))*5)+(((Archetypes!$B$11*(IF(F25&lt;0,1+Assumptions!$B$32*MIN(1,ABS(F25)/ABS(Assumptions!$B$21)),MAX(0.1,1-Assumptions!$B$31*(F25/50)))))*J25*Archetypes!$B$15*Archetypes!$B$22)*(Archetypes!$B$13*IF(F25&lt;0,1-Assumptions!$B$33*MIN(1,ABS(F25)/ABS(Assumptions!$B$21)),1))*5*Assumptions!$B$18))*IF(F25&lt;0,Assumptions!$B$9,1)))*$E25</f>
        <v>1103.7113999999999</v>
      </c>
      <c r="O25" s="18">
        <f>(O24)+(N25)-(MAX(0,((O24)+(N25)-(P25)))*(IF(Archetypes!$B$27="",Assumptions!$B$11,Archetypes!$B$27)))</f>
        <v>4518.8308341876627</v>
      </c>
      <c r="P25" s="18">
        <f>Archetypes!$B$33</f>
        <v>25.423199999999998</v>
      </c>
      <c r="Q25" s="18">
        <f t="shared" si="3"/>
        <v>4493.4076341876626</v>
      </c>
      <c r="S25" s="18">
        <f t="shared" si="9"/>
        <v>115.06509314430043</v>
      </c>
      <c r="T25" s="18">
        <f>MAX(Assumptions!$B$21,(S25)+(U25))</f>
        <v>117.54143028715758</v>
      </c>
      <c r="U25" s="18">
        <f>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$15)*Assumptions!$B$22+((Archetypes!$C$11*(IF(S25&lt;0,1+Assumptions!$B$32*MIN(1,ABS(S25)/ABS(Assumptions!$B$21)),MAX(0.1,1-Assumptions!$B$31*(S25/50)))))*W25*Archetypes!$C$15*Archetypes!$C$22)*Assumptions!$B$23+(Archetypes!$C$11*(IF(S25&lt;0,1+Assumptions!$B$32*MIN(1,ABS(S25)/ABS(Assumptions!$B$21)),MAX(0.1,1-Assumptions!$B$31*(S25/50)))))*Assumptions!$B$24+-((Archetypes!$C$11*(IF(S25&lt;0,1+Assumptions!$B$32*MIN(1,ABS(S25)/ABS(Assumptions!$B$21)),MAX(0.1,1-Assumptions!$B$31*(S25/50)))))*Archetypes!$C$16)*(Assumptions!$B$27*(1+Assumptions!$B$28*Archetypes!$C$14)/(1+Assumptions!$B$29*Archetypes!$C$12))+-(Archetypes!$C$11*(IF(S25&lt;0,1+Assumptions!$B$32*MIN(1,ABS(S25)/ABS(Assumptions!$B$21)),MAX(0.1,1-Assumptions!$B$31*(S25/50)))))*Archetypes!$C$17*((Archetypes!$C$31)/100)*Assumptions!$B$30+-Assumptions!$B$25*Assumptions!$B$26)*$E25</f>
        <v>2.4763371428571439</v>
      </c>
      <c r="V25" s="18">
        <f>(Archetypes!$C$11*(IF(S25&lt;0,1+Assumptions!$B$32*MIN(1,ABS(S25)/ABS(Assumptions!$B$21)),MAX(0.1,1-Assumptions!$B$31*(S25/50)))))*$E25</f>
        <v>3.6000000000000005</v>
      </c>
      <c r="W25" s="19">
        <f>Archetypes!$C$30</f>
        <v>3.7999999999999999E-2</v>
      </c>
      <c r="X25" s="18">
        <f t="shared" si="4"/>
        <v>0.1368</v>
      </c>
      <c r="Y25" s="18">
        <f>((V25-X25)*Archetypes!$C$15)+(X25*Archetypes!$C$15*Archetypes!$C$22)</f>
        <v>1.8205200000000004</v>
      </c>
      <c r="Z25" s="18">
        <f>V25*Archetypes!$C$16</f>
        <v>1.6200000000000003</v>
      </c>
      <c r="AA25" s="18">
        <f>(IF(S25&lt;0,Assumptions!$B$8,IF(S25&lt;10,Assumptions!$B$34,IF(S25&lt;25,Assumptions!$B$35,Assumptions!$B$36))))*((((Archetypes!$C$5*Assumptions!$B$4+Archetypes!$C$6*Assumptions!$B$5)*60))+(Assumptions!$B$6*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$20)+((Archetypes!$C$11*(IF(S25&lt;0,1+Assumptions!$B$32*MIN(1,ABS(S25)/ABS(Assumptions!$B$21)),MAX(0.1,1-Assumptions!$B$31*(S25/50)))))*W25*Archetypes!$C$20*Archetypes!$C$21)*Assumptions!$B$18)*(IF($D25=1,1,Assumptions!$B$7)))+((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$15)*(Archetypes!$C$13*IF(S25&lt;0,1-Assumptions!$B$33*MIN(1,ABS(S25)/ABS(Assumptions!$B$21)),1))*5)+(((Archetypes!$C$11*(IF(S25&lt;0,1+Assumptions!$B$32*MIN(1,ABS(S25)/ABS(Assumptions!$B$21)),MAX(0.1,1-Assumptions!$B$31*(S25/50)))))*W25*Archetypes!$C$15*Archetypes!$C$22)*(Archetypes!$C$13*IF(S25&lt;0,1-Assumptions!$B$33*MIN(1,ABS(S25)/ABS(Assumptions!$B$21)),1))*5*Assumptions!$B$18))*IF(S25&lt;0,Assumptions!$B$9,1)))*$E25</f>
        <v>4257.4942799999999</v>
      </c>
      <c r="AB25" s="18">
        <f>(AB24)+(AA25)-(MAX(0,((AB24)+(AA25)-(AC25)))*(IF(Archetypes!$C$27="",Assumptions!$B$11,Archetypes!$C$27)))</f>
        <v>13026.573357483056</v>
      </c>
      <c r="AC25" s="18">
        <f>Archetypes!$C$33</f>
        <v>90.34</v>
      </c>
      <c r="AD25" s="18">
        <f t="shared" si="5"/>
        <v>12936.233357483055</v>
      </c>
      <c r="AF25" s="18">
        <f t="shared" si="10"/>
        <v>99.897674766788342</v>
      </c>
      <c r="AG25" s="18">
        <f>MAX(Assumptions!$B$21,(AF25)+(AH25))</f>
        <v>101.61809076678834</v>
      </c>
      <c r="AH25" s="18">
        <f>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$15)*Assumptions!$B$22+((Archetypes!$D$11*(IF(AF25&lt;0,1+Assumptions!$B$32*MIN(1,ABS(AF25)/ABS(Assumptions!$B$21)),MAX(0.1,1-Assumptions!$B$31*(AF25/50)))))*AJ25*Archetypes!$D$15*Archetypes!$D$22)*Assumptions!$B$23+(Archetypes!$D$11*(IF(AF25&lt;0,1+Assumptions!$B$32*MIN(1,ABS(AF25)/ABS(Assumptions!$B$21)),MAX(0.1,1-Assumptions!$B$31*(AF25/50)))))*Assumptions!$B$24+-((Archetypes!$D$11*(IF(AF25&lt;0,1+Assumptions!$B$32*MIN(1,ABS(AF25)/ABS(Assumptions!$B$21)),MAX(0.1,1-Assumptions!$B$31*(AF25/50)))))*Archetypes!$D$16)*(Assumptions!$B$27*(1+Assumptions!$B$28*Archetypes!$D$14)/(1+Assumptions!$B$29*Archetypes!$D$12))+-(Archetypes!$D$11*(IF(AF25&lt;0,1+Assumptions!$B$32*MIN(1,ABS(AF25)/ABS(Assumptions!$B$21)),MAX(0.1,1-Assumptions!$B$31*(AF25/50)))))*Archetypes!$D$17*((Archetypes!$D$31)/100)*Assumptions!$B$30+-Assumptions!$B$25*Assumptions!$B$26)*$E25</f>
        <v>1.7204160000000006</v>
      </c>
      <c r="AI25" s="18">
        <f>(Archetypes!$D$11*(IF(AF25&lt;0,1+Assumptions!$B$32*MIN(1,ABS(AF25)/ABS(Assumptions!$B$21)),MAX(0.1,1-Assumptions!$B$31*(AF25/50)))))*$E25</f>
        <v>1.8000000000000003</v>
      </c>
      <c r="AJ25" s="19">
        <f>Archetypes!$D$30</f>
        <v>0.10400000000000001</v>
      </c>
      <c r="AK25" s="18">
        <f t="shared" si="6"/>
        <v>0.18720000000000003</v>
      </c>
      <c r="AL25" s="18">
        <f>((AI25-AK25)*Archetypes!$D$15)+(AK25*Archetypes!$D$15*Archetypes!$D$22)</f>
        <v>2.8123200000000006</v>
      </c>
      <c r="AM25" s="18">
        <f>AI25*Archetypes!$D$16</f>
        <v>0.3600000000000001</v>
      </c>
      <c r="AN25" s="18">
        <f>(IF(AF25&lt;0,Assumptions!$B$8,IF(AF25&lt;10,Assumptions!$B$34,IF(AF25&lt;25,Assumptions!$B$35,Assumptions!$B$36))))*((((Archetypes!$D$5*Assumptions!$B$4+Archetypes!$D$6*Assumptions!$B$5)*60))+(Assumptions!$B$6*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$20)+((Archetypes!$D$11*(IF(AF25&lt;0,1+Assumptions!$B$32*MIN(1,ABS(AF25)/ABS(Assumptions!$B$21)),MAX(0.1,1-Assumptions!$B$31*(AF25/50)))))*AJ25*Archetypes!$D$20*Archetypes!$D$21)*Assumptions!$B$18)*(IF($D25=1,1,Assumptions!$B$7)))+((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$15)*(Archetypes!$D$13*IF(AF25&lt;0,1-Assumptions!$B$33*MIN(1,ABS(AF25)/ABS(Assumptions!$B$21)),1))*5)+(((Archetypes!$D$11*(IF(AF25&lt;0,1+Assumptions!$B$32*MIN(1,ABS(AF25)/ABS(Assumptions!$B$21)),MAX(0.1,1-Assumptions!$B$31*(AF25/50)))))*AJ25*Archetypes!$D$15*Archetypes!$D$22)*(Archetypes!$D$13*IF(AF25&lt;0,1-Assumptions!$B$33*MIN(1,ABS(AF25)/ABS(Assumptions!$B$21)),1))*5*Assumptions!$B$18))*IF(AF25&lt;0,Assumptions!$B$9,1)))*$E25</f>
        <v>6861.8204999999998</v>
      </c>
      <c r="AO25" s="18">
        <f>(AO24)+(AN25)-(MAX(0,((AO24)+(AN25)-(AP25)))*(IF(Archetypes!$D$27="",Assumptions!$B$11,Archetypes!$D$27)))</f>
        <v>16582.765313669111</v>
      </c>
      <c r="AP25" s="18">
        <f>Archetypes!$D$33</f>
        <v>201.32916645159378</v>
      </c>
      <c r="AQ25" s="18">
        <f t="shared" si="7"/>
        <v>16381.436147217517</v>
      </c>
    </row>
    <row r="26" spans="1:43" x14ac:dyDescent="0.25">
      <c r="A26" s="14">
        <v>132</v>
      </c>
      <c r="B26" s="14">
        <f t="shared" si="0"/>
        <v>6</v>
      </c>
      <c r="C26" s="14">
        <f t="shared" si="1"/>
        <v>12</v>
      </c>
      <c r="D26" s="15">
        <f>IF(C26&lt;Assumptions!$B$10,1,0)</f>
        <v>0</v>
      </c>
      <c r="E26" s="15">
        <v>6</v>
      </c>
      <c r="F26" s="18">
        <f t="shared" si="8"/>
        <v>145.20229767128578</v>
      </c>
      <c r="G26" s="18">
        <f>MAX(Assumptions!$B$21,(F26)+(H26))</f>
        <v>148.91101767128578</v>
      </c>
      <c r="H26" s="18">
        <f>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$15)*Assumptions!$B$22+((Archetypes!$B$11*(IF(F26&lt;0,1+Assumptions!$B$32*MIN(1,ABS(F26)/ABS(Assumptions!$B$21)),MAX(0.1,1-Assumptions!$B$31*(F26/50)))))*J26*Archetypes!$B$15*Archetypes!$B$22)*Assumptions!$B$23+(Archetypes!$B$11*(IF(F26&lt;0,1+Assumptions!$B$32*MIN(1,ABS(F26)/ABS(Assumptions!$B$21)),MAX(0.1,1-Assumptions!$B$31*(F26/50)))))*Assumptions!$B$24+-((Archetypes!$B$11*(IF(F26&lt;0,1+Assumptions!$B$32*MIN(1,ABS(F26)/ABS(Assumptions!$B$21)),MAX(0.1,1-Assumptions!$B$31*(F26/50)))))*Archetypes!$B$16)*(Assumptions!$B$27*(1+Assumptions!$B$28*Archetypes!$B$14)/(1+Assumptions!$B$29*Archetypes!$B$12))+-(Archetypes!$B$11*(IF(F26&lt;0,1+Assumptions!$B$32*MIN(1,ABS(F26)/ABS(Assumptions!$B$21)),MAX(0.1,1-Assumptions!$B$31*(F26/50)))))*Archetypes!$B$17*((Archetypes!$B$31)/100)*Assumptions!$B$30+-Assumptions!$B$25*Assumptions!$B$26)*$E26</f>
        <v>3.70872</v>
      </c>
      <c r="I26" s="18">
        <f>(Archetypes!$B$11*(IF(F26&lt;0,1+Assumptions!$B$32*MIN(1,ABS(F26)/ABS(Assumptions!$B$21)),MAX(0.1,1-Assumptions!$B$31*(F26/50)))))*$E26</f>
        <v>6</v>
      </c>
      <c r="J26" s="19">
        <f>Archetypes!$B$30</f>
        <v>2.1999999999999999E-2</v>
      </c>
      <c r="K26" s="18">
        <f t="shared" si="2"/>
        <v>0.13200000000000001</v>
      </c>
      <c r="L26" s="18">
        <f>((I26-K26)*Archetypes!$B$15)+(K26*Archetypes!$B$15*Archetypes!$B$22)</f>
        <v>0.60264000000000006</v>
      </c>
      <c r="M26" s="18">
        <f>I26*Archetypes!$B$16</f>
        <v>4.5</v>
      </c>
      <c r="N26" s="18">
        <f>(IF(F26&lt;0,Assumptions!$B$8,IF(F26&lt;10,Assumptions!$B$34,IF(F26&lt;25,Assumptions!$B$35,Assumptions!$B$36))))*((((Archetypes!$B$5*Assumptions!$B$4+Archetypes!$B$6*Assumptions!$B$5)*60))+(Assumptions!$B$6*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$20)+((Archetypes!$B$11*(IF(F26&lt;0,1+Assumptions!$B$32*MIN(1,ABS(F26)/ABS(Assumptions!$B$21)),MAX(0.1,1-Assumptions!$B$31*(F26/50)))))*J26*Archetypes!$B$20*Archetypes!$B$21)*Assumptions!$B$18)*(IF($D26=1,1,Assumptions!$B$7)))+((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$15)*(Archetypes!$B$13*IF(F26&lt;0,1-Assumptions!$B$33*MIN(1,ABS(F26)/ABS(Assumptions!$B$21)),1))*5)+(((Archetypes!$B$11*(IF(F26&lt;0,1+Assumptions!$B$32*MIN(1,ABS(F26)/ABS(Assumptions!$B$21)),MAX(0.1,1-Assumptions!$B$31*(F26/50)))))*J26*Archetypes!$B$15*Archetypes!$B$22)*(Archetypes!$B$13*IF(F26&lt;0,1-Assumptions!$B$33*MIN(1,ABS(F26)/ABS(Assumptions!$B$21)),1))*5*Assumptions!$B$18))*IF(F26&lt;0,Assumptions!$B$9,1)))*$E26</f>
        <v>1103.7113999999999</v>
      </c>
      <c r="O26" s="18">
        <f>(O25)+(N26)-(MAX(0,((O25)+(N26)-(P26)))*(IF(Archetypes!$B$27="",Assumptions!$B$11,Archetypes!$B$27)))</f>
        <v>4503.1184273501303</v>
      </c>
      <c r="P26" s="18">
        <f>Archetypes!$B$33</f>
        <v>25.423199999999998</v>
      </c>
      <c r="Q26" s="18">
        <f t="shared" si="3"/>
        <v>4477.6952273501302</v>
      </c>
      <c r="S26" s="18">
        <f t="shared" si="9"/>
        <v>117.54143028715758</v>
      </c>
      <c r="T26" s="18">
        <f>MAX(Assumptions!$B$21,(S26)+(U26))</f>
        <v>120.01776743001473</v>
      </c>
      <c r="U26" s="18">
        <f>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$15)*Assumptions!$B$22+((Archetypes!$C$11*(IF(S26&lt;0,1+Assumptions!$B$32*MIN(1,ABS(S26)/ABS(Assumptions!$B$21)),MAX(0.1,1-Assumptions!$B$31*(S26/50)))))*W26*Archetypes!$C$15*Archetypes!$C$22)*Assumptions!$B$23+(Archetypes!$C$11*(IF(S26&lt;0,1+Assumptions!$B$32*MIN(1,ABS(S26)/ABS(Assumptions!$B$21)),MAX(0.1,1-Assumptions!$B$31*(S26/50)))))*Assumptions!$B$24+-((Archetypes!$C$11*(IF(S26&lt;0,1+Assumptions!$B$32*MIN(1,ABS(S26)/ABS(Assumptions!$B$21)),MAX(0.1,1-Assumptions!$B$31*(S26/50)))))*Archetypes!$C$16)*(Assumptions!$B$27*(1+Assumptions!$B$28*Archetypes!$C$14)/(1+Assumptions!$B$29*Archetypes!$C$12))+-(Archetypes!$C$11*(IF(S26&lt;0,1+Assumptions!$B$32*MIN(1,ABS(S26)/ABS(Assumptions!$B$21)),MAX(0.1,1-Assumptions!$B$31*(S26/50)))))*Archetypes!$C$17*((Archetypes!$C$31)/100)*Assumptions!$B$30+-Assumptions!$B$25*Assumptions!$B$26)*$E26</f>
        <v>2.4763371428571439</v>
      </c>
      <c r="V26" s="18">
        <f>(Archetypes!$C$11*(IF(S26&lt;0,1+Assumptions!$B$32*MIN(1,ABS(S26)/ABS(Assumptions!$B$21)),MAX(0.1,1-Assumptions!$B$31*(S26/50)))))*$E26</f>
        <v>3.6000000000000005</v>
      </c>
      <c r="W26" s="19">
        <f>Archetypes!$C$30</f>
        <v>3.7999999999999999E-2</v>
      </c>
      <c r="X26" s="18">
        <f t="shared" si="4"/>
        <v>0.1368</v>
      </c>
      <c r="Y26" s="18">
        <f>((V26-X26)*Archetypes!$C$15)+(X26*Archetypes!$C$15*Archetypes!$C$22)</f>
        <v>1.8205200000000004</v>
      </c>
      <c r="Z26" s="18">
        <f>V26*Archetypes!$C$16</f>
        <v>1.6200000000000003</v>
      </c>
      <c r="AA26" s="18">
        <f>(IF(S26&lt;0,Assumptions!$B$8,IF(S26&lt;10,Assumptions!$B$34,IF(S26&lt;25,Assumptions!$B$35,Assumptions!$B$36))))*((((Archetypes!$C$5*Assumptions!$B$4+Archetypes!$C$6*Assumptions!$B$5)*60))+(Assumptions!$B$6*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$20)+((Archetypes!$C$11*(IF(S26&lt;0,1+Assumptions!$B$32*MIN(1,ABS(S26)/ABS(Assumptions!$B$21)),MAX(0.1,1-Assumptions!$B$31*(S26/50)))))*W26*Archetypes!$C$20*Archetypes!$C$21)*Assumptions!$B$18)*(IF($D26=1,1,Assumptions!$B$7)))+((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$15)*(Archetypes!$C$13*IF(S26&lt;0,1-Assumptions!$B$33*MIN(1,ABS(S26)/ABS(Assumptions!$B$21)),1))*5)+(((Archetypes!$C$11*(IF(S26&lt;0,1+Assumptions!$B$32*MIN(1,ABS(S26)/ABS(Assumptions!$B$21)),MAX(0.1,1-Assumptions!$B$31*(S26/50)))))*W26*Archetypes!$C$15*Archetypes!$C$22)*(Archetypes!$C$13*IF(S26&lt;0,1-Assumptions!$B$33*MIN(1,ABS(S26)/ABS(Assumptions!$B$21)),1))*5*Assumptions!$B$18))*IF(S26&lt;0,Assumptions!$B$9,1)))*$E26</f>
        <v>4257.4942799999999</v>
      </c>
      <c r="AB26" s="18">
        <f>(AB25)+(AA26)-(MAX(0,((AB25)+(AA26)-(AC26)))*(IF(Archetypes!$C$27="",Assumptions!$B$11,Archetypes!$C$27)))</f>
        <v>12985.635728112291</v>
      </c>
      <c r="AC26" s="18">
        <f>Archetypes!$C$33</f>
        <v>90.34</v>
      </c>
      <c r="AD26" s="18">
        <f t="shared" si="5"/>
        <v>12895.295728112291</v>
      </c>
      <c r="AF26" s="18">
        <f t="shared" si="10"/>
        <v>101.61809076678834</v>
      </c>
      <c r="AG26" s="18">
        <f>MAX(Assumptions!$B$21,(AF26)+(AH26))</f>
        <v>103.33850676678834</v>
      </c>
      <c r="AH26" s="18">
        <f>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$15)*Assumptions!$B$22+((Archetypes!$D$11*(IF(AF26&lt;0,1+Assumptions!$B$32*MIN(1,ABS(AF26)/ABS(Assumptions!$B$21)),MAX(0.1,1-Assumptions!$B$31*(AF26/50)))))*AJ26*Archetypes!$D$15*Archetypes!$D$22)*Assumptions!$B$23+(Archetypes!$D$11*(IF(AF26&lt;0,1+Assumptions!$B$32*MIN(1,ABS(AF26)/ABS(Assumptions!$B$21)),MAX(0.1,1-Assumptions!$B$31*(AF26/50)))))*Assumptions!$B$24+-((Archetypes!$D$11*(IF(AF26&lt;0,1+Assumptions!$B$32*MIN(1,ABS(AF26)/ABS(Assumptions!$B$21)),MAX(0.1,1-Assumptions!$B$31*(AF26/50)))))*Archetypes!$D$16)*(Assumptions!$B$27*(1+Assumptions!$B$28*Archetypes!$D$14)/(1+Assumptions!$B$29*Archetypes!$D$12))+-(Archetypes!$D$11*(IF(AF26&lt;0,1+Assumptions!$B$32*MIN(1,ABS(AF26)/ABS(Assumptions!$B$21)),MAX(0.1,1-Assumptions!$B$31*(AF26/50)))))*Archetypes!$D$17*((Archetypes!$D$31)/100)*Assumptions!$B$30+-Assumptions!$B$25*Assumptions!$B$26)*$E26</f>
        <v>1.7204160000000006</v>
      </c>
      <c r="AI26" s="18">
        <f>(Archetypes!$D$11*(IF(AF26&lt;0,1+Assumptions!$B$32*MIN(1,ABS(AF26)/ABS(Assumptions!$B$21)),MAX(0.1,1-Assumptions!$B$31*(AF26/50)))))*$E26</f>
        <v>1.8000000000000003</v>
      </c>
      <c r="AJ26" s="19">
        <f>Archetypes!$D$30</f>
        <v>0.10400000000000001</v>
      </c>
      <c r="AK26" s="18">
        <f t="shared" si="6"/>
        <v>0.18720000000000003</v>
      </c>
      <c r="AL26" s="18">
        <f>((AI26-AK26)*Archetypes!$D$15)+(AK26*Archetypes!$D$15*Archetypes!$D$22)</f>
        <v>2.8123200000000006</v>
      </c>
      <c r="AM26" s="18">
        <f>AI26*Archetypes!$D$16</f>
        <v>0.3600000000000001</v>
      </c>
      <c r="AN26" s="18">
        <f>(IF(AF26&lt;0,Assumptions!$B$8,IF(AF26&lt;10,Assumptions!$B$34,IF(AF26&lt;25,Assumptions!$B$35,Assumptions!$B$36))))*((((Archetypes!$D$5*Assumptions!$B$4+Archetypes!$D$6*Assumptions!$B$5)*60))+(Assumptions!$B$6*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$20)+((Archetypes!$D$11*(IF(AF26&lt;0,1+Assumptions!$B$32*MIN(1,ABS(AF26)/ABS(Assumptions!$B$21)),MAX(0.1,1-Assumptions!$B$31*(AF26/50)))))*AJ26*Archetypes!$D$20*Archetypes!$D$21)*Assumptions!$B$18)*(IF($D26=1,1,Assumptions!$B$7)))+((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$15)*(Archetypes!$D$13*IF(AF26&lt;0,1-Assumptions!$B$33*MIN(1,ABS(AF26)/ABS(Assumptions!$B$21)),1))*5)+(((Archetypes!$D$11*(IF(AF26&lt;0,1+Assumptions!$B$32*MIN(1,ABS(AF26)/ABS(Assumptions!$B$21)),MAX(0.1,1-Assumptions!$B$31*(AF26/50)))))*AJ26*Archetypes!$D$15*Archetypes!$D$22)*(Archetypes!$D$13*IF(AF26&lt;0,1-Assumptions!$B$33*MIN(1,ABS(AF26)/ABS(Assumptions!$B$21)),1))*5*Assumptions!$B$18))*IF(AF26&lt;0,Assumptions!$B$9,1)))*$E26</f>
        <v>6861.8204999999998</v>
      </c>
      <c r="AO26" s="18">
        <f>(AO25)+(AN26)-(MAX(0,((AO25)+(AN26)-(AP26)))*(IF(Archetypes!$D$27="",Assumptions!$B$11,Archetypes!$D$27)))</f>
        <v>16471.608819503854</v>
      </c>
      <c r="AP26" s="18">
        <f>Archetypes!$D$33</f>
        <v>201.32916645159378</v>
      </c>
      <c r="AQ26" s="18">
        <f t="shared" si="7"/>
        <v>16270.279653052259</v>
      </c>
    </row>
    <row r="27" spans="1:43" x14ac:dyDescent="0.25">
      <c r="A27" s="14">
        <v>138</v>
      </c>
      <c r="B27" s="14">
        <f t="shared" si="0"/>
        <v>6</v>
      </c>
      <c r="C27" s="14">
        <f t="shared" si="1"/>
        <v>18</v>
      </c>
      <c r="D27" s="15">
        <f>IF(C27&lt;Assumptions!$B$10,1,0)</f>
        <v>0</v>
      </c>
      <c r="E27" s="15">
        <v>6</v>
      </c>
      <c r="F27" s="18">
        <f t="shared" si="8"/>
        <v>148.91101767128578</v>
      </c>
      <c r="G27" s="18">
        <f>MAX(Assumptions!$B$21,(F27)+(H27))</f>
        <v>152.61973767128578</v>
      </c>
      <c r="H27" s="18">
        <f>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$15)*Assumptions!$B$22+((Archetypes!$B$11*(IF(F27&lt;0,1+Assumptions!$B$32*MIN(1,ABS(F27)/ABS(Assumptions!$B$21)),MAX(0.1,1-Assumptions!$B$31*(F27/50)))))*J27*Archetypes!$B$15*Archetypes!$B$22)*Assumptions!$B$23+(Archetypes!$B$11*(IF(F27&lt;0,1+Assumptions!$B$32*MIN(1,ABS(F27)/ABS(Assumptions!$B$21)),MAX(0.1,1-Assumptions!$B$31*(F27/50)))))*Assumptions!$B$24+-((Archetypes!$B$11*(IF(F27&lt;0,1+Assumptions!$B$32*MIN(1,ABS(F27)/ABS(Assumptions!$B$21)),MAX(0.1,1-Assumptions!$B$31*(F27/50)))))*Archetypes!$B$16)*(Assumptions!$B$27*(1+Assumptions!$B$28*Archetypes!$B$14)/(1+Assumptions!$B$29*Archetypes!$B$12))+-(Archetypes!$B$11*(IF(F27&lt;0,1+Assumptions!$B$32*MIN(1,ABS(F27)/ABS(Assumptions!$B$21)),MAX(0.1,1-Assumptions!$B$31*(F27/50)))))*Archetypes!$B$17*((Archetypes!$B$31)/100)*Assumptions!$B$30+-Assumptions!$B$25*Assumptions!$B$26)*$E27</f>
        <v>3.70872</v>
      </c>
      <c r="I27" s="18">
        <f>(Archetypes!$B$11*(IF(F27&lt;0,1+Assumptions!$B$32*MIN(1,ABS(F27)/ABS(Assumptions!$B$21)),MAX(0.1,1-Assumptions!$B$31*(F27/50)))))*$E27</f>
        <v>6</v>
      </c>
      <c r="J27" s="19">
        <f>Archetypes!$B$30</f>
        <v>2.1999999999999999E-2</v>
      </c>
      <c r="K27" s="18">
        <f t="shared" si="2"/>
        <v>0.13200000000000001</v>
      </c>
      <c r="L27" s="18">
        <f>((I27-K27)*Archetypes!$B$15)+(K27*Archetypes!$B$15*Archetypes!$B$22)</f>
        <v>0.60264000000000006</v>
      </c>
      <c r="M27" s="18">
        <f>I27*Archetypes!$B$16</f>
        <v>4.5</v>
      </c>
      <c r="N27" s="18">
        <f>(IF(F27&lt;0,Assumptions!$B$8,IF(F27&lt;10,Assumptions!$B$34,IF(F27&lt;25,Assumptions!$B$35,Assumptions!$B$36))))*((((Archetypes!$B$5*Assumptions!$B$4+Archetypes!$B$6*Assumptions!$B$5)*60))+(Assumptions!$B$6*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$20)+((Archetypes!$B$11*(IF(F27&lt;0,1+Assumptions!$B$32*MIN(1,ABS(F27)/ABS(Assumptions!$B$21)),MAX(0.1,1-Assumptions!$B$31*(F27/50)))))*J27*Archetypes!$B$20*Archetypes!$B$21)*Assumptions!$B$18)*(IF($D27=1,1,Assumptions!$B$7)))+((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$15)*(Archetypes!$B$13*IF(F27&lt;0,1-Assumptions!$B$33*MIN(1,ABS(F27)/ABS(Assumptions!$B$21)),1))*5)+(((Archetypes!$B$11*(IF(F27&lt;0,1+Assumptions!$B$32*MIN(1,ABS(F27)/ABS(Assumptions!$B$21)),MAX(0.1,1-Assumptions!$B$31*(F27/50)))))*J27*Archetypes!$B$15*Archetypes!$B$22)*(Archetypes!$B$13*IF(F27&lt;0,1-Assumptions!$B$33*MIN(1,ABS(F27)/ABS(Assumptions!$B$21)),1))*5*Assumptions!$B$18))*IF(F27&lt;0,Assumptions!$B$9,1)))*$E27</f>
        <v>1103.7113999999999</v>
      </c>
      <c r="O27" s="18">
        <f>(O26)+(N27)-(MAX(0,((O26)+(N27)-(P27)))*(IF(Archetypes!$B$27="",Assumptions!$B$11,Archetypes!$B$27)))</f>
        <v>4490.5485018801046</v>
      </c>
      <c r="P27" s="18">
        <f>Archetypes!$B$33</f>
        <v>25.423199999999998</v>
      </c>
      <c r="Q27" s="18">
        <f t="shared" si="3"/>
        <v>4465.1253018801044</v>
      </c>
      <c r="S27" s="18">
        <f t="shared" si="9"/>
        <v>120.01776743001473</v>
      </c>
      <c r="T27" s="18">
        <f>MAX(Assumptions!$B$21,(S27)+(U27))</f>
        <v>122.49410457287188</v>
      </c>
      <c r="U27" s="18">
        <f>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$15)*Assumptions!$B$22+((Archetypes!$C$11*(IF(S27&lt;0,1+Assumptions!$B$32*MIN(1,ABS(S27)/ABS(Assumptions!$B$21)),MAX(0.1,1-Assumptions!$B$31*(S27/50)))))*W27*Archetypes!$C$15*Archetypes!$C$22)*Assumptions!$B$23+(Archetypes!$C$11*(IF(S27&lt;0,1+Assumptions!$B$32*MIN(1,ABS(S27)/ABS(Assumptions!$B$21)),MAX(0.1,1-Assumptions!$B$31*(S27/50)))))*Assumptions!$B$24+-((Archetypes!$C$11*(IF(S27&lt;0,1+Assumptions!$B$32*MIN(1,ABS(S27)/ABS(Assumptions!$B$21)),MAX(0.1,1-Assumptions!$B$31*(S27/50)))))*Archetypes!$C$16)*(Assumptions!$B$27*(1+Assumptions!$B$28*Archetypes!$C$14)/(1+Assumptions!$B$29*Archetypes!$C$12))+-(Archetypes!$C$11*(IF(S27&lt;0,1+Assumptions!$B$32*MIN(1,ABS(S27)/ABS(Assumptions!$B$21)),MAX(0.1,1-Assumptions!$B$31*(S27/50)))))*Archetypes!$C$17*((Archetypes!$C$31)/100)*Assumptions!$B$30+-Assumptions!$B$25*Assumptions!$B$26)*$E27</f>
        <v>2.4763371428571439</v>
      </c>
      <c r="V27" s="18">
        <f>(Archetypes!$C$11*(IF(S27&lt;0,1+Assumptions!$B$32*MIN(1,ABS(S27)/ABS(Assumptions!$B$21)),MAX(0.1,1-Assumptions!$B$31*(S27/50)))))*$E27</f>
        <v>3.6000000000000005</v>
      </c>
      <c r="W27" s="19">
        <f>Archetypes!$C$30</f>
        <v>3.7999999999999999E-2</v>
      </c>
      <c r="X27" s="18">
        <f t="shared" si="4"/>
        <v>0.1368</v>
      </c>
      <c r="Y27" s="18">
        <f>((V27-X27)*Archetypes!$C$15)+(X27*Archetypes!$C$15*Archetypes!$C$22)</f>
        <v>1.8205200000000004</v>
      </c>
      <c r="Z27" s="18">
        <f>V27*Archetypes!$C$16</f>
        <v>1.6200000000000003</v>
      </c>
      <c r="AA27" s="18">
        <f>(IF(S27&lt;0,Assumptions!$B$8,IF(S27&lt;10,Assumptions!$B$34,IF(S27&lt;25,Assumptions!$B$35,Assumptions!$B$36))))*((((Archetypes!$C$5*Assumptions!$B$4+Archetypes!$C$6*Assumptions!$B$5)*60))+(Assumptions!$B$6*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$20)+((Archetypes!$C$11*(IF(S27&lt;0,1+Assumptions!$B$32*MIN(1,ABS(S27)/ABS(Assumptions!$B$21)),MAX(0.1,1-Assumptions!$B$31*(S27/50)))))*W27*Archetypes!$C$20*Archetypes!$C$21)*Assumptions!$B$18)*(IF($D27=1,1,Assumptions!$B$7)))+((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$15)*(Archetypes!$C$13*IF(S27&lt;0,1-Assumptions!$B$33*MIN(1,ABS(S27)/ABS(Assumptions!$B$21)),1))*5)+(((Archetypes!$C$11*(IF(S27&lt;0,1+Assumptions!$B$32*MIN(1,ABS(S27)/ABS(Assumptions!$B$21)),MAX(0.1,1-Assumptions!$B$31*(S27/50)))))*W27*Archetypes!$C$15*Archetypes!$C$22)*(Archetypes!$C$13*IF(S27&lt;0,1-Assumptions!$B$33*MIN(1,ABS(S27)/ABS(Assumptions!$B$21)),1))*5*Assumptions!$B$18))*IF(S27&lt;0,Assumptions!$B$9,1)))*$E27</f>
        <v>4257.4942799999999</v>
      </c>
      <c r="AB27" s="18">
        <f>(AB26)+(AA27)-(MAX(0,((AB26)+(AA27)-(AC27)))*(IF(Archetypes!$C$27="",Assumptions!$B$11,Archetypes!$C$27)))</f>
        <v>12954.932506084217</v>
      </c>
      <c r="AC27" s="18">
        <f>Archetypes!$C$33</f>
        <v>90.34</v>
      </c>
      <c r="AD27" s="18">
        <f t="shared" si="5"/>
        <v>12864.592506084216</v>
      </c>
      <c r="AF27" s="18">
        <f t="shared" si="10"/>
        <v>103.33850676678834</v>
      </c>
      <c r="AG27" s="18">
        <f>MAX(Assumptions!$B$21,(AF27)+(AH27))</f>
        <v>105.05892276678834</v>
      </c>
      <c r="AH27" s="18">
        <f>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$15)*Assumptions!$B$22+((Archetypes!$D$11*(IF(AF27&lt;0,1+Assumptions!$B$32*MIN(1,ABS(AF27)/ABS(Assumptions!$B$21)),MAX(0.1,1-Assumptions!$B$31*(AF27/50)))))*AJ27*Archetypes!$D$15*Archetypes!$D$22)*Assumptions!$B$23+(Archetypes!$D$11*(IF(AF27&lt;0,1+Assumptions!$B$32*MIN(1,ABS(AF27)/ABS(Assumptions!$B$21)),MAX(0.1,1-Assumptions!$B$31*(AF27/50)))))*Assumptions!$B$24+-((Archetypes!$D$11*(IF(AF27&lt;0,1+Assumptions!$B$32*MIN(1,ABS(AF27)/ABS(Assumptions!$B$21)),MAX(0.1,1-Assumptions!$B$31*(AF27/50)))))*Archetypes!$D$16)*(Assumptions!$B$27*(1+Assumptions!$B$28*Archetypes!$D$14)/(1+Assumptions!$B$29*Archetypes!$D$12))+-(Archetypes!$D$11*(IF(AF27&lt;0,1+Assumptions!$B$32*MIN(1,ABS(AF27)/ABS(Assumptions!$B$21)),MAX(0.1,1-Assumptions!$B$31*(AF27/50)))))*Archetypes!$D$17*((Archetypes!$D$31)/100)*Assumptions!$B$30+-Assumptions!$B$25*Assumptions!$B$26)*$E27</f>
        <v>1.7204160000000006</v>
      </c>
      <c r="AI27" s="18">
        <f>(Archetypes!$D$11*(IF(AF27&lt;0,1+Assumptions!$B$32*MIN(1,ABS(AF27)/ABS(Assumptions!$B$21)),MAX(0.1,1-Assumptions!$B$31*(AF27/50)))))*$E27</f>
        <v>1.8000000000000003</v>
      </c>
      <c r="AJ27" s="19">
        <f>Archetypes!$D$30</f>
        <v>0.10400000000000001</v>
      </c>
      <c r="AK27" s="18">
        <f t="shared" si="6"/>
        <v>0.18720000000000003</v>
      </c>
      <c r="AL27" s="18">
        <f>((AI27-AK27)*Archetypes!$D$15)+(AK27*Archetypes!$D$15*Archetypes!$D$22)</f>
        <v>2.8123200000000006</v>
      </c>
      <c r="AM27" s="18">
        <f>AI27*Archetypes!$D$16</f>
        <v>0.3600000000000001</v>
      </c>
      <c r="AN27" s="18">
        <f>(IF(AF27&lt;0,Assumptions!$B$8,IF(AF27&lt;10,Assumptions!$B$34,IF(AF27&lt;25,Assumptions!$B$35,Assumptions!$B$36))))*((((Archetypes!$D$5*Assumptions!$B$4+Archetypes!$D$6*Assumptions!$B$5)*60))+(Assumptions!$B$6*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$20)+((Archetypes!$D$11*(IF(AF27&lt;0,1+Assumptions!$B$32*MIN(1,ABS(AF27)/ABS(Assumptions!$B$21)),MAX(0.1,1-Assumptions!$B$31*(AF27/50)))))*AJ27*Archetypes!$D$20*Archetypes!$D$21)*Assumptions!$B$18)*(IF($D27=1,1,Assumptions!$B$7)))+((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$15)*(Archetypes!$D$13*IF(AF27&lt;0,1-Assumptions!$B$33*MIN(1,ABS(AF27)/ABS(Assumptions!$B$21)),1))*5)+(((Archetypes!$D$11*(IF(AF27&lt;0,1+Assumptions!$B$32*MIN(1,ABS(AF27)/ABS(Assumptions!$B$21)),MAX(0.1,1-Assumptions!$B$31*(AF27/50)))))*AJ27*Archetypes!$D$15*Archetypes!$D$22)*(Archetypes!$D$13*IF(AF27&lt;0,1-Assumptions!$B$33*MIN(1,ABS(AF27)/ABS(Assumptions!$B$21)),1))*5*Assumptions!$B$18))*IF(AF27&lt;0,Assumptions!$B$9,1)))*$E27</f>
        <v>6861.8204999999998</v>
      </c>
      <c r="AO27" s="18">
        <f>(AO26)+(AN27)-(MAX(0,((AO26)+(AN27)-(AP27)))*(IF(Archetypes!$D$27="",Assumptions!$B$11,Archetypes!$D$27)))</f>
        <v>16393.799273588178</v>
      </c>
      <c r="AP27" s="18">
        <f>Archetypes!$D$33</f>
        <v>201.32916645159378</v>
      </c>
      <c r="AQ27" s="18">
        <f t="shared" si="7"/>
        <v>16192.470107136583</v>
      </c>
    </row>
    <row r="28" spans="1:43" x14ac:dyDescent="0.25">
      <c r="A28" s="14">
        <v>144</v>
      </c>
      <c r="B28" s="14">
        <f t="shared" si="0"/>
        <v>7</v>
      </c>
      <c r="C28" s="14">
        <f t="shared" si="1"/>
        <v>0</v>
      </c>
      <c r="D28" s="15">
        <f>IF(C28&lt;Assumptions!$B$10,1,0)</f>
        <v>1</v>
      </c>
      <c r="E28" s="15">
        <v>6</v>
      </c>
      <c r="F28" s="18">
        <f t="shared" si="8"/>
        <v>152.61973767128578</v>
      </c>
      <c r="G28" s="18">
        <f>MAX(Assumptions!$B$21,(F28)+(H28))</f>
        <v>156.32845767128578</v>
      </c>
      <c r="H28" s="18">
        <f>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$15)*Assumptions!$B$22+((Archetypes!$B$11*(IF(F28&lt;0,1+Assumptions!$B$32*MIN(1,ABS(F28)/ABS(Assumptions!$B$21)),MAX(0.1,1-Assumptions!$B$31*(F28/50)))))*J28*Archetypes!$B$15*Archetypes!$B$22)*Assumptions!$B$23+(Archetypes!$B$11*(IF(F28&lt;0,1+Assumptions!$B$32*MIN(1,ABS(F28)/ABS(Assumptions!$B$21)),MAX(0.1,1-Assumptions!$B$31*(F28/50)))))*Assumptions!$B$24+-((Archetypes!$B$11*(IF(F28&lt;0,1+Assumptions!$B$32*MIN(1,ABS(F28)/ABS(Assumptions!$B$21)),MAX(0.1,1-Assumptions!$B$31*(F28/50)))))*Archetypes!$B$16)*(Assumptions!$B$27*(1+Assumptions!$B$28*Archetypes!$B$14)/(1+Assumptions!$B$29*Archetypes!$B$12))+-(Archetypes!$B$11*(IF(F28&lt;0,1+Assumptions!$B$32*MIN(1,ABS(F28)/ABS(Assumptions!$B$21)),MAX(0.1,1-Assumptions!$B$31*(F28/50)))))*Archetypes!$B$17*((Archetypes!$B$31)/100)*Assumptions!$B$30+-Assumptions!$B$25*Assumptions!$B$26)*$E28</f>
        <v>3.70872</v>
      </c>
      <c r="I28" s="18">
        <f>(Archetypes!$B$11*(IF(F28&lt;0,1+Assumptions!$B$32*MIN(1,ABS(F28)/ABS(Assumptions!$B$21)),MAX(0.1,1-Assumptions!$B$31*(F28/50)))))*$E28</f>
        <v>6</v>
      </c>
      <c r="J28" s="19">
        <f>Archetypes!$B$30</f>
        <v>2.1999999999999999E-2</v>
      </c>
      <c r="K28" s="18">
        <f t="shared" si="2"/>
        <v>0.13200000000000001</v>
      </c>
      <c r="L28" s="18">
        <f>((I28-K28)*Archetypes!$B$15)+(K28*Archetypes!$B$15*Archetypes!$B$22)</f>
        <v>0.60264000000000006</v>
      </c>
      <c r="M28" s="18">
        <f>I28*Archetypes!$B$16</f>
        <v>4.5</v>
      </c>
      <c r="N28" s="18">
        <f>(IF(F28&lt;0,Assumptions!$B$8,IF(F28&lt;10,Assumptions!$B$34,IF(F28&lt;25,Assumptions!$B$35,Assumptions!$B$36))))*((((Archetypes!$B$5*Assumptions!$B$4+Archetypes!$B$6*Assumptions!$B$5)*60))+(Assumptions!$B$6*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$20)+((Archetypes!$B$11*(IF(F28&lt;0,1+Assumptions!$B$32*MIN(1,ABS(F28)/ABS(Assumptions!$B$21)),MAX(0.1,1-Assumptions!$B$31*(F28/50)))))*J28*Archetypes!$B$20*Archetypes!$B$21)*Assumptions!$B$18)*(IF($D28=1,1,Assumptions!$B$7)))+((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$15)*(Archetypes!$B$13*IF(F28&lt;0,1-Assumptions!$B$33*MIN(1,ABS(F28)/ABS(Assumptions!$B$21)),1))*5)+(((Archetypes!$B$11*(IF(F28&lt;0,1+Assumptions!$B$32*MIN(1,ABS(F28)/ABS(Assumptions!$B$21)),MAX(0.1,1-Assumptions!$B$31*(F28/50)))))*J28*Archetypes!$B$15*Archetypes!$B$22)*(Archetypes!$B$13*IF(F28&lt;0,1-Assumptions!$B$33*MIN(1,ABS(F28)/ABS(Assumptions!$B$21)),1))*5*Assumptions!$B$18))*IF(F28&lt;0,Assumptions!$B$9,1)))*$E28</f>
        <v>1178.4672</v>
      </c>
      <c r="O28" s="18">
        <f>(O27)+(N28)-(MAX(0,((O27)+(N28)-(P28)))*(IF(Archetypes!$B$27="",Assumptions!$B$11,Archetypes!$B$27)))</f>
        <v>4540.2972015040832</v>
      </c>
      <c r="P28" s="18">
        <f>Archetypes!$B$33</f>
        <v>25.423199999999998</v>
      </c>
      <c r="Q28" s="18">
        <f t="shared" si="3"/>
        <v>4514.874001504083</v>
      </c>
      <c r="S28" s="18">
        <f t="shared" si="9"/>
        <v>122.49410457287188</v>
      </c>
      <c r="T28" s="18">
        <f>MAX(Assumptions!$B$21,(S28)+(U28))</f>
        <v>124.97044171572902</v>
      </c>
      <c r="U28" s="18">
        <f>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$15)*Assumptions!$B$22+((Archetypes!$C$11*(IF(S28&lt;0,1+Assumptions!$B$32*MIN(1,ABS(S28)/ABS(Assumptions!$B$21)),MAX(0.1,1-Assumptions!$B$31*(S28/50)))))*W28*Archetypes!$C$15*Archetypes!$C$22)*Assumptions!$B$23+(Archetypes!$C$11*(IF(S28&lt;0,1+Assumptions!$B$32*MIN(1,ABS(S28)/ABS(Assumptions!$B$21)),MAX(0.1,1-Assumptions!$B$31*(S28/50)))))*Assumptions!$B$24+-((Archetypes!$C$11*(IF(S28&lt;0,1+Assumptions!$B$32*MIN(1,ABS(S28)/ABS(Assumptions!$B$21)),MAX(0.1,1-Assumptions!$B$31*(S28/50)))))*Archetypes!$C$16)*(Assumptions!$B$27*(1+Assumptions!$B$28*Archetypes!$C$14)/(1+Assumptions!$B$29*Archetypes!$C$12))+-(Archetypes!$C$11*(IF(S28&lt;0,1+Assumptions!$B$32*MIN(1,ABS(S28)/ABS(Assumptions!$B$21)),MAX(0.1,1-Assumptions!$B$31*(S28/50)))))*Archetypes!$C$17*((Archetypes!$C$31)/100)*Assumptions!$B$30+-Assumptions!$B$25*Assumptions!$B$26)*$E28</f>
        <v>2.4763371428571439</v>
      </c>
      <c r="V28" s="18">
        <f>(Archetypes!$C$11*(IF(S28&lt;0,1+Assumptions!$B$32*MIN(1,ABS(S28)/ABS(Assumptions!$B$21)),MAX(0.1,1-Assumptions!$B$31*(S28/50)))))*$E28</f>
        <v>3.6000000000000005</v>
      </c>
      <c r="W28" s="19">
        <f>Archetypes!$C$30</f>
        <v>3.7999999999999999E-2</v>
      </c>
      <c r="X28" s="18">
        <f t="shared" si="4"/>
        <v>0.1368</v>
      </c>
      <c r="Y28" s="18">
        <f>((V28-X28)*Archetypes!$C$15)+(X28*Archetypes!$C$15*Archetypes!$C$22)</f>
        <v>1.8205200000000004</v>
      </c>
      <c r="Z28" s="18">
        <f>V28*Archetypes!$C$16</f>
        <v>1.6200000000000003</v>
      </c>
      <c r="AA28" s="18">
        <f>(IF(S28&lt;0,Assumptions!$B$8,IF(S28&lt;10,Assumptions!$B$34,IF(S28&lt;25,Assumptions!$B$35,Assumptions!$B$36))))*((((Archetypes!$C$5*Assumptions!$B$4+Archetypes!$C$6*Assumptions!$B$5)*60))+(Assumptions!$B$6*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$20)+((Archetypes!$C$11*(IF(S28&lt;0,1+Assumptions!$B$32*MIN(1,ABS(S28)/ABS(Assumptions!$B$21)),MAX(0.1,1-Assumptions!$B$31*(S28/50)))))*W28*Archetypes!$C$20*Archetypes!$C$21)*Assumptions!$B$18)*(IF($D28=1,1,Assumptions!$B$7)))+((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$15)*(Archetypes!$C$13*IF(S28&lt;0,1-Assumptions!$B$33*MIN(1,ABS(S28)/ABS(Assumptions!$B$21)),1))*5)+(((Archetypes!$C$11*(IF(S28&lt;0,1+Assumptions!$B$32*MIN(1,ABS(S28)/ABS(Assumptions!$B$21)),MAX(0.1,1-Assumptions!$B$31*(S28/50)))))*W28*Archetypes!$C$15*Archetypes!$C$22)*(Archetypes!$C$13*IF(S28&lt;0,1-Assumptions!$B$33*MIN(1,ABS(S28)/ABS(Assumptions!$B$21)),1))*5*Assumptions!$B$18))*IF(S28&lt;0,Assumptions!$B$9,1)))*$E28</f>
        <v>4462.9335000000001</v>
      </c>
      <c r="AB28" s="18">
        <f>(AB27)+(AA28)-(MAX(0,((AB27)+(AA28)-(AC28)))*(IF(Archetypes!$C$27="",Assumptions!$B$11,Archetypes!$C$27)))</f>
        <v>13085.984504563163</v>
      </c>
      <c r="AC28" s="18">
        <f>Archetypes!$C$33</f>
        <v>90.34</v>
      </c>
      <c r="AD28" s="18">
        <f t="shared" si="5"/>
        <v>12995.644504563163</v>
      </c>
      <c r="AF28" s="18">
        <f t="shared" si="10"/>
        <v>105.05892276678834</v>
      </c>
      <c r="AG28" s="18">
        <f>MAX(Assumptions!$B$21,(AF28)+(AH28))</f>
        <v>106.77933876678834</v>
      </c>
      <c r="AH28" s="18">
        <f>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$15)*Assumptions!$B$22+((Archetypes!$D$11*(IF(AF28&lt;0,1+Assumptions!$B$32*MIN(1,ABS(AF28)/ABS(Assumptions!$B$21)),MAX(0.1,1-Assumptions!$B$31*(AF28/50)))))*AJ28*Archetypes!$D$15*Archetypes!$D$22)*Assumptions!$B$23+(Archetypes!$D$11*(IF(AF28&lt;0,1+Assumptions!$B$32*MIN(1,ABS(AF28)/ABS(Assumptions!$B$21)),MAX(0.1,1-Assumptions!$B$31*(AF28/50)))))*Assumptions!$B$24+-((Archetypes!$D$11*(IF(AF28&lt;0,1+Assumptions!$B$32*MIN(1,ABS(AF28)/ABS(Assumptions!$B$21)),MAX(0.1,1-Assumptions!$B$31*(AF28/50)))))*Archetypes!$D$16)*(Assumptions!$B$27*(1+Assumptions!$B$28*Archetypes!$D$14)/(1+Assumptions!$B$29*Archetypes!$D$12))+-(Archetypes!$D$11*(IF(AF28&lt;0,1+Assumptions!$B$32*MIN(1,ABS(AF28)/ABS(Assumptions!$B$21)),MAX(0.1,1-Assumptions!$B$31*(AF28/50)))))*Archetypes!$D$17*((Archetypes!$D$31)/100)*Assumptions!$B$30+-Assumptions!$B$25*Assumptions!$B$26)*$E28</f>
        <v>1.7204160000000006</v>
      </c>
      <c r="AI28" s="18">
        <f>(Archetypes!$D$11*(IF(AF28&lt;0,1+Assumptions!$B$32*MIN(1,ABS(AF28)/ABS(Assumptions!$B$21)),MAX(0.1,1-Assumptions!$B$31*(AF28/50)))))*$E28</f>
        <v>1.8000000000000003</v>
      </c>
      <c r="AJ28" s="19">
        <f>Archetypes!$D$30</f>
        <v>0.10400000000000001</v>
      </c>
      <c r="AK28" s="18">
        <f t="shared" si="6"/>
        <v>0.18720000000000003</v>
      </c>
      <c r="AL28" s="18">
        <f>((AI28-AK28)*Archetypes!$D$15)+(AK28*Archetypes!$D$15*Archetypes!$D$22)</f>
        <v>2.8123200000000006</v>
      </c>
      <c r="AM28" s="18">
        <f>AI28*Archetypes!$D$16</f>
        <v>0.3600000000000001</v>
      </c>
      <c r="AN28" s="18">
        <f>(IF(AF28&lt;0,Assumptions!$B$8,IF(AF28&lt;10,Assumptions!$B$34,IF(AF28&lt;25,Assumptions!$B$35,Assumptions!$B$36))))*((((Archetypes!$D$5*Assumptions!$B$4+Archetypes!$D$6*Assumptions!$B$5)*60))+(Assumptions!$B$6*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$20)+((Archetypes!$D$11*(IF(AF28&lt;0,1+Assumptions!$B$32*MIN(1,ABS(AF28)/ABS(Assumptions!$B$21)),MAX(0.1,1-Assumptions!$B$31*(AF28/50)))))*AJ28*Archetypes!$D$20*Archetypes!$D$21)*Assumptions!$B$18)*(IF($D28=1,1,Assumptions!$B$7)))+((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$15)*(Archetypes!$D$13*IF(AF28&lt;0,1-Assumptions!$B$33*MIN(1,ABS(AF28)/ABS(Assumptions!$B$21)),1))*5)+(((Archetypes!$D$11*(IF(AF28&lt;0,1+Assumptions!$B$32*MIN(1,ABS(AF28)/ABS(Assumptions!$B$21)),MAX(0.1,1-Assumptions!$B$31*(AF28/50)))))*AJ28*Archetypes!$D$15*Archetypes!$D$22)*(Archetypes!$D$13*IF(AF28&lt;0,1-Assumptions!$B$33*MIN(1,ABS(AF28)/ABS(Assumptions!$B$21)),1))*5*Assumptions!$B$18))*IF(AF28&lt;0,Assumptions!$B$9,1)))*$E28</f>
        <v>7432.1279999999988</v>
      </c>
      <c r="AO28" s="18">
        <f>(AO27)+(AN28)-(MAX(0,((AO27)+(AN28)-(AP28)))*(IF(Archetypes!$D$27="",Assumptions!$B$11,Archetypes!$D$27)))</f>
        <v>16738.547841447202</v>
      </c>
      <c r="AP28" s="18">
        <f>Archetypes!$D$33</f>
        <v>201.32916645159378</v>
      </c>
      <c r="AQ28" s="18">
        <f t="shared" si="7"/>
        <v>16537.218674995609</v>
      </c>
    </row>
    <row r="29" spans="1:43" x14ac:dyDescent="0.25">
      <c r="A29" s="14">
        <v>150</v>
      </c>
      <c r="B29" s="14">
        <f t="shared" si="0"/>
        <v>7</v>
      </c>
      <c r="C29" s="14">
        <f t="shared" si="1"/>
        <v>6</v>
      </c>
      <c r="D29" s="15">
        <f>IF(C29&lt;Assumptions!$B$10,1,0)</f>
        <v>0</v>
      </c>
      <c r="E29" s="15">
        <v>6</v>
      </c>
      <c r="F29" s="18">
        <f t="shared" si="8"/>
        <v>156.32845767128578</v>
      </c>
      <c r="G29" s="18">
        <f>MAX(Assumptions!$B$21,(F29)+(H29))</f>
        <v>160.03717767128578</v>
      </c>
      <c r="H29" s="18">
        <f>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$15)*Assumptions!$B$22+((Archetypes!$B$11*(IF(F29&lt;0,1+Assumptions!$B$32*MIN(1,ABS(F29)/ABS(Assumptions!$B$21)),MAX(0.1,1-Assumptions!$B$31*(F29/50)))))*J29*Archetypes!$B$15*Archetypes!$B$22)*Assumptions!$B$23+(Archetypes!$B$11*(IF(F29&lt;0,1+Assumptions!$B$32*MIN(1,ABS(F29)/ABS(Assumptions!$B$21)),MAX(0.1,1-Assumptions!$B$31*(F29/50)))))*Assumptions!$B$24+-((Archetypes!$B$11*(IF(F29&lt;0,1+Assumptions!$B$32*MIN(1,ABS(F29)/ABS(Assumptions!$B$21)),MAX(0.1,1-Assumptions!$B$31*(F29/50)))))*Archetypes!$B$16)*(Assumptions!$B$27*(1+Assumptions!$B$28*Archetypes!$B$14)/(1+Assumptions!$B$29*Archetypes!$B$12))+-(Archetypes!$B$11*(IF(F29&lt;0,1+Assumptions!$B$32*MIN(1,ABS(F29)/ABS(Assumptions!$B$21)),MAX(0.1,1-Assumptions!$B$31*(F29/50)))))*Archetypes!$B$17*((Archetypes!$B$31)/100)*Assumptions!$B$30+-Assumptions!$B$25*Assumptions!$B$26)*$E29</f>
        <v>3.70872</v>
      </c>
      <c r="I29" s="18">
        <f>(Archetypes!$B$11*(IF(F29&lt;0,1+Assumptions!$B$32*MIN(1,ABS(F29)/ABS(Assumptions!$B$21)),MAX(0.1,1-Assumptions!$B$31*(F29/50)))))*$E29</f>
        <v>6</v>
      </c>
      <c r="J29" s="19">
        <f>Archetypes!$B$30</f>
        <v>2.1999999999999999E-2</v>
      </c>
      <c r="K29" s="18">
        <f t="shared" si="2"/>
        <v>0.13200000000000001</v>
      </c>
      <c r="L29" s="18">
        <f>((I29-K29)*Archetypes!$B$15)+(K29*Archetypes!$B$15*Archetypes!$B$22)</f>
        <v>0.60264000000000006</v>
      </c>
      <c r="M29" s="18">
        <f>I29*Archetypes!$B$16</f>
        <v>4.5</v>
      </c>
      <c r="N29" s="18">
        <f>(IF(F29&lt;0,Assumptions!$B$8,IF(F29&lt;10,Assumptions!$B$34,IF(F29&lt;25,Assumptions!$B$35,Assumptions!$B$36))))*((((Archetypes!$B$5*Assumptions!$B$4+Archetypes!$B$6*Assumptions!$B$5)*60))+(Assumptions!$B$6*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$20)+((Archetypes!$B$11*(IF(F29&lt;0,1+Assumptions!$B$32*MIN(1,ABS(F29)/ABS(Assumptions!$B$21)),MAX(0.1,1-Assumptions!$B$31*(F29/50)))))*J29*Archetypes!$B$20*Archetypes!$B$21)*Assumptions!$B$18)*(IF($D29=1,1,Assumptions!$B$7)))+((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$15)*(Archetypes!$B$13*IF(F29&lt;0,1-Assumptions!$B$33*MIN(1,ABS(F29)/ABS(Assumptions!$B$21)),1))*5)+(((Archetypes!$B$11*(IF(F29&lt;0,1+Assumptions!$B$32*MIN(1,ABS(F29)/ABS(Assumptions!$B$21)),MAX(0.1,1-Assumptions!$B$31*(F29/50)))))*J29*Archetypes!$B$15*Archetypes!$B$22)*(Archetypes!$B$13*IF(F29&lt;0,1-Assumptions!$B$33*MIN(1,ABS(F29)/ABS(Assumptions!$B$21)),1))*5*Assumptions!$B$18))*IF(F29&lt;0,Assumptions!$B$9,1)))*$E29</f>
        <v>1103.7113999999999</v>
      </c>
      <c r="O29" s="18">
        <f>(O28)+(N29)-(MAX(0,((O28)+(N29)-(P29)))*(IF(Archetypes!$B$27="",Assumptions!$B$11,Archetypes!$B$27)))</f>
        <v>4520.2915212032667</v>
      </c>
      <c r="P29" s="18">
        <f>Archetypes!$B$33</f>
        <v>25.423199999999998</v>
      </c>
      <c r="Q29" s="18">
        <f t="shared" si="3"/>
        <v>4494.8683212032665</v>
      </c>
      <c r="S29" s="18">
        <f t="shared" si="9"/>
        <v>124.97044171572902</v>
      </c>
      <c r="T29" s="18">
        <f>MAX(Assumptions!$B$21,(S29)+(U29))</f>
        <v>127.44677885858617</v>
      </c>
      <c r="U29" s="18">
        <f>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$15)*Assumptions!$B$22+((Archetypes!$C$11*(IF(S29&lt;0,1+Assumptions!$B$32*MIN(1,ABS(S29)/ABS(Assumptions!$B$21)),MAX(0.1,1-Assumptions!$B$31*(S29/50)))))*W29*Archetypes!$C$15*Archetypes!$C$22)*Assumptions!$B$23+(Archetypes!$C$11*(IF(S29&lt;0,1+Assumptions!$B$32*MIN(1,ABS(S29)/ABS(Assumptions!$B$21)),MAX(0.1,1-Assumptions!$B$31*(S29/50)))))*Assumptions!$B$24+-((Archetypes!$C$11*(IF(S29&lt;0,1+Assumptions!$B$32*MIN(1,ABS(S29)/ABS(Assumptions!$B$21)),MAX(0.1,1-Assumptions!$B$31*(S29/50)))))*Archetypes!$C$16)*(Assumptions!$B$27*(1+Assumptions!$B$28*Archetypes!$C$14)/(1+Assumptions!$B$29*Archetypes!$C$12))+-(Archetypes!$C$11*(IF(S29&lt;0,1+Assumptions!$B$32*MIN(1,ABS(S29)/ABS(Assumptions!$B$21)),MAX(0.1,1-Assumptions!$B$31*(S29/50)))))*Archetypes!$C$17*((Archetypes!$C$31)/100)*Assumptions!$B$30+-Assumptions!$B$25*Assumptions!$B$26)*$E29</f>
        <v>2.4763371428571439</v>
      </c>
      <c r="V29" s="18">
        <f>(Archetypes!$C$11*(IF(S29&lt;0,1+Assumptions!$B$32*MIN(1,ABS(S29)/ABS(Assumptions!$B$21)),MAX(0.1,1-Assumptions!$B$31*(S29/50)))))*$E29</f>
        <v>3.6000000000000005</v>
      </c>
      <c r="W29" s="19">
        <f>Archetypes!$C$30</f>
        <v>3.7999999999999999E-2</v>
      </c>
      <c r="X29" s="18">
        <f t="shared" si="4"/>
        <v>0.1368</v>
      </c>
      <c r="Y29" s="18">
        <f>((V29-X29)*Archetypes!$C$15)+(X29*Archetypes!$C$15*Archetypes!$C$22)</f>
        <v>1.8205200000000004</v>
      </c>
      <c r="Z29" s="18">
        <f>V29*Archetypes!$C$16</f>
        <v>1.6200000000000003</v>
      </c>
      <c r="AA29" s="18">
        <f>(IF(S29&lt;0,Assumptions!$B$8,IF(S29&lt;10,Assumptions!$B$34,IF(S29&lt;25,Assumptions!$B$35,Assumptions!$B$36))))*((((Archetypes!$C$5*Assumptions!$B$4+Archetypes!$C$6*Assumptions!$B$5)*60))+(Assumptions!$B$6*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$20)+((Archetypes!$C$11*(IF(S29&lt;0,1+Assumptions!$B$32*MIN(1,ABS(S29)/ABS(Assumptions!$B$21)),MAX(0.1,1-Assumptions!$B$31*(S29/50)))))*W29*Archetypes!$C$20*Archetypes!$C$21)*Assumptions!$B$18)*(IF($D29=1,1,Assumptions!$B$7)))+((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$15)*(Archetypes!$C$13*IF(S29&lt;0,1-Assumptions!$B$33*MIN(1,ABS(S29)/ABS(Assumptions!$B$21)),1))*5)+(((Archetypes!$C$11*(IF(S29&lt;0,1+Assumptions!$B$32*MIN(1,ABS(S29)/ABS(Assumptions!$B$21)),MAX(0.1,1-Assumptions!$B$31*(S29/50)))))*W29*Archetypes!$C$15*Archetypes!$C$22)*(Archetypes!$C$13*IF(S29&lt;0,1-Assumptions!$B$33*MIN(1,ABS(S29)/ABS(Assumptions!$B$21)),1))*5*Assumptions!$B$18))*IF(S29&lt;0,Assumptions!$B$9,1)))*$E29</f>
        <v>4257.4942799999999</v>
      </c>
      <c r="AB29" s="18">
        <f>(AB28)+(AA29)-(MAX(0,((AB28)+(AA29)-(AC29)))*(IF(Archetypes!$C$27="",Assumptions!$B$11,Archetypes!$C$27)))</f>
        <v>13030.194088422371</v>
      </c>
      <c r="AC29" s="18">
        <f>Archetypes!$C$33</f>
        <v>90.34</v>
      </c>
      <c r="AD29" s="18">
        <f t="shared" si="5"/>
        <v>12939.854088422371</v>
      </c>
      <c r="AF29" s="18">
        <f t="shared" si="10"/>
        <v>106.77933876678834</v>
      </c>
      <c r="AG29" s="18">
        <f>MAX(Assumptions!$B$21,(AF29)+(AH29))</f>
        <v>108.49975476678834</v>
      </c>
      <c r="AH29" s="18">
        <f>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$15)*Assumptions!$B$22+((Archetypes!$D$11*(IF(AF29&lt;0,1+Assumptions!$B$32*MIN(1,ABS(AF29)/ABS(Assumptions!$B$21)),MAX(0.1,1-Assumptions!$B$31*(AF29/50)))))*AJ29*Archetypes!$D$15*Archetypes!$D$22)*Assumptions!$B$23+(Archetypes!$D$11*(IF(AF29&lt;0,1+Assumptions!$B$32*MIN(1,ABS(AF29)/ABS(Assumptions!$B$21)),MAX(0.1,1-Assumptions!$B$31*(AF29/50)))))*Assumptions!$B$24+-((Archetypes!$D$11*(IF(AF29&lt;0,1+Assumptions!$B$32*MIN(1,ABS(AF29)/ABS(Assumptions!$B$21)),MAX(0.1,1-Assumptions!$B$31*(AF29/50)))))*Archetypes!$D$16)*(Assumptions!$B$27*(1+Assumptions!$B$28*Archetypes!$D$14)/(1+Assumptions!$B$29*Archetypes!$D$12))+-(Archetypes!$D$11*(IF(AF29&lt;0,1+Assumptions!$B$32*MIN(1,ABS(AF29)/ABS(Assumptions!$B$21)),MAX(0.1,1-Assumptions!$B$31*(AF29/50)))))*Archetypes!$D$17*((Archetypes!$D$31)/100)*Assumptions!$B$30+-Assumptions!$B$25*Assumptions!$B$26)*$E29</f>
        <v>1.7204160000000006</v>
      </c>
      <c r="AI29" s="18">
        <f>(Archetypes!$D$11*(IF(AF29&lt;0,1+Assumptions!$B$32*MIN(1,ABS(AF29)/ABS(Assumptions!$B$21)),MAX(0.1,1-Assumptions!$B$31*(AF29/50)))))*$E29</f>
        <v>1.8000000000000003</v>
      </c>
      <c r="AJ29" s="19">
        <f>Archetypes!$D$30</f>
        <v>0.10400000000000001</v>
      </c>
      <c r="AK29" s="18">
        <f t="shared" si="6"/>
        <v>0.18720000000000003</v>
      </c>
      <c r="AL29" s="18">
        <f>((AI29-AK29)*Archetypes!$D$15)+(AK29*Archetypes!$D$15*Archetypes!$D$22)</f>
        <v>2.8123200000000006</v>
      </c>
      <c r="AM29" s="18">
        <f>AI29*Archetypes!$D$16</f>
        <v>0.3600000000000001</v>
      </c>
      <c r="AN29" s="18">
        <f>(IF(AF29&lt;0,Assumptions!$B$8,IF(AF29&lt;10,Assumptions!$B$34,IF(AF29&lt;25,Assumptions!$B$35,Assumptions!$B$36))))*((((Archetypes!$D$5*Assumptions!$B$4+Archetypes!$D$6*Assumptions!$B$5)*60))+(Assumptions!$B$6*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$20)+((Archetypes!$D$11*(IF(AF29&lt;0,1+Assumptions!$B$32*MIN(1,ABS(AF29)/ABS(Assumptions!$B$21)),MAX(0.1,1-Assumptions!$B$31*(AF29/50)))))*AJ29*Archetypes!$D$20*Archetypes!$D$21)*Assumptions!$B$18)*(IF($D29=1,1,Assumptions!$B$7)))+((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$15)*(Archetypes!$D$13*IF(AF29&lt;0,1-Assumptions!$B$33*MIN(1,ABS(AF29)/ABS(Assumptions!$B$21)),1))*5)+(((Archetypes!$D$11*(IF(AF29&lt;0,1+Assumptions!$B$32*MIN(1,ABS(AF29)/ABS(Assumptions!$B$21)),MAX(0.1,1-Assumptions!$B$31*(AF29/50)))))*AJ29*Archetypes!$D$15*Archetypes!$D$22)*(Archetypes!$D$13*IF(AF29&lt;0,1-Assumptions!$B$33*MIN(1,ABS(AF29)/ABS(Assumptions!$B$21)),1))*5*Assumptions!$B$18))*IF(AF29&lt;0,Assumptions!$B$9,1)))*$E29</f>
        <v>6861.8204999999998</v>
      </c>
      <c r="AO29" s="18">
        <f>(AO28)+(AN29)-(MAX(0,((AO28)+(AN29)-(AP29)))*(IF(Archetypes!$D$27="",Assumptions!$B$11,Archetypes!$D$27)))</f>
        <v>16580.656588948521</v>
      </c>
      <c r="AP29" s="18">
        <f>Archetypes!$D$33</f>
        <v>201.32916645159378</v>
      </c>
      <c r="AQ29" s="18">
        <f t="shared" si="7"/>
        <v>16379.327422496926</v>
      </c>
    </row>
    <row r="30" spans="1:43" x14ac:dyDescent="0.25">
      <c r="A30" s="14">
        <v>156</v>
      </c>
      <c r="B30" s="14">
        <f t="shared" si="0"/>
        <v>7</v>
      </c>
      <c r="C30" s="14">
        <f t="shared" si="1"/>
        <v>12</v>
      </c>
      <c r="D30" s="15">
        <f>IF(C30&lt;Assumptions!$B$10,1,0)</f>
        <v>0</v>
      </c>
      <c r="E30" s="15">
        <v>6</v>
      </c>
      <c r="F30" s="18">
        <f t="shared" si="8"/>
        <v>160.03717767128578</v>
      </c>
      <c r="G30" s="18">
        <f>MAX(Assumptions!$B$21,(F30)+(H30))</f>
        <v>163.74589767128577</v>
      </c>
      <c r="H30" s="18">
        <f>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$15)*Assumptions!$B$22+((Archetypes!$B$11*(IF(F30&lt;0,1+Assumptions!$B$32*MIN(1,ABS(F30)/ABS(Assumptions!$B$21)),MAX(0.1,1-Assumptions!$B$31*(F30/50)))))*J30*Archetypes!$B$15*Archetypes!$B$22)*Assumptions!$B$23+(Archetypes!$B$11*(IF(F30&lt;0,1+Assumptions!$B$32*MIN(1,ABS(F30)/ABS(Assumptions!$B$21)),MAX(0.1,1-Assumptions!$B$31*(F30/50)))))*Assumptions!$B$24+-((Archetypes!$B$11*(IF(F30&lt;0,1+Assumptions!$B$32*MIN(1,ABS(F30)/ABS(Assumptions!$B$21)),MAX(0.1,1-Assumptions!$B$31*(F30/50)))))*Archetypes!$B$16)*(Assumptions!$B$27*(1+Assumptions!$B$28*Archetypes!$B$14)/(1+Assumptions!$B$29*Archetypes!$B$12))+-(Archetypes!$B$11*(IF(F30&lt;0,1+Assumptions!$B$32*MIN(1,ABS(F30)/ABS(Assumptions!$B$21)),MAX(0.1,1-Assumptions!$B$31*(F30/50)))))*Archetypes!$B$17*((Archetypes!$B$31)/100)*Assumptions!$B$30+-Assumptions!$B$25*Assumptions!$B$26)*$E30</f>
        <v>3.70872</v>
      </c>
      <c r="I30" s="18">
        <f>(Archetypes!$B$11*(IF(F30&lt;0,1+Assumptions!$B$32*MIN(1,ABS(F30)/ABS(Assumptions!$B$21)),MAX(0.1,1-Assumptions!$B$31*(F30/50)))))*$E30</f>
        <v>6</v>
      </c>
      <c r="J30" s="19">
        <f>Archetypes!$B$30</f>
        <v>2.1999999999999999E-2</v>
      </c>
      <c r="K30" s="18">
        <f t="shared" si="2"/>
        <v>0.13200000000000001</v>
      </c>
      <c r="L30" s="18">
        <f>((I30-K30)*Archetypes!$B$15)+(K30*Archetypes!$B$15*Archetypes!$B$22)</f>
        <v>0.60264000000000006</v>
      </c>
      <c r="M30" s="18">
        <f>I30*Archetypes!$B$16</f>
        <v>4.5</v>
      </c>
      <c r="N30" s="18">
        <f>(IF(F30&lt;0,Assumptions!$B$8,IF(F30&lt;10,Assumptions!$B$34,IF(F30&lt;25,Assumptions!$B$35,Assumptions!$B$36))))*((((Archetypes!$B$5*Assumptions!$B$4+Archetypes!$B$6*Assumptions!$B$5)*60))+(Assumptions!$B$6*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$20)+((Archetypes!$B$11*(IF(F30&lt;0,1+Assumptions!$B$32*MIN(1,ABS(F30)/ABS(Assumptions!$B$21)),MAX(0.1,1-Assumptions!$B$31*(F30/50)))))*J30*Archetypes!$B$20*Archetypes!$B$21)*Assumptions!$B$18)*(IF($D30=1,1,Assumptions!$B$7)))+((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$15)*(Archetypes!$B$13*IF(F30&lt;0,1-Assumptions!$B$33*MIN(1,ABS(F30)/ABS(Assumptions!$B$21)),1))*5)+(((Archetypes!$B$11*(IF(F30&lt;0,1+Assumptions!$B$32*MIN(1,ABS(F30)/ABS(Assumptions!$B$21)),MAX(0.1,1-Assumptions!$B$31*(F30/50)))))*J30*Archetypes!$B$15*Archetypes!$B$22)*(Archetypes!$B$13*IF(F30&lt;0,1-Assumptions!$B$33*MIN(1,ABS(F30)/ABS(Assumptions!$B$21)),1))*5*Assumptions!$B$18))*IF(F30&lt;0,Assumptions!$B$9,1)))*$E30</f>
        <v>1103.7113999999999</v>
      </c>
      <c r="O30" s="18">
        <f>(O29)+(N30)-(MAX(0,((O29)+(N30)-(P30)))*(IF(Archetypes!$B$27="",Assumptions!$B$11,Archetypes!$B$27)))</f>
        <v>4504.2869769626132</v>
      </c>
      <c r="P30" s="18">
        <f>Archetypes!$B$33</f>
        <v>25.423199999999998</v>
      </c>
      <c r="Q30" s="18">
        <f t="shared" si="3"/>
        <v>4478.863776962613</v>
      </c>
      <c r="S30" s="18">
        <f t="shared" si="9"/>
        <v>127.44677885858617</v>
      </c>
      <c r="T30" s="18">
        <f>MAX(Assumptions!$B$21,(S30)+(U30))</f>
        <v>129.9231160014433</v>
      </c>
      <c r="U30" s="18">
        <f>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$15)*Assumptions!$B$22+((Archetypes!$C$11*(IF(S30&lt;0,1+Assumptions!$B$32*MIN(1,ABS(S30)/ABS(Assumptions!$B$21)),MAX(0.1,1-Assumptions!$B$31*(S30/50)))))*W30*Archetypes!$C$15*Archetypes!$C$22)*Assumptions!$B$23+(Archetypes!$C$11*(IF(S30&lt;0,1+Assumptions!$B$32*MIN(1,ABS(S30)/ABS(Assumptions!$B$21)),MAX(0.1,1-Assumptions!$B$31*(S30/50)))))*Assumptions!$B$24+-((Archetypes!$C$11*(IF(S30&lt;0,1+Assumptions!$B$32*MIN(1,ABS(S30)/ABS(Assumptions!$B$21)),MAX(0.1,1-Assumptions!$B$31*(S30/50)))))*Archetypes!$C$16)*(Assumptions!$B$27*(1+Assumptions!$B$28*Archetypes!$C$14)/(1+Assumptions!$B$29*Archetypes!$C$12))+-(Archetypes!$C$11*(IF(S30&lt;0,1+Assumptions!$B$32*MIN(1,ABS(S30)/ABS(Assumptions!$B$21)),MAX(0.1,1-Assumptions!$B$31*(S30/50)))))*Archetypes!$C$17*((Archetypes!$C$31)/100)*Assumptions!$B$30+-Assumptions!$B$25*Assumptions!$B$26)*$E30</f>
        <v>2.4763371428571439</v>
      </c>
      <c r="V30" s="18">
        <f>(Archetypes!$C$11*(IF(S30&lt;0,1+Assumptions!$B$32*MIN(1,ABS(S30)/ABS(Assumptions!$B$21)),MAX(0.1,1-Assumptions!$B$31*(S30/50)))))*$E30</f>
        <v>3.6000000000000005</v>
      </c>
      <c r="W30" s="19">
        <f>Archetypes!$C$30</f>
        <v>3.7999999999999999E-2</v>
      </c>
      <c r="X30" s="18">
        <f t="shared" si="4"/>
        <v>0.1368</v>
      </c>
      <c r="Y30" s="18">
        <f>((V30-X30)*Archetypes!$C$15)+(X30*Archetypes!$C$15*Archetypes!$C$22)</f>
        <v>1.8205200000000004</v>
      </c>
      <c r="Z30" s="18">
        <f>V30*Archetypes!$C$16</f>
        <v>1.6200000000000003</v>
      </c>
      <c r="AA30" s="18">
        <f>(IF(S30&lt;0,Assumptions!$B$8,IF(S30&lt;10,Assumptions!$B$34,IF(S30&lt;25,Assumptions!$B$35,Assumptions!$B$36))))*((((Archetypes!$C$5*Assumptions!$B$4+Archetypes!$C$6*Assumptions!$B$5)*60))+(Assumptions!$B$6*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$20)+((Archetypes!$C$11*(IF(S30&lt;0,1+Assumptions!$B$32*MIN(1,ABS(S30)/ABS(Assumptions!$B$21)),MAX(0.1,1-Assumptions!$B$31*(S30/50)))))*W30*Archetypes!$C$20*Archetypes!$C$21)*Assumptions!$B$18)*(IF($D30=1,1,Assumptions!$B$7)))+((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$15)*(Archetypes!$C$13*IF(S30&lt;0,1-Assumptions!$B$33*MIN(1,ABS(S30)/ABS(Assumptions!$B$21)),1))*5)+(((Archetypes!$C$11*(IF(S30&lt;0,1+Assumptions!$B$32*MIN(1,ABS(S30)/ABS(Assumptions!$B$21)),MAX(0.1,1-Assumptions!$B$31*(S30/50)))))*W30*Archetypes!$C$15*Archetypes!$C$22)*(Archetypes!$C$13*IF(S30&lt;0,1-Assumptions!$B$33*MIN(1,ABS(S30)/ABS(Assumptions!$B$21)),1))*5*Assumptions!$B$18))*IF(S30&lt;0,Assumptions!$B$9,1)))*$E30</f>
        <v>4257.4942799999999</v>
      </c>
      <c r="AB30" s="18">
        <f>(AB29)+(AA30)-(MAX(0,((AB29)+(AA30)-(AC30)))*(IF(Archetypes!$C$27="",Assumptions!$B$11,Archetypes!$C$27)))</f>
        <v>12988.351276316778</v>
      </c>
      <c r="AC30" s="18">
        <f>Archetypes!$C$33</f>
        <v>90.34</v>
      </c>
      <c r="AD30" s="18">
        <f t="shared" si="5"/>
        <v>12898.011276316778</v>
      </c>
      <c r="AF30" s="18">
        <f t="shared" si="10"/>
        <v>108.49975476678834</v>
      </c>
      <c r="AG30" s="18">
        <f>MAX(Assumptions!$B$21,(AF30)+(AH30))</f>
        <v>110.22017076678834</v>
      </c>
      <c r="AH30" s="18">
        <f>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$15)*Assumptions!$B$22+((Archetypes!$D$11*(IF(AF30&lt;0,1+Assumptions!$B$32*MIN(1,ABS(AF30)/ABS(Assumptions!$B$21)),MAX(0.1,1-Assumptions!$B$31*(AF30/50)))))*AJ30*Archetypes!$D$15*Archetypes!$D$22)*Assumptions!$B$23+(Archetypes!$D$11*(IF(AF30&lt;0,1+Assumptions!$B$32*MIN(1,ABS(AF30)/ABS(Assumptions!$B$21)),MAX(0.1,1-Assumptions!$B$31*(AF30/50)))))*Assumptions!$B$24+-((Archetypes!$D$11*(IF(AF30&lt;0,1+Assumptions!$B$32*MIN(1,ABS(AF30)/ABS(Assumptions!$B$21)),MAX(0.1,1-Assumptions!$B$31*(AF30/50)))))*Archetypes!$D$16)*(Assumptions!$B$27*(1+Assumptions!$B$28*Archetypes!$D$14)/(1+Assumptions!$B$29*Archetypes!$D$12))+-(Archetypes!$D$11*(IF(AF30&lt;0,1+Assumptions!$B$32*MIN(1,ABS(AF30)/ABS(Assumptions!$B$21)),MAX(0.1,1-Assumptions!$B$31*(AF30/50)))))*Archetypes!$D$17*((Archetypes!$D$31)/100)*Assumptions!$B$30+-Assumptions!$B$25*Assumptions!$B$26)*$E30</f>
        <v>1.7204160000000006</v>
      </c>
      <c r="AI30" s="18">
        <f>(Archetypes!$D$11*(IF(AF30&lt;0,1+Assumptions!$B$32*MIN(1,ABS(AF30)/ABS(Assumptions!$B$21)),MAX(0.1,1-Assumptions!$B$31*(AF30/50)))))*$E30</f>
        <v>1.8000000000000003</v>
      </c>
      <c r="AJ30" s="19">
        <f>Archetypes!$D$30</f>
        <v>0.10400000000000001</v>
      </c>
      <c r="AK30" s="18">
        <f t="shared" si="6"/>
        <v>0.18720000000000003</v>
      </c>
      <c r="AL30" s="18">
        <f>((AI30-AK30)*Archetypes!$D$15)+(AK30*Archetypes!$D$15*Archetypes!$D$22)</f>
        <v>2.8123200000000006</v>
      </c>
      <c r="AM30" s="18">
        <f>AI30*Archetypes!$D$16</f>
        <v>0.3600000000000001</v>
      </c>
      <c r="AN30" s="18">
        <f>(IF(AF30&lt;0,Assumptions!$B$8,IF(AF30&lt;10,Assumptions!$B$34,IF(AF30&lt;25,Assumptions!$B$35,Assumptions!$B$36))))*((((Archetypes!$D$5*Assumptions!$B$4+Archetypes!$D$6*Assumptions!$B$5)*60))+(Assumptions!$B$6*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$20)+((Archetypes!$D$11*(IF(AF30&lt;0,1+Assumptions!$B$32*MIN(1,ABS(AF30)/ABS(Assumptions!$B$21)),MAX(0.1,1-Assumptions!$B$31*(AF30/50)))))*AJ30*Archetypes!$D$20*Archetypes!$D$21)*Assumptions!$B$18)*(IF($D30=1,1,Assumptions!$B$7)))+((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$15)*(Archetypes!$D$13*IF(AF30&lt;0,1-Assumptions!$B$33*MIN(1,ABS(AF30)/ABS(Assumptions!$B$21)),1))*5)+(((Archetypes!$D$11*(IF(AF30&lt;0,1+Assumptions!$B$32*MIN(1,ABS(AF30)/ABS(Assumptions!$B$21)),MAX(0.1,1-Assumptions!$B$31*(AF30/50)))))*AJ30*Archetypes!$D$15*Archetypes!$D$22)*(Archetypes!$D$13*IF(AF30&lt;0,1-Assumptions!$B$33*MIN(1,ABS(AF30)/ABS(Assumptions!$B$21)),1))*5*Assumptions!$B$18))*IF(AF30&lt;0,Assumptions!$B$9,1)))*$E30</f>
        <v>6861.8204999999998</v>
      </c>
      <c r="AO30" s="18">
        <f>(AO29)+(AN30)-(MAX(0,((AO29)+(AN30)-(AP30)))*(IF(Archetypes!$D$27="",Assumptions!$B$11,Archetypes!$D$27)))</f>
        <v>16470.132712199444</v>
      </c>
      <c r="AP30" s="18">
        <f>Archetypes!$D$33</f>
        <v>201.32916645159378</v>
      </c>
      <c r="AQ30" s="18">
        <f t="shared" si="7"/>
        <v>16268.803545747849</v>
      </c>
    </row>
    <row r="31" spans="1:43" x14ac:dyDescent="0.25">
      <c r="A31" s="14">
        <v>162</v>
      </c>
      <c r="B31" s="14">
        <f t="shared" si="0"/>
        <v>7</v>
      </c>
      <c r="C31" s="14">
        <f t="shared" si="1"/>
        <v>18</v>
      </c>
      <c r="D31" s="15">
        <f>IF(C31&lt;Assumptions!$B$10,1,0)</f>
        <v>0</v>
      </c>
      <c r="E31" s="15">
        <v>6</v>
      </c>
      <c r="F31" s="18">
        <f t="shared" si="8"/>
        <v>163.74589767128577</v>
      </c>
      <c r="G31" s="18">
        <f>MAX(Assumptions!$B$21,(F31)+(H31))</f>
        <v>167.45461767128577</v>
      </c>
      <c r="H31" s="18">
        <f>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$15)*Assumptions!$B$22+((Archetypes!$B$11*(IF(F31&lt;0,1+Assumptions!$B$32*MIN(1,ABS(F31)/ABS(Assumptions!$B$21)),MAX(0.1,1-Assumptions!$B$31*(F31/50)))))*J31*Archetypes!$B$15*Archetypes!$B$22)*Assumptions!$B$23+(Archetypes!$B$11*(IF(F31&lt;0,1+Assumptions!$B$32*MIN(1,ABS(F31)/ABS(Assumptions!$B$21)),MAX(0.1,1-Assumptions!$B$31*(F31/50)))))*Assumptions!$B$24+-((Archetypes!$B$11*(IF(F31&lt;0,1+Assumptions!$B$32*MIN(1,ABS(F31)/ABS(Assumptions!$B$21)),MAX(0.1,1-Assumptions!$B$31*(F31/50)))))*Archetypes!$B$16)*(Assumptions!$B$27*(1+Assumptions!$B$28*Archetypes!$B$14)/(1+Assumptions!$B$29*Archetypes!$B$12))+-(Archetypes!$B$11*(IF(F31&lt;0,1+Assumptions!$B$32*MIN(1,ABS(F31)/ABS(Assumptions!$B$21)),MAX(0.1,1-Assumptions!$B$31*(F31/50)))))*Archetypes!$B$17*((Archetypes!$B$31)/100)*Assumptions!$B$30+-Assumptions!$B$25*Assumptions!$B$26)*$E31</f>
        <v>3.70872</v>
      </c>
      <c r="I31" s="18">
        <f>(Archetypes!$B$11*(IF(F31&lt;0,1+Assumptions!$B$32*MIN(1,ABS(F31)/ABS(Assumptions!$B$21)),MAX(0.1,1-Assumptions!$B$31*(F31/50)))))*$E31</f>
        <v>6</v>
      </c>
      <c r="J31" s="19">
        <f>Archetypes!$B$30</f>
        <v>2.1999999999999999E-2</v>
      </c>
      <c r="K31" s="18">
        <f t="shared" si="2"/>
        <v>0.13200000000000001</v>
      </c>
      <c r="L31" s="18">
        <f>((I31-K31)*Archetypes!$B$15)+(K31*Archetypes!$B$15*Archetypes!$B$22)</f>
        <v>0.60264000000000006</v>
      </c>
      <c r="M31" s="18">
        <f>I31*Archetypes!$B$16</f>
        <v>4.5</v>
      </c>
      <c r="N31" s="18">
        <f>(IF(F31&lt;0,Assumptions!$B$8,IF(F31&lt;10,Assumptions!$B$34,IF(F31&lt;25,Assumptions!$B$35,Assumptions!$B$36))))*((((Archetypes!$B$5*Assumptions!$B$4+Archetypes!$B$6*Assumptions!$B$5)*60))+(Assumptions!$B$6*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$20)+((Archetypes!$B$11*(IF(F31&lt;0,1+Assumptions!$B$32*MIN(1,ABS(F31)/ABS(Assumptions!$B$21)),MAX(0.1,1-Assumptions!$B$31*(F31/50)))))*J31*Archetypes!$B$20*Archetypes!$B$21)*Assumptions!$B$18)*(IF($D31=1,1,Assumptions!$B$7)))+((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$15)*(Archetypes!$B$13*IF(F31&lt;0,1-Assumptions!$B$33*MIN(1,ABS(F31)/ABS(Assumptions!$B$21)),1))*5)+(((Archetypes!$B$11*(IF(F31&lt;0,1+Assumptions!$B$32*MIN(1,ABS(F31)/ABS(Assumptions!$B$21)),MAX(0.1,1-Assumptions!$B$31*(F31/50)))))*J31*Archetypes!$B$15*Archetypes!$B$22)*(Archetypes!$B$13*IF(F31&lt;0,1-Assumptions!$B$33*MIN(1,ABS(F31)/ABS(Assumptions!$B$21)),1))*5*Assumptions!$B$18))*IF(F31&lt;0,Assumptions!$B$9,1)))*$E31</f>
        <v>1103.7113999999999</v>
      </c>
      <c r="O31" s="18">
        <f>(O30)+(N31)-(MAX(0,((O30)+(N31)-(P31)))*(IF(Archetypes!$B$27="",Assumptions!$B$11,Archetypes!$B$27)))</f>
        <v>4491.4833415700905</v>
      </c>
      <c r="P31" s="18">
        <f>Archetypes!$B$33</f>
        <v>25.423199999999998</v>
      </c>
      <c r="Q31" s="18">
        <f t="shared" si="3"/>
        <v>4466.0601415700903</v>
      </c>
      <c r="S31" s="18">
        <f t="shared" si="9"/>
        <v>129.9231160014433</v>
      </c>
      <c r="T31" s="18">
        <f>MAX(Assumptions!$B$21,(S31)+(U31))</f>
        <v>132.39945314430045</v>
      </c>
      <c r="U31" s="18">
        <f>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$15)*Assumptions!$B$22+((Archetypes!$C$11*(IF(S31&lt;0,1+Assumptions!$B$32*MIN(1,ABS(S31)/ABS(Assumptions!$B$21)),MAX(0.1,1-Assumptions!$B$31*(S31/50)))))*W31*Archetypes!$C$15*Archetypes!$C$22)*Assumptions!$B$23+(Archetypes!$C$11*(IF(S31&lt;0,1+Assumptions!$B$32*MIN(1,ABS(S31)/ABS(Assumptions!$B$21)),MAX(0.1,1-Assumptions!$B$31*(S31/50)))))*Assumptions!$B$24+-((Archetypes!$C$11*(IF(S31&lt;0,1+Assumptions!$B$32*MIN(1,ABS(S31)/ABS(Assumptions!$B$21)),MAX(0.1,1-Assumptions!$B$31*(S31/50)))))*Archetypes!$C$16)*(Assumptions!$B$27*(1+Assumptions!$B$28*Archetypes!$C$14)/(1+Assumptions!$B$29*Archetypes!$C$12))+-(Archetypes!$C$11*(IF(S31&lt;0,1+Assumptions!$B$32*MIN(1,ABS(S31)/ABS(Assumptions!$B$21)),MAX(0.1,1-Assumptions!$B$31*(S31/50)))))*Archetypes!$C$17*((Archetypes!$C$31)/100)*Assumptions!$B$30+-Assumptions!$B$25*Assumptions!$B$26)*$E31</f>
        <v>2.4763371428571439</v>
      </c>
      <c r="V31" s="18">
        <f>(Archetypes!$C$11*(IF(S31&lt;0,1+Assumptions!$B$32*MIN(1,ABS(S31)/ABS(Assumptions!$B$21)),MAX(0.1,1-Assumptions!$B$31*(S31/50)))))*$E31</f>
        <v>3.6000000000000005</v>
      </c>
      <c r="W31" s="19">
        <f>Archetypes!$C$30</f>
        <v>3.7999999999999999E-2</v>
      </c>
      <c r="X31" s="18">
        <f t="shared" si="4"/>
        <v>0.1368</v>
      </c>
      <c r="Y31" s="18">
        <f>((V31-X31)*Archetypes!$C$15)+(X31*Archetypes!$C$15*Archetypes!$C$22)</f>
        <v>1.8205200000000004</v>
      </c>
      <c r="Z31" s="18">
        <f>V31*Archetypes!$C$16</f>
        <v>1.6200000000000003</v>
      </c>
      <c r="AA31" s="18">
        <f>(IF(S31&lt;0,Assumptions!$B$8,IF(S31&lt;10,Assumptions!$B$34,IF(S31&lt;25,Assumptions!$B$35,Assumptions!$B$36))))*((((Archetypes!$C$5*Assumptions!$B$4+Archetypes!$C$6*Assumptions!$B$5)*60))+(Assumptions!$B$6*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$20)+((Archetypes!$C$11*(IF(S31&lt;0,1+Assumptions!$B$32*MIN(1,ABS(S31)/ABS(Assumptions!$B$21)),MAX(0.1,1-Assumptions!$B$31*(S31/50)))))*W31*Archetypes!$C$20*Archetypes!$C$21)*Assumptions!$B$18)*(IF($D31=1,1,Assumptions!$B$7)))+((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$15)*(Archetypes!$C$13*IF(S31&lt;0,1-Assumptions!$B$33*MIN(1,ABS(S31)/ABS(Assumptions!$B$21)),1))*5)+(((Archetypes!$C$11*(IF(S31&lt;0,1+Assumptions!$B$32*MIN(1,ABS(S31)/ABS(Assumptions!$B$21)),MAX(0.1,1-Assumptions!$B$31*(S31/50)))))*W31*Archetypes!$C$15*Archetypes!$C$22)*(Archetypes!$C$13*IF(S31&lt;0,1-Assumptions!$B$33*MIN(1,ABS(S31)/ABS(Assumptions!$B$21)),1))*5*Assumptions!$B$18))*IF(S31&lt;0,Assumptions!$B$9,1)))*$E31</f>
        <v>4257.4942799999999</v>
      </c>
      <c r="AB31" s="18">
        <f>(AB30)+(AA31)-(MAX(0,((AB30)+(AA31)-(AC31)))*(IF(Archetypes!$C$27="",Assumptions!$B$11,Archetypes!$C$27)))</f>
        <v>12956.969167237583</v>
      </c>
      <c r="AC31" s="18">
        <f>Archetypes!$C$33</f>
        <v>90.34</v>
      </c>
      <c r="AD31" s="18">
        <f t="shared" si="5"/>
        <v>12866.629167237583</v>
      </c>
      <c r="AF31" s="18">
        <f t="shared" si="10"/>
        <v>110.22017076678834</v>
      </c>
      <c r="AG31" s="18">
        <f>MAX(Assumptions!$B$21,(AF31)+(AH31))</f>
        <v>111.94058676678834</v>
      </c>
      <c r="AH31" s="18">
        <f>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$15)*Assumptions!$B$22+((Archetypes!$D$11*(IF(AF31&lt;0,1+Assumptions!$B$32*MIN(1,ABS(AF31)/ABS(Assumptions!$B$21)),MAX(0.1,1-Assumptions!$B$31*(AF31/50)))))*AJ31*Archetypes!$D$15*Archetypes!$D$22)*Assumptions!$B$23+(Archetypes!$D$11*(IF(AF31&lt;0,1+Assumptions!$B$32*MIN(1,ABS(AF31)/ABS(Assumptions!$B$21)),MAX(0.1,1-Assumptions!$B$31*(AF31/50)))))*Assumptions!$B$24+-((Archetypes!$D$11*(IF(AF31&lt;0,1+Assumptions!$B$32*MIN(1,ABS(AF31)/ABS(Assumptions!$B$21)),MAX(0.1,1-Assumptions!$B$31*(AF31/50)))))*Archetypes!$D$16)*(Assumptions!$B$27*(1+Assumptions!$B$28*Archetypes!$D$14)/(1+Assumptions!$B$29*Archetypes!$D$12))+-(Archetypes!$D$11*(IF(AF31&lt;0,1+Assumptions!$B$32*MIN(1,ABS(AF31)/ABS(Assumptions!$B$21)),MAX(0.1,1-Assumptions!$B$31*(AF31/50)))))*Archetypes!$D$17*((Archetypes!$D$31)/100)*Assumptions!$B$30+-Assumptions!$B$25*Assumptions!$B$26)*$E31</f>
        <v>1.7204160000000006</v>
      </c>
      <c r="AI31" s="18">
        <f>(Archetypes!$D$11*(IF(AF31&lt;0,1+Assumptions!$B$32*MIN(1,ABS(AF31)/ABS(Assumptions!$B$21)),MAX(0.1,1-Assumptions!$B$31*(AF31/50)))))*$E31</f>
        <v>1.8000000000000003</v>
      </c>
      <c r="AJ31" s="19">
        <f>Archetypes!$D$30</f>
        <v>0.10400000000000001</v>
      </c>
      <c r="AK31" s="18">
        <f t="shared" si="6"/>
        <v>0.18720000000000003</v>
      </c>
      <c r="AL31" s="18">
        <f>((AI31-AK31)*Archetypes!$D$15)+(AK31*Archetypes!$D$15*Archetypes!$D$22)</f>
        <v>2.8123200000000006</v>
      </c>
      <c r="AM31" s="18">
        <f>AI31*Archetypes!$D$16</f>
        <v>0.3600000000000001</v>
      </c>
      <c r="AN31" s="18">
        <f>(IF(AF31&lt;0,Assumptions!$B$8,IF(AF31&lt;10,Assumptions!$B$34,IF(AF31&lt;25,Assumptions!$B$35,Assumptions!$B$36))))*((((Archetypes!$D$5*Assumptions!$B$4+Archetypes!$D$6*Assumptions!$B$5)*60))+(Assumptions!$B$6*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$20)+((Archetypes!$D$11*(IF(AF31&lt;0,1+Assumptions!$B$32*MIN(1,ABS(AF31)/ABS(Assumptions!$B$21)),MAX(0.1,1-Assumptions!$B$31*(AF31/50)))))*AJ31*Archetypes!$D$20*Archetypes!$D$21)*Assumptions!$B$18)*(IF($D31=1,1,Assumptions!$B$7)))+((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$15)*(Archetypes!$D$13*IF(AF31&lt;0,1-Assumptions!$B$33*MIN(1,ABS(AF31)/ABS(Assumptions!$B$21)),1))*5)+(((Archetypes!$D$11*(IF(AF31&lt;0,1+Assumptions!$B$32*MIN(1,ABS(AF31)/ABS(Assumptions!$B$21)),MAX(0.1,1-Assumptions!$B$31*(AF31/50)))))*AJ31*Archetypes!$D$15*Archetypes!$D$22)*(Archetypes!$D$13*IF(AF31&lt;0,1-Assumptions!$B$33*MIN(1,ABS(AF31)/ABS(Assumptions!$B$21)),1))*5*Assumptions!$B$18))*IF(AF31&lt;0,Assumptions!$B$9,1)))*$E31</f>
        <v>6861.8204999999998</v>
      </c>
      <c r="AO31" s="18">
        <f>(AO30)+(AN31)-(MAX(0,((AO30)+(AN31)-(AP31)))*(IF(Archetypes!$D$27="",Assumptions!$B$11,Archetypes!$D$27)))</f>
        <v>16392.765998475086</v>
      </c>
      <c r="AP31" s="18">
        <f>Archetypes!$D$33</f>
        <v>201.32916645159378</v>
      </c>
      <c r="AQ31" s="18">
        <f t="shared" si="7"/>
        <v>16191.436832023492</v>
      </c>
    </row>
    <row r="32" spans="1:43" x14ac:dyDescent="0.25">
      <c r="A32" s="14">
        <v>168</v>
      </c>
      <c r="B32" s="14">
        <f t="shared" si="0"/>
        <v>8</v>
      </c>
      <c r="C32" s="14">
        <f t="shared" si="1"/>
        <v>0</v>
      </c>
      <c r="D32" s="15">
        <f>IF(C32&lt;Assumptions!$B$10,1,0)</f>
        <v>1</v>
      </c>
      <c r="E32" s="15">
        <v>6</v>
      </c>
      <c r="F32" s="18">
        <f t="shared" si="8"/>
        <v>167.45461767128577</v>
      </c>
      <c r="G32" s="18">
        <f>MAX(Assumptions!$B$21,(F32)+(H32))</f>
        <v>171.16333767128577</v>
      </c>
      <c r="H32" s="18">
        <f>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$15)*Assumptions!$B$22+((Archetypes!$B$11*(IF(F32&lt;0,1+Assumptions!$B$32*MIN(1,ABS(F32)/ABS(Assumptions!$B$21)),MAX(0.1,1-Assumptions!$B$31*(F32/50)))))*J32*Archetypes!$B$15*Archetypes!$B$22)*Assumptions!$B$23+(Archetypes!$B$11*(IF(F32&lt;0,1+Assumptions!$B$32*MIN(1,ABS(F32)/ABS(Assumptions!$B$21)),MAX(0.1,1-Assumptions!$B$31*(F32/50)))))*Assumptions!$B$24+-((Archetypes!$B$11*(IF(F32&lt;0,1+Assumptions!$B$32*MIN(1,ABS(F32)/ABS(Assumptions!$B$21)),MAX(0.1,1-Assumptions!$B$31*(F32/50)))))*Archetypes!$B$16)*(Assumptions!$B$27*(1+Assumptions!$B$28*Archetypes!$B$14)/(1+Assumptions!$B$29*Archetypes!$B$12))+-(Archetypes!$B$11*(IF(F32&lt;0,1+Assumptions!$B$32*MIN(1,ABS(F32)/ABS(Assumptions!$B$21)),MAX(0.1,1-Assumptions!$B$31*(F32/50)))))*Archetypes!$B$17*((Archetypes!$B$31)/100)*Assumptions!$B$30+-Assumptions!$B$25*Assumptions!$B$26)*$E32</f>
        <v>3.70872</v>
      </c>
      <c r="I32" s="18">
        <f>(Archetypes!$B$11*(IF(F32&lt;0,1+Assumptions!$B$32*MIN(1,ABS(F32)/ABS(Assumptions!$B$21)),MAX(0.1,1-Assumptions!$B$31*(F32/50)))))*$E32</f>
        <v>6</v>
      </c>
      <c r="J32" s="19">
        <f>Archetypes!$B$30</f>
        <v>2.1999999999999999E-2</v>
      </c>
      <c r="K32" s="18">
        <f t="shared" si="2"/>
        <v>0.13200000000000001</v>
      </c>
      <c r="L32" s="18">
        <f>((I32-K32)*Archetypes!$B$15)+(K32*Archetypes!$B$15*Archetypes!$B$22)</f>
        <v>0.60264000000000006</v>
      </c>
      <c r="M32" s="18">
        <f>I32*Archetypes!$B$16</f>
        <v>4.5</v>
      </c>
      <c r="N32" s="18">
        <f>(IF(F32&lt;0,Assumptions!$B$8,IF(F32&lt;10,Assumptions!$B$34,IF(F32&lt;25,Assumptions!$B$35,Assumptions!$B$36))))*((((Archetypes!$B$5*Assumptions!$B$4+Archetypes!$B$6*Assumptions!$B$5)*60))+(Assumptions!$B$6*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$20)+((Archetypes!$B$11*(IF(F32&lt;0,1+Assumptions!$B$32*MIN(1,ABS(F32)/ABS(Assumptions!$B$21)),MAX(0.1,1-Assumptions!$B$31*(F32/50)))))*J32*Archetypes!$B$20*Archetypes!$B$21)*Assumptions!$B$18)*(IF($D32=1,1,Assumptions!$B$7)))+((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$15)*(Archetypes!$B$13*IF(F32&lt;0,1-Assumptions!$B$33*MIN(1,ABS(F32)/ABS(Assumptions!$B$21)),1))*5)+(((Archetypes!$B$11*(IF(F32&lt;0,1+Assumptions!$B$32*MIN(1,ABS(F32)/ABS(Assumptions!$B$21)),MAX(0.1,1-Assumptions!$B$31*(F32/50)))))*J32*Archetypes!$B$15*Archetypes!$B$22)*(Archetypes!$B$13*IF(F32&lt;0,1-Assumptions!$B$33*MIN(1,ABS(F32)/ABS(Assumptions!$B$21)),1))*5*Assumptions!$B$18))*IF(F32&lt;0,Assumptions!$B$9,1)))*$E32</f>
        <v>1178.4672</v>
      </c>
      <c r="O32" s="18">
        <f>(O31)+(N32)-(MAX(0,((O31)+(N32)-(P32)))*(IF(Archetypes!$B$27="",Assumptions!$B$11,Archetypes!$B$27)))</f>
        <v>4541.0450732560721</v>
      </c>
      <c r="P32" s="18">
        <f>Archetypes!$B$33</f>
        <v>25.423199999999998</v>
      </c>
      <c r="Q32" s="18">
        <f t="shared" si="3"/>
        <v>4515.6218732560719</v>
      </c>
      <c r="S32" s="18">
        <f t="shared" si="9"/>
        <v>132.39945314430045</v>
      </c>
      <c r="T32" s="18">
        <f>MAX(Assumptions!$B$21,(S32)+(U32))</f>
        <v>134.8757902871576</v>
      </c>
      <c r="U32" s="18">
        <f>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$15)*Assumptions!$B$22+((Archetypes!$C$11*(IF(S32&lt;0,1+Assumptions!$B$32*MIN(1,ABS(S32)/ABS(Assumptions!$B$21)),MAX(0.1,1-Assumptions!$B$31*(S32/50)))))*W32*Archetypes!$C$15*Archetypes!$C$22)*Assumptions!$B$23+(Archetypes!$C$11*(IF(S32&lt;0,1+Assumptions!$B$32*MIN(1,ABS(S32)/ABS(Assumptions!$B$21)),MAX(0.1,1-Assumptions!$B$31*(S32/50)))))*Assumptions!$B$24+-((Archetypes!$C$11*(IF(S32&lt;0,1+Assumptions!$B$32*MIN(1,ABS(S32)/ABS(Assumptions!$B$21)),MAX(0.1,1-Assumptions!$B$31*(S32/50)))))*Archetypes!$C$16)*(Assumptions!$B$27*(1+Assumptions!$B$28*Archetypes!$C$14)/(1+Assumptions!$B$29*Archetypes!$C$12))+-(Archetypes!$C$11*(IF(S32&lt;0,1+Assumptions!$B$32*MIN(1,ABS(S32)/ABS(Assumptions!$B$21)),MAX(0.1,1-Assumptions!$B$31*(S32/50)))))*Archetypes!$C$17*((Archetypes!$C$31)/100)*Assumptions!$B$30+-Assumptions!$B$25*Assumptions!$B$26)*$E32</f>
        <v>2.4763371428571439</v>
      </c>
      <c r="V32" s="18">
        <f>(Archetypes!$C$11*(IF(S32&lt;0,1+Assumptions!$B$32*MIN(1,ABS(S32)/ABS(Assumptions!$B$21)),MAX(0.1,1-Assumptions!$B$31*(S32/50)))))*$E32</f>
        <v>3.6000000000000005</v>
      </c>
      <c r="W32" s="19">
        <f>Archetypes!$C$30</f>
        <v>3.7999999999999999E-2</v>
      </c>
      <c r="X32" s="18">
        <f t="shared" si="4"/>
        <v>0.1368</v>
      </c>
      <c r="Y32" s="18">
        <f>((V32-X32)*Archetypes!$C$15)+(X32*Archetypes!$C$15*Archetypes!$C$22)</f>
        <v>1.8205200000000004</v>
      </c>
      <c r="Z32" s="18">
        <f>V32*Archetypes!$C$16</f>
        <v>1.6200000000000003</v>
      </c>
      <c r="AA32" s="18">
        <f>(IF(S32&lt;0,Assumptions!$B$8,IF(S32&lt;10,Assumptions!$B$34,IF(S32&lt;25,Assumptions!$B$35,Assumptions!$B$36))))*((((Archetypes!$C$5*Assumptions!$B$4+Archetypes!$C$6*Assumptions!$B$5)*60))+(Assumptions!$B$6*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$20)+((Archetypes!$C$11*(IF(S32&lt;0,1+Assumptions!$B$32*MIN(1,ABS(S32)/ABS(Assumptions!$B$21)),MAX(0.1,1-Assumptions!$B$31*(S32/50)))))*W32*Archetypes!$C$20*Archetypes!$C$21)*Assumptions!$B$18)*(IF($D32=1,1,Assumptions!$B$7)))+((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$15)*(Archetypes!$C$13*IF(S32&lt;0,1-Assumptions!$B$33*MIN(1,ABS(S32)/ABS(Assumptions!$B$21)),1))*5)+(((Archetypes!$C$11*(IF(S32&lt;0,1+Assumptions!$B$32*MIN(1,ABS(S32)/ABS(Assumptions!$B$21)),MAX(0.1,1-Assumptions!$B$31*(S32/50)))))*W32*Archetypes!$C$15*Archetypes!$C$22)*(Archetypes!$C$13*IF(S32&lt;0,1-Assumptions!$B$33*MIN(1,ABS(S32)/ABS(Assumptions!$B$21)),1))*5*Assumptions!$B$18))*IF(S32&lt;0,Assumptions!$B$9,1)))*$E32</f>
        <v>4462.9335000000001</v>
      </c>
      <c r="AB32" s="18">
        <f>(AB31)+(AA32)-(MAX(0,((AB31)+(AA32)-(AC32)))*(IF(Archetypes!$C$27="",Assumptions!$B$11,Archetypes!$C$27)))</f>
        <v>13087.512000428189</v>
      </c>
      <c r="AC32" s="18">
        <f>Archetypes!$C$33</f>
        <v>90.34</v>
      </c>
      <c r="AD32" s="18">
        <f t="shared" si="5"/>
        <v>12997.172000428189</v>
      </c>
      <c r="AF32" s="18">
        <f t="shared" si="10"/>
        <v>111.94058676678834</v>
      </c>
      <c r="AG32" s="18">
        <f>MAX(Assumptions!$B$21,(AF32)+(AH32))</f>
        <v>113.66100276678834</v>
      </c>
      <c r="AH32" s="18">
        <f>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$15)*Assumptions!$B$22+((Archetypes!$D$11*(IF(AF32&lt;0,1+Assumptions!$B$32*MIN(1,ABS(AF32)/ABS(Assumptions!$B$21)),MAX(0.1,1-Assumptions!$B$31*(AF32/50)))))*AJ32*Archetypes!$D$15*Archetypes!$D$22)*Assumptions!$B$23+(Archetypes!$D$11*(IF(AF32&lt;0,1+Assumptions!$B$32*MIN(1,ABS(AF32)/ABS(Assumptions!$B$21)),MAX(0.1,1-Assumptions!$B$31*(AF32/50)))))*Assumptions!$B$24+-((Archetypes!$D$11*(IF(AF32&lt;0,1+Assumptions!$B$32*MIN(1,ABS(AF32)/ABS(Assumptions!$B$21)),MAX(0.1,1-Assumptions!$B$31*(AF32/50)))))*Archetypes!$D$16)*(Assumptions!$B$27*(1+Assumptions!$B$28*Archetypes!$D$14)/(1+Assumptions!$B$29*Archetypes!$D$12))+-(Archetypes!$D$11*(IF(AF32&lt;0,1+Assumptions!$B$32*MIN(1,ABS(AF32)/ABS(Assumptions!$B$21)),MAX(0.1,1-Assumptions!$B$31*(AF32/50)))))*Archetypes!$D$17*((Archetypes!$D$31)/100)*Assumptions!$B$30+-Assumptions!$B$25*Assumptions!$B$26)*$E32</f>
        <v>1.7204160000000006</v>
      </c>
      <c r="AI32" s="18">
        <f>(Archetypes!$D$11*(IF(AF32&lt;0,1+Assumptions!$B$32*MIN(1,ABS(AF32)/ABS(Assumptions!$B$21)),MAX(0.1,1-Assumptions!$B$31*(AF32/50)))))*$E32</f>
        <v>1.8000000000000003</v>
      </c>
      <c r="AJ32" s="19">
        <f>Archetypes!$D$30</f>
        <v>0.10400000000000001</v>
      </c>
      <c r="AK32" s="18">
        <f t="shared" si="6"/>
        <v>0.18720000000000003</v>
      </c>
      <c r="AL32" s="18">
        <f>((AI32-AK32)*Archetypes!$D$15)+(AK32*Archetypes!$D$15*Archetypes!$D$22)</f>
        <v>2.8123200000000006</v>
      </c>
      <c r="AM32" s="18">
        <f>AI32*Archetypes!$D$16</f>
        <v>0.3600000000000001</v>
      </c>
      <c r="AN32" s="18">
        <f>(IF(AF32&lt;0,Assumptions!$B$8,IF(AF32&lt;10,Assumptions!$B$34,IF(AF32&lt;25,Assumptions!$B$35,Assumptions!$B$36))))*((((Archetypes!$D$5*Assumptions!$B$4+Archetypes!$D$6*Assumptions!$B$5)*60))+(Assumptions!$B$6*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$20)+((Archetypes!$D$11*(IF(AF32&lt;0,1+Assumptions!$B$32*MIN(1,ABS(AF32)/ABS(Assumptions!$B$21)),MAX(0.1,1-Assumptions!$B$31*(AF32/50)))))*AJ32*Archetypes!$D$20*Archetypes!$D$21)*Assumptions!$B$18)*(IF($D32=1,1,Assumptions!$B$7)))+((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$15)*(Archetypes!$D$13*IF(AF32&lt;0,1-Assumptions!$B$33*MIN(1,ABS(AF32)/ABS(Assumptions!$B$21)),1))*5)+(((Archetypes!$D$11*(IF(AF32&lt;0,1+Assumptions!$B$32*MIN(1,ABS(AF32)/ABS(Assumptions!$B$21)),MAX(0.1,1-Assumptions!$B$31*(AF32/50)))))*AJ32*Archetypes!$D$15*Archetypes!$D$22)*(Archetypes!$D$13*IF(AF32&lt;0,1-Assumptions!$B$33*MIN(1,ABS(AF32)/ABS(Assumptions!$B$21)),1))*5*Assumptions!$B$18))*IF(AF32&lt;0,Assumptions!$B$9,1)))*$E32</f>
        <v>7432.1279999999988</v>
      </c>
      <c r="AO32" s="18">
        <f>(AO31)+(AN32)-(MAX(0,((AO31)+(AN32)-(AP32)))*(IF(Archetypes!$D$27="",Assumptions!$B$11,Archetypes!$D$27)))</f>
        <v>16737.824548868037</v>
      </c>
      <c r="AP32" s="18">
        <f>Archetypes!$D$33</f>
        <v>201.32916645159378</v>
      </c>
      <c r="AQ32" s="18">
        <f t="shared" si="7"/>
        <v>16536.495382416444</v>
      </c>
    </row>
  </sheetData>
  <mergeCells count="4">
    <mergeCell ref="F2:Q2"/>
    <mergeCell ref="S2:AD2"/>
    <mergeCell ref="A1:AZ1"/>
    <mergeCell ref="AF2:A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tabSelected="1" zoomScale="80" zoomScaleNormal="80" workbookViewId="0">
      <selection activeCell="D11" sqref="D11"/>
    </sheetView>
  </sheetViews>
  <sheetFormatPr defaultRowHeight="15" x14ac:dyDescent="0.25"/>
  <cols>
    <col min="1" max="2" width="14" customWidth="1"/>
    <col min="3" max="5" width="16" customWidth="1"/>
    <col min="6" max="6" width="10" customWidth="1"/>
    <col min="7" max="7" width="16" customWidth="1"/>
    <col min="8" max="8" width="18" customWidth="1"/>
  </cols>
  <sheetData>
    <row r="1" spans="1:8" x14ac:dyDescent="0.25">
      <c r="A1" s="22" t="s">
        <v>156</v>
      </c>
      <c r="B1" s="21"/>
      <c r="C1" s="21"/>
      <c r="D1" s="21"/>
      <c r="E1" s="21"/>
      <c r="F1" s="21"/>
      <c r="G1" s="21"/>
      <c r="H1" s="21"/>
    </row>
    <row r="3" spans="1:8" ht="30" x14ac:dyDescent="0.25">
      <c r="A3" s="8" t="s">
        <v>157</v>
      </c>
      <c r="B3" s="8" t="s">
        <v>158</v>
      </c>
      <c r="C3" s="8" t="s">
        <v>159</v>
      </c>
      <c r="D3" s="8" t="s">
        <v>160</v>
      </c>
      <c r="E3" s="8" t="s">
        <v>153</v>
      </c>
      <c r="F3" s="8" t="s">
        <v>161</v>
      </c>
      <c r="G3" s="8" t="s">
        <v>162</v>
      </c>
      <c r="H3" s="8" t="s">
        <v>163</v>
      </c>
    </row>
    <row r="4" spans="1:8" x14ac:dyDescent="0.25">
      <c r="A4" s="16">
        <v>24</v>
      </c>
      <c r="B4" t="s">
        <v>101</v>
      </c>
      <c r="C4" s="26">
        <f>Simulation_48h!O28</f>
        <v>865.31197144232874</v>
      </c>
      <c r="D4" s="26">
        <f>Simulation_48h!Q28</f>
        <v>839.88877144232879</v>
      </c>
      <c r="E4" s="26">
        <f>Simulation_48h!P28</f>
        <v>25.423199999999998</v>
      </c>
      <c r="F4" s="26">
        <f>Simulation_48h!G28</f>
        <v>74.422913247388166</v>
      </c>
      <c r="G4" s="26">
        <f>Simulation_48h!I28</f>
        <v>1.1579871842272571</v>
      </c>
      <c r="H4" s="26">
        <f>Simulation_48h!N28</f>
        <v>203.2696132519263</v>
      </c>
    </row>
    <row r="5" spans="1:8" x14ac:dyDescent="0.25">
      <c r="A5" s="16">
        <v>24</v>
      </c>
      <c r="B5" t="s">
        <v>102</v>
      </c>
      <c r="C5" s="26">
        <f>Simulation_48h!AB28</f>
        <v>2470.4112542972243</v>
      </c>
      <c r="D5" s="26">
        <f>Simulation_48h!AD28</f>
        <v>2380.0712542972242</v>
      </c>
      <c r="E5" s="26">
        <f>Simulation_48h!AC28</f>
        <v>90.34</v>
      </c>
      <c r="F5" s="26">
        <f>Simulation_48h!T28</f>
        <v>67.857510498785885</v>
      </c>
      <c r="G5" s="26">
        <f>Simulation_48h!V28</f>
        <v>1.1833682474374316</v>
      </c>
      <c r="H5" s="26">
        <f>Simulation_48h!AA28</f>
        <v>822.40414056074985</v>
      </c>
    </row>
    <row r="6" spans="1:8" x14ac:dyDescent="0.25">
      <c r="A6" s="16">
        <v>24</v>
      </c>
      <c r="B6" t="s">
        <v>103</v>
      </c>
      <c r="C6" s="26">
        <f>Simulation_48h!AO28</f>
        <v>3344.9138104222238</v>
      </c>
      <c r="D6" s="26">
        <f>Simulation_48h!AQ28</f>
        <v>3143.5846439706302</v>
      </c>
      <c r="E6" s="26">
        <f>Simulation_48h!AP28</f>
        <v>201.32916645159378</v>
      </c>
      <c r="F6" s="26">
        <f>Simulation_48h!AG28</f>
        <v>63.42681178629585</v>
      </c>
      <c r="G6" s="26">
        <f>Simulation_48h!AI28</f>
        <v>0.75057093757234083</v>
      </c>
      <c r="H6" s="26">
        <f>Simulation_48h!AN28</f>
        <v>1490.5391312654356</v>
      </c>
    </row>
    <row r="7" spans="1:8" x14ac:dyDescent="0.25">
      <c r="C7" s="27"/>
      <c r="D7" s="27"/>
      <c r="E7" s="27"/>
      <c r="F7" s="27"/>
      <c r="G7" s="27"/>
      <c r="H7" s="27"/>
    </row>
    <row r="8" spans="1:8" x14ac:dyDescent="0.25">
      <c r="A8" s="16">
        <v>72</v>
      </c>
      <c r="B8" t="s">
        <v>101</v>
      </c>
      <c r="C8" s="26">
        <f>Simulation_7d_6h!O16</f>
        <v>4523.1307133864575</v>
      </c>
      <c r="D8" s="26">
        <f>Simulation_7d_6h!Q16</f>
        <v>4497.7075133864573</v>
      </c>
      <c r="E8" s="26">
        <f>Simulation_7d_6h!P16</f>
        <v>25.423199999999998</v>
      </c>
      <c r="F8" s="26">
        <f>Simulation_7d_6h!G16</f>
        <v>111.82381767128577</v>
      </c>
      <c r="G8" s="26">
        <f>Simulation_7d_6h!I16</f>
        <v>6</v>
      </c>
      <c r="H8" s="26">
        <f>Simulation_7d_6h!N16</f>
        <v>1178.4672</v>
      </c>
    </row>
    <row r="9" spans="1:8" x14ac:dyDescent="0.25">
      <c r="A9" s="16">
        <v>72</v>
      </c>
      <c r="B9" t="s">
        <v>102</v>
      </c>
      <c r="C9" s="26">
        <f>Simulation_7d_6h!AB16</f>
        <v>13017.677170256489</v>
      </c>
      <c r="D9" s="26">
        <f>Simulation_7d_6h!AD16</f>
        <v>12927.337170256489</v>
      </c>
      <c r="E9" s="26">
        <f>Simulation_7d_6h!AC16</f>
        <v>90.34</v>
      </c>
      <c r="F9" s="26">
        <f>Simulation_7d_6h!T16</f>
        <v>95.254396001443254</v>
      </c>
      <c r="G9" s="26">
        <f>Simulation_7d_6h!V16</f>
        <v>3.6000000000000005</v>
      </c>
      <c r="H9" s="26">
        <f>Simulation_7d_6h!AA16</f>
        <v>4462.9335000000001</v>
      </c>
    </row>
    <row r="10" spans="1:8" x14ac:dyDescent="0.25">
      <c r="A10" s="16">
        <v>72</v>
      </c>
      <c r="B10" t="s">
        <v>103</v>
      </c>
      <c r="C10" s="26">
        <f>Simulation_7d_6h!AO16</f>
        <v>16806.363174777565</v>
      </c>
      <c r="D10" s="26">
        <f>Simulation_7d_6h!AQ16</f>
        <v>16605.034008325973</v>
      </c>
      <c r="E10" s="26">
        <f>Simulation_7d_6h!AP16</f>
        <v>201.32916645159378</v>
      </c>
      <c r="F10" s="26">
        <f>Simulation_7d_6h!AG16</f>
        <v>86.13434676678834</v>
      </c>
      <c r="G10" s="26">
        <f>Simulation_7d_6h!AI16</f>
        <v>1.8000000000000003</v>
      </c>
      <c r="H10" s="26">
        <f>Simulation_7d_6h!AN16</f>
        <v>7432.1279999999988</v>
      </c>
    </row>
    <row r="11" spans="1:8" x14ac:dyDescent="0.25">
      <c r="C11" s="27"/>
      <c r="D11" s="27" t="s">
        <v>169</v>
      </c>
      <c r="E11" s="27"/>
      <c r="F11" s="27"/>
      <c r="G11" s="27"/>
      <c r="H11" s="27"/>
    </row>
    <row r="12" spans="1:8" x14ac:dyDescent="0.25">
      <c r="A12" s="16">
        <v>168</v>
      </c>
      <c r="B12" t="s">
        <v>101</v>
      </c>
      <c r="C12" s="26">
        <f>Simulation_7d_6h!O32</f>
        <v>4541.0450732560721</v>
      </c>
      <c r="D12" s="26">
        <f>Simulation_7d_6h!Q32</f>
        <v>4515.6218732560719</v>
      </c>
      <c r="E12" s="26">
        <f>Simulation_7d_6h!P32</f>
        <v>25.423199999999998</v>
      </c>
      <c r="F12" s="26">
        <f>Simulation_7d_6h!G32</f>
        <v>171.16333767128577</v>
      </c>
      <c r="G12" s="26">
        <f>Simulation_7d_6h!I32</f>
        <v>6</v>
      </c>
      <c r="H12" s="26">
        <f>Simulation_7d_6h!N32</f>
        <v>1178.4672</v>
      </c>
    </row>
    <row r="13" spans="1:8" x14ac:dyDescent="0.25">
      <c r="A13" s="16">
        <v>168</v>
      </c>
      <c r="B13" t="s">
        <v>102</v>
      </c>
      <c r="C13" s="26">
        <f>Simulation_7d_6h!AB32</f>
        <v>13087.512000428189</v>
      </c>
      <c r="D13" s="26">
        <f>Simulation_7d_6h!AD32</f>
        <v>12997.172000428189</v>
      </c>
      <c r="E13" s="26">
        <f>Simulation_7d_6h!AC32</f>
        <v>90.34</v>
      </c>
      <c r="F13" s="26">
        <f>Simulation_7d_6h!T32</f>
        <v>134.8757902871576</v>
      </c>
      <c r="G13" s="26">
        <f>Simulation_7d_6h!V32</f>
        <v>3.6000000000000005</v>
      </c>
      <c r="H13" s="26">
        <f>Simulation_7d_6h!AA32</f>
        <v>4462.9335000000001</v>
      </c>
    </row>
    <row r="14" spans="1:8" x14ac:dyDescent="0.25">
      <c r="A14" s="16">
        <v>168</v>
      </c>
      <c r="B14" t="s">
        <v>103</v>
      </c>
      <c r="C14" s="26">
        <f>Simulation_7d_6h!AO32</f>
        <v>16737.824548868037</v>
      </c>
      <c r="D14" s="26">
        <f>Simulation_7d_6h!AQ32</f>
        <v>16536.495382416444</v>
      </c>
      <c r="E14" s="26">
        <f>Simulation_7d_6h!AP32</f>
        <v>201.32916645159378</v>
      </c>
      <c r="F14" s="26">
        <f>Simulation_7d_6h!AG32</f>
        <v>113.66100276678834</v>
      </c>
      <c r="G14" s="26">
        <f>Simulation_7d_6h!AI32</f>
        <v>1.8000000000000003</v>
      </c>
      <c r="H14" s="26">
        <f>Simulation_7d_6h!AN32</f>
        <v>7432.1279999999988</v>
      </c>
    </row>
    <row r="17" spans="1:8" x14ac:dyDescent="0.25">
      <c r="A17" s="24" t="s">
        <v>164</v>
      </c>
      <c r="B17" s="21"/>
      <c r="C17" s="21"/>
      <c r="D17" s="21"/>
      <c r="E17" s="21"/>
      <c r="F17" s="21"/>
      <c r="G17" s="21"/>
      <c r="H17" s="21"/>
    </row>
    <row r="19" spans="1:8" ht="45" x14ac:dyDescent="0.25">
      <c r="A19" s="8" t="s">
        <v>158</v>
      </c>
      <c r="B19" s="8" t="s">
        <v>165</v>
      </c>
      <c r="C19" s="8" t="s">
        <v>166</v>
      </c>
      <c r="D19" s="8" t="s">
        <v>167</v>
      </c>
      <c r="E19" s="8" t="s">
        <v>168</v>
      </c>
    </row>
    <row r="20" spans="1:8" x14ac:dyDescent="0.25">
      <c r="A20" t="s">
        <v>101</v>
      </c>
      <c r="B20" s="17" t="str">
        <f>IF(MIN(Simulation_7d_6h!O4:'Simulation_7d_6h'!O32)&lt;Archetypes!B33,"Yes","No")</f>
        <v>No</v>
      </c>
      <c r="C20" s="17" t="str">
        <f>IF(MIN(Simulation_7d_6h!G4:'Simulation_7d_6h'!G32)&lt;=Assumptions!$B$21,"Yes","No")</f>
        <v>No</v>
      </c>
      <c r="D20" s="17" t="str">
        <f>IF(MAX(Simulation_7d_6h!G4:'Simulation_7d_6h'!G32)&gt;=25,"Yes","No")</f>
        <v>Yes</v>
      </c>
      <c r="E20" s="17" t="str">
        <f>IF(MAX(Simulation_7d_6h!J4:'Simulation_7d_6h'!J32)&gt;0.1,"Yes","No")</f>
        <v>No</v>
      </c>
    </row>
    <row r="21" spans="1:8" x14ac:dyDescent="0.25">
      <c r="A21" t="s">
        <v>102</v>
      </c>
      <c r="B21" s="17" t="str">
        <f>IF(MIN(Simulation_7d_6h!AB4:'Simulation_7d_6h'!AB32)&lt;Archetypes!C33,"Yes","No")</f>
        <v>No</v>
      </c>
      <c r="C21" s="17" t="str">
        <f>IF(MIN(Simulation_7d_6h!T4:'Simulation_7d_6h'!T32)&lt;=Assumptions!$B$21,"Yes","No")</f>
        <v>No</v>
      </c>
      <c r="D21" s="17" t="str">
        <f>IF(MAX(Simulation_7d_6h!T4:'Simulation_7d_6h'!T32)&gt;=25,"Yes","No")</f>
        <v>Yes</v>
      </c>
      <c r="E21" s="17" t="str">
        <f>IF(MAX(Simulation_7d_6h!W4:'Simulation_7d_6h'!W32)&gt;0.1,"Yes","No")</f>
        <v>No</v>
      </c>
    </row>
    <row r="22" spans="1:8" x14ac:dyDescent="0.25">
      <c r="A22" t="s">
        <v>103</v>
      </c>
      <c r="B22" s="17" t="str">
        <f>IF(MIN(Simulation_7d_6h!AO4:'Simulation_7d_6h'!AO32)&lt;Archetypes!D33,"Yes","No")</f>
        <v>No</v>
      </c>
      <c r="C22" s="17" t="str">
        <f>IF(MIN(Simulation_7d_6h!AG4:'Simulation_7d_6h'!AG32)&lt;=Assumptions!$B$21,"Yes","No")</f>
        <v>No</v>
      </c>
      <c r="D22" s="17" t="str">
        <f>IF(MAX(Simulation_7d_6h!AG4:'Simulation_7d_6h'!AG32)&gt;=25,"Yes","No")</f>
        <v>Yes</v>
      </c>
      <c r="E22" s="17" t="str">
        <f>IF(MAX(Simulation_7d_6h!AJ4:'Simulation_7d_6h'!AJ32)&gt;0.1,"Yes","No")</f>
        <v>Yes</v>
      </c>
    </row>
  </sheetData>
  <mergeCells count="2">
    <mergeCell ref="A17:H17"/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Assumptions</vt:lpstr>
      <vt:lpstr>Archetypes</vt:lpstr>
      <vt:lpstr>Simulation_48h</vt:lpstr>
      <vt:lpstr>Simulation_7d_6h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Grayson Gammill</dc:creator>
  <cp:lastModifiedBy>Grayson Gammill</cp:lastModifiedBy>
  <dcterms:created xsi:type="dcterms:W3CDTF">2025-12-22T01:48:23Z</dcterms:created>
  <dcterms:modified xsi:type="dcterms:W3CDTF">2025-12-22T03:20:29Z</dcterms:modified>
</cp:coreProperties>
</file>